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erec\Desktop\Diplomado\ml-insurance-team-lab\M4\Funciones_Triangulos\"/>
    </mc:Choice>
  </mc:AlternateContent>
  <xr:revisionPtr revIDLastSave="0" documentId="13_ncr:1_{EE0743FD-6C32-4A4B-9913-97A724E58E53}" xr6:coauthVersionLast="47" xr6:coauthVersionMax="47" xr10:uidLastSave="{00000000-0000-0000-0000-000000000000}"/>
  <bookViews>
    <workbookView xWindow="28680" yWindow="-120" windowWidth="20730" windowHeight="11040" firstSheet="1" activeTab="1" xr2:uid="{EBE4BF15-7C9B-437D-9962-39D9A1B5233E}"/>
  </bookViews>
  <sheets>
    <sheet name="Nombre Equipo" sheetId="3" r:id="rId1"/>
    <sheet name="Triangulo1" sheetId="2" r:id="rId2"/>
    <sheet name="ultimos8_corte2024_promedio_pro" sheetId="6" r:id="rId3"/>
    <sheet name="ultimos8_corte2023_promedio" sheetId="19" r:id="rId4"/>
    <sheet name="todo_corte2024_promedo_prom" sheetId="9" r:id="rId5"/>
    <sheet name="todo_corte2023_promedo_prom" sheetId="17" r:id="rId6"/>
    <sheet name="todo_corte2024_promedio_simple" sheetId="16" r:id="rId7"/>
    <sheet name="todo_corte2023_promedo_simple" sheetId="1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77" i="2" l="1"/>
  <c r="U78" i="2"/>
  <c r="U79" i="2"/>
  <c r="U80" i="2"/>
  <c r="U81" i="2"/>
  <c r="U82" i="2"/>
  <c r="U83" i="2"/>
  <c r="U84" i="2"/>
  <c r="U85" i="2"/>
  <c r="U86" i="2"/>
  <c r="U87" i="2"/>
  <c r="U88" i="2"/>
  <c r="U89" i="2"/>
  <c r="U90" i="2"/>
  <c r="U91" i="2"/>
  <c r="U92" i="2"/>
  <c r="U93" i="2"/>
  <c r="U94" i="2"/>
  <c r="U95" i="2"/>
  <c r="U76" i="2"/>
  <c r="T77" i="2"/>
  <c r="T78" i="2"/>
  <c r="T79" i="2"/>
  <c r="T80" i="2"/>
  <c r="T81" i="2"/>
  <c r="T82" i="2"/>
  <c r="T83" i="2"/>
  <c r="T84" i="2"/>
  <c r="T85" i="2"/>
  <c r="T86" i="2"/>
  <c r="T87" i="2"/>
  <c r="T88" i="2"/>
  <c r="T89" i="2"/>
  <c r="T90" i="2"/>
  <c r="T91" i="2"/>
  <c r="T92" i="2"/>
  <c r="T93" i="2"/>
  <c r="T94" i="2"/>
  <c r="T95" i="2"/>
  <c r="T76" i="2"/>
  <c r="S77" i="2"/>
  <c r="S78" i="2"/>
  <c r="S79" i="2"/>
  <c r="S80" i="2"/>
  <c r="S81" i="2"/>
  <c r="S82" i="2"/>
  <c r="S83" i="2"/>
  <c r="S84" i="2"/>
  <c r="S85" i="2"/>
  <c r="S86" i="2"/>
  <c r="S87" i="2"/>
  <c r="S88" i="2"/>
  <c r="S89" i="2"/>
  <c r="S90" i="2"/>
  <c r="S91" i="2"/>
  <c r="S92" i="2"/>
  <c r="S93" i="2"/>
  <c r="S94" i="2"/>
  <c r="S95" i="2"/>
  <c r="S76" i="2"/>
  <c r="R77" i="2"/>
  <c r="R78" i="2"/>
  <c r="R79" i="2"/>
  <c r="R80" i="2"/>
  <c r="R81" i="2"/>
  <c r="R82" i="2"/>
  <c r="R83" i="2"/>
  <c r="R84" i="2"/>
  <c r="R85" i="2"/>
  <c r="R86" i="2"/>
  <c r="R87" i="2"/>
  <c r="R88" i="2"/>
  <c r="R89" i="2"/>
  <c r="R90" i="2"/>
  <c r="R91" i="2"/>
  <c r="R92" i="2"/>
  <c r="R93" i="2"/>
  <c r="R94" i="2"/>
  <c r="R95" i="2"/>
  <c r="R76" i="2"/>
  <c r="P77" i="2"/>
  <c r="P78" i="2"/>
  <c r="P79" i="2"/>
  <c r="P80" i="2"/>
  <c r="P81" i="2"/>
  <c r="P82" i="2"/>
  <c r="P83" i="2"/>
  <c r="P84" i="2"/>
  <c r="P85" i="2"/>
  <c r="P86" i="2"/>
  <c r="P87" i="2"/>
  <c r="P88" i="2"/>
  <c r="P89" i="2"/>
  <c r="P90" i="2"/>
  <c r="P91" i="2"/>
  <c r="P92" i="2"/>
  <c r="P93" i="2"/>
  <c r="P94" i="2"/>
  <c r="P95" i="2"/>
  <c r="P76" i="2"/>
  <c r="M76" i="2" a="1"/>
  <c r="M76" i="2" s="1"/>
  <c r="X23" i="19"/>
  <c r="X22" i="19"/>
  <c r="X21" i="19"/>
  <c r="X20" i="19"/>
  <c r="X19" i="19"/>
  <c r="X18" i="19"/>
  <c r="X17" i="19"/>
  <c r="X16" i="19"/>
  <c r="X15" i="19"/>
  <c r="X14" i="19"/>
  <c r="X13" i="19"/>
  <c r="X12" i="19"/>
  <c r="X11" i="19"/>
  <c r="X10" i="19"/>
  <c r="X9" i="19"/>
  <c r="X8" i="19"/>
  <c r="X7" i="19"/>
  <c r="X6" i="19"/>
  <c r="X5" i="19"/>
  <c r="X4" i="19"/>
  <c r="W23" i="19"/>
  <c r="W5" i="19"/>
  <c r="W6" i="19"/>
  <c r="W7" i="19"/>
  <c r="W8" i="19"/>
  <c r="W9" i="19"/>
  <c r="W10" i="19"/>
  <c r="W11" i="19"/>
  <c r="W12" i="19"/>
  <c r="W13" i="19"/>
  <c r="W14" i="19"/>
  <c r="W15" i="19"/>
  <c r="W16" i="19"/>
  <c r="W17" i="19"/>
  <c r="W18" i="19"/>
  <c r="W19" i="19"/>
  <c r="W20" i="19"/>
  <c r="W21" i="19"/>
  <c r="W22" i="19"/>
  <c r="W4" i="19"/>
  <c r="S25" i="19"/>
  <c r="S24" i="19"/>
  <c r="T25" i="19"/>
  <c r="T24" i="19"/>
  <c r="U25" i="19"/>
  <c r="U24" i="19"/>
  <c r="V25" i="19"/>
  <c r="V26" i="19"/>
  <c r="O25" i="19"/>
  <c r="I25" i="19"/>
  <c r="C25" i="19"/>
  <c r="R4" i="19"/>
  <c r="R25" i="19" s="1"/>
  <c r="R5" i="19"/>
  <c r="R6" i="19"/>
  <c r="R7" i="19"/>
  <c r="Q4" i="19"/>
  <c r="Q25" i="19" s="1"/>
  <c r="Q5" i="19"/>
  <c r="Q6" i="19"/>
  <c r="Q7" i="19"/>
  <c r="P24" i="19" s="1"/>
  <c r="Q8" i="19"/>
  <c r="P4" i="19"/>
  <c r="P25" i="19" s="1"/>
  <c r="P5" i="19"/>
  <c r="P6" i="19"/>
  <c r="O24" i="19" s="1"/>
  <c r="P7" i="19"/>
  <c r="P8" i="19"/>
  <c r="P9" i="19"/>
  <c r="O4" i="19"/>
  <c r="N24" i="19" s="1"/>
  <c r="O5" i="19"/>
  <c r="O6" i="19"/>
  <c r="O7" i="19"/>
  <c r="O8" i="19"/>
  <c r="O9" i="19"/>
  <c r="O10" i="19"/>
  <c r="N4" i="19"/>
  <c r="N25" i="19" s="1"/>
  <c r="N5" i="19"/>
  <c r="M24" i="19" s="1"/>
  <c r="N6" i="19"/>
  <c r="N7" i="19"/>
  <c r="N8" i="19"/>
  <c r="N9" i="19"/>
  <c r="N10" i="19"/>
  <c r="N11" i="19"/>
  <c r="M5" i="19"/>
  <c r="M25" i="19" s="1"/>
  <c r="M6" i="19"/>
  <c r="L24" i="19" s="1"/>
  <c r="M7" i="19"/>
  <c r="M8" i="19"/>
  <c r="M9" i="19"/>
  <c r="M10" i="19"/>
  <c r="M11" i="19"/>
  <c r="M12" i="19"/>
  <c r="L6" i="19"/>
  <c r="L25" i="19" s="1"/>
  <c r="L7" i="19"/>
  <c r="L8" i="19"/>
  <c r="L9" i="19"/>
  <c r="L10" i="19"/>
  <c r="L11" i="19"/>
  <c r="K24" i="19" s="1"/>
  <c r="L12" i="19"/>
  <c r="L13" i="19"/>
  <c r="K7" i="19"/>
  <c r="K25" i="19" s="1"/>
  <c r="K8" i="19"/>
  <c r="J24" i="19" s="1"/>
  <c r="K9" i="19"/>
  <c r="K10" i="19"/>
  <c r="K11" i="19"/>
  <c r="K12" i="19"/>
  <c r="K13" i="19"/>
  <c r="K14" i="19"/>
  <c r="J8" i="19"/>
  <c r="J9" i="19"/>
  <c r="J25" i="19" s="1"/>
  <c r="J10" i="19"/>
  <c r="J11" i="19"/>
  <c r="J12" i="19"/>
  <c r="J13" i="19"/>
  <c r="I24" i="19" s="1"/>
  <c r="J14" i="19"/>
  <c r="J15" i="19"/>
  <c r="I9" i="19"/>
  <c r="I10" i="19"/>
  <c r="H24" i="19" s="1"/>
  <c r="I11" i="19"/>
  <c r="I12" i="19"/>
  <c r="I13" i="19"/>
  <c r="I14" i="19"/>
  <c r="I15" i="19"/>
  <c r="I16" i="19"/>
  <c r="H10" i="19"/>
  <c r="H25" i="19" s="1"/>
  <c r="H11" i="19"/>
  <c r="G24" i="19" s="1"/>
  <c r="H12" i="19"/>
  <c r="H13" i="19"/>
  <c r="H14" i="19"/>
  <c r="H15" i="19"/>
  <c r="H16" i="19"/>
  <c r="H17" i="19"/>
  <c r="G11" i="19"/>
  <c r="G25" i="19" s="1"/>
  <c r="G12" i="19"/>
  <c r="F24" i="19" s="1"/>
  <c r="G13" i="19"/>
  <c r="G14" i="19"/>
  <c r="G15" i="19"/>
  <c r="G16" i="19"/>
  <c r="G17" i="19"/>
  <c r="G18" i="19"/>
  <c r="F12" i="19"/>
  <c r="F25" i="19" s="1"/>
  <c r="F13" i="19"/>
  <c r="F14" i="19"/>
  <c r="F15" i="19"/>
  <c r="F16" i="19"/>
  <c r="F17" i="19"/>
  <c r="E24" i="19" s="1"/>
  <c r="F18" i="19"/>
  <c r="F19" i="19"/>
  <c r="E13" i="19"/>
  <c r="E25" i="19" s="1"/>
  <c r="E14" i="19"/>
  <c r="D24" i="19" s="1"/>
  <c r="E15" i="19"/>
  <c r="E16" i="19"/>
  <c r="E17" i="19"/>
  <c r="E18" i="19"/>
  <c r="E19" i="19"/>
  <c r="E20" i="19"/>
  <c r="D14" i="19"/>
  <c r="D15" i="19"/>
  <c r="D25" i="19" s="1"/>
  <c r="D16" i="19"/>
  <c r="D17" i="19"/>
  <c r="D18" i="19"/>
  <c r="D19" i="19"/>
  <c r="C24" i="19" s="1"/>
  <c r="D20" i="19"/>
  <c r="D21" i="19"/>
  <c r="C15" i="19"/>
  <c r="C16" i="19"/>
  <c r="C17" i="19"/>
  <c r="C18" i="19"/>
  <c r="C19" i="19"/>
  <c r="C20" i="19"/>
  <c r="C21" i="19"/>
  <c r="C22" i="19"/>
  <c r="Q77" i="2"/>
  <c r="Q78" i="2"/>
  <c r="Q79" i="2"/>
  <c r="Q80" i="2"/>
  <c r="Q81" i="2"/>
  <c r="Q82" i="2"/>
  <c r="Q83" i="2"/>
  <c r="Q84" i="2"/>
  <c r="Q85" i="2"/>
  <c r="Q86" i="2"/>
  <c r="Q87" i="2"/>
  <c r="Q88" i="2"/>
  <c r="Q89" i="2"/>
  <c r="Q90" i="2"/>
  <c r="Q91" i="2"/>
  <c r="Q92" i="2"/>
  <c r="Q93" i="2"/>
  <c r="Q94" i="2"/>
  <c r="Q95" i="2"/>
  <c r="Q76" i="2"/>
  <c r="F20" i="19"/>
  <c r="E21" i="19"/>
  <c r="D22" i="19"/>
  <c r="C23" i="19"/>
  <c r="G19" i="19"/>
  <c r="H18" i="19"/>
  <c r="I17" i="19"/>
  <c r="J16" i="19"/>
  <c r="K15" i="19"/>
  <c r="L14" i="19"/>
  <c r="M13" i="19"/>
  <c r="N12" i="19"/>
  <c r="O11" i="19"/>
  <c r="P10" i="19"/>
  <c r="Q9" i="19"/>
  <c r="R8" i="19"/>
  <c r="S7" i="19"/>
  <c r="T6" i="19"/>
  <c r="S6" i="19"/>
  <c r="U5" i="19"/>
  <c r="T5" i="19"/>
  <c r="S5" i="19"/>
  <c r="V4" i="19"/>
  <c r="V24" i="19" s="1"/>
  <c r="U4" i="19"/>
  <c r="T4" i="19"/>
  <c r="S4" i="19"/>
  <c r="O25" i="17"/>
  <c r="O24" i="17"/>
  <c r="N25" i="17"/>
  <c r="N24" i="17"/>
  <c r="P25" i="17"/>
  <c r="D26" i="18"/>
  <c r="E26" i="18"/>
  <c r="F26" i="18"/>
  <c r="G26" i="18"/>
  <c r="H26" i="18"/>
  <c r="I26" i="18"/>
  <c r="J26" i="18"/>
  <c r="K26" i="18"/>
  <c r="L26" i="18"/>
  <c r="M26" i="18"/>
  <c r="N26" i="18"/>
  <c r="O26" i="18"/>
  <c r="P26" i="18"/>
  <c r="Q26" i="18"/>
  <c r="R26" i="18"/>
  <c r="S26" i="18"/>
  <c r="T26" i="18"/>
  <c r="U26" i="18"/>
  <c r="V26" i="18"/>
  <c r="C26" i="18"/>
  <c r="O76" i="2" s="1" a="1"/>
  <c r="O76" i="2" s="1"/>
  <c r="C23" i="18"/>
  <c r="D22" i="18"/>
  <c r="X22" i="18" s="1"/>
  <c r="C22" i="18"/>
  <c r="E21" i="18"/>
  <c r="X21" i="18" s="1"/>
  <c r="D21" i="18"/>
  <c r="C21" i="18"/>
  <c r="F20" i="18"/>
  <c r="X20" i="18" s="1"/>
  <c r="E20" i="18"/>
  <c r="D20" i="18"/>
  <c r="C20" i="18"/>
  <c r="G19" i="18"/>
  <c r="X19" i="18" s="1"/>
  <c r="F19" i="18"/>
  <c r="E19" i="18"/>
  <c r="D19" i="18"/>
  <c r="C19" i="18"/>
  <c r="H18" i="18"/>
  <c r="G18" i="18"/>
  <c r="F18" i="18"/>
  <c r="E18" i="18"/>
  <c r="D18" i="18"/>
  <c r="C18" i="18"/>
  <c r="X17" i="18"/>
  <c r="I17" i="18"/>
  <c r="H17" i="18"/>
  <c r="G17" i="18"/>
  <c r="F17" i="18"/>
  <c r="E17" i="18"/>
  <c r="D17" i="18"/>
  <c r="C17" i="18"/>
  <c r="J16" i="18"/>
  <c r="X16" i="18" s="1"/>
  <c r="I16" i="18"/>
  <c r="H16" i="18"/>
  <c r="G16" i="18"/>
  <c r="F16" i="18"/>
  <c r="E16" i="18"/>
  <c r="D16" i="18"/>
  <c r="C16" i="18"/>
  <c r="K15" i="18"/>
  <c r="X15" i="18" s="1"/>
  <c r="J15" i="18"/>
  <c r="I15" i="18"/>
  <c r="H15" i="18"/>
  <c r="G15" i="18"/>
  <c r="F15" i="18"/>
  <c r="E15" i="18"/>
  <c r="D15" i="18"/>
  <c r="C15" i="18"/>
  <c r="L14" i="18"/>
  <c r="K14" i="18"/>
  <c r="J14" i="18"/>
  <c r="I14" i="18"/>
  <c r="H14" i="18"/>
  <c r="G14" i="18"/>
  <c r="F14" i="18"/>
  <c r="E14" i="18"/>
  <c r="D14" i="18"/>
  <c r="C14" i="18"/>
  <c r="X13" i="18"/>
  <c r="M13" i="18"/>
  <c r="L13" i="18"/>
  <c r="K13" i="18"/>
  <c r="J13" i="18"/>
  <c r="I13" i="18"/>
  <c r="H13" i="18"/>
  <c r="G13" i="18"/>
  <c r="F13" i="18"/>
  <c r="E13" i="18"/>
  <c r="D13" i="18"/>
  <c r="C13" i="18"/>
  <c r="N12" i="18"/>
  <c r="M12" i="18"/>
  <c r="L12" i="18"/>
  <c r="K12" i="18"/>
  <c r="J12" i="18"/>
  <c r="I12" i="18"/>
  <c r="H12" i="18"/>
  <c r="G12" i="18"/>
  <c r="F12" i="18"/>
  <c r="E12" i="18"/>
  <c r="D12" i="18"/>
  <c r="C12" i="18"/>
  <c r="O11" i="18"/>
  <c r="N11" i="18"/>
  <c r="M11" i="18"/>
  <c r="L11" i="18"/>
  <c r="K11" i="18"/>
  <c r="J11" i="18"/>
  <c r="I11" i="18"/>
  <c r="H11" i="18"/>
  <c r="G11" i="18"/>
  <c r="F11" i="18"/>
  <c r="E11" i="18"/>
  <c r="D11" i="18"/>
  <c r="C11" i="18"/>
  <c r="P10" i="18"/>
  <c r="X10" i="18" s="1"/>
  <c r="O10" i="18"/>
  <c r="N10" i="18"/>
  <c r="M10" i="18"/>
  <c r="L10" i="18"/>
  <c r="K10" i="18"/>
  <c r="J10" i="18"/>
  <c r="I10" i="18"/>
  <c r="H10" i="18"/>
  <c r="G10" i="18"/>
  <c r="F10" i="18"/>
  <c r="E10" i="18"/>
  <c r="D10" i="18"/>
  <c r="C10" i="18"/>
  <c r="Q9" i="18"/>
  <c r="X9" i="18" s="1"/>
  <c r="P9" i="18"/>
  <c r="O9" i="18"/>
  <c r="N9" i="18"/>
  <c r="M9" i="18"/>
  <c r="L9" i="18"/>
  <c r="K9" i="18"/>
  <c r="J9" i="18"/>
  <c r="I9" i="18"/>
  <c r="H9" i="18"/>
  <c r="G9" i="18"/>
  <c r="F9" i="18"/>
  <c r="E9" i="18"/>
  <c r="D9" i="18"/>
  <c r="C9" i="18"/>
  <c r="R8" i="18"/>
  <c r="X8" i="18" s="1"/>
  <c r="Q8" i="18"/>
  <c r="P8" i="18"/>
  <c r="O8" i="18"/>
  <c r="N8" i="18"/>
  <c r="M8" i="18"/>
  <c r="L8" i="18"/>
  <c r="K8" i="18"/>
  <c r="J8" i="18"/>
  <c r="I8" i="18"/>
  <c r="H8" i="18"/>
  <c r="G8" i="18"/>
  <c r="F8" i="18"/>
  <c r="E8" i="18"/>
  <c r="D8" i="18"/>
  <c r="C8" i="18"/>
  <c r="S7" i="18"/>
  <c r="X7" i="18" s="1"/>
  <c r="R7" i="18"/>
  <c r="Q7" i="18"/>
  <c r="P7" i="18"/>
  <c r="O7" i="18"/>
  <c r="N7" i="18"/>
  <c r="M7" i="18"/>
  <c r="L7" i="18"/>
  <c r="K7" i="18"/>
  <c r="J7" i="18"/>
  <c r="I7" i="18"/>
  <c r="H7" i="18"/>
  <c r="G7" i="18"/>
  <c r="F7" i="18"/>
  <c r="E7" i="18"/>
  <c r="D7" i="18"/>
  <c r="C7" i="18"/>
  <c r="T6" i="18"/>
  <c r="S6" i="18"/>
  <c r="R6" i="18"/>
  <c r="Q6" i="18"/>
  <c r="P6" i="18"/>
  <c r="O6" i="18"/>
  <c r="N6" i="18"/>
  <c r="M6" i="18"/>
  <c r="L6" i="18"/>
  <c r="K6" i="18"/>
  <c r="J6" i="18"/>
  <c r="I6" i="18"/>
  <c r="H6" i="18"/>
  <c r="G6" i="18"/>
  <c r="F6" i="18"/>
  <c r="E6" i="18"/>
  <c r="D6" i="18"/>
  <c r="C6" i="18"/>
  <c r="U5" i="18"/>
  <c r="X5" i="18" s="1"/>
  <c r="T5" i="18"/>
  <c r="S5" i="18"/>
  <c r="R5" i="18"/>
  <c r="Q5" i="18"/>
  <c r="P5" i="18"/>
  <c r="O5" i="18"/>
  <c r="N5" i="18"/>
  <c r="M5" i="18"/>
  <c r="L5" i="18"/>
  <c r="K5" i="18"/>
  <c r="J5" i="18"/>
  <c r="I5" i="18"/>
  <c r="H5" i="18"/>
  <c r="G5" i="18"/>
  <c r="F5" i="18"/>
  <c r="E5" i="18"/>
  <c r="D5" i="18"/>
  <c r="C5" i="18"/>
  <c r="V4" i="18"/>
  <c r="V24" i="18" s="1"/>
  <c r="U4" i="18"/>
  <c r="U25" i="18" s="1"/>
  <c r="T4" i="18"/>
  <c r="T25" i="18" s="1"/>
  <c r="S4" i="18"/>
  <c r="S25" i="18" s="1"/>
  <c r="R4" i="18"/>
  <c r="Q24" i="18" s="1"/>
  <c r="Q4" i="18"/>
  <c r="P24" i="18" s="1"/>
  <c r="P4" i="18"/>
  <c r="O4" i="18"/>
  <c r="N4" i="18"/>
  <c r="M4" i="18"/>
  <c r="L4" i="18"/>
  <c r="K4" i="18"/>
  <c r="J4" i="18"/>
  <c r="I4" i="18"/>
  <c r="H4" i="18"/>
  <c r="G4" i="18"/>
  <c r="G25" i="18" s="1"/>
  <c r="F4" i="18"/>
  <c r="E4" i="18"/>
  <c r="D4" i="18"/>
  <c r="C4" i="18"/>
  <c r="N70" i="2"/>
  <c r="H70" i="2"/>
  <c r="G70" i="2"/>
  <c r="E70" i="2"/>
  <c r="D70" i="2"/>
  <c r="V70" i="2"/>
  <c r="F70" i="2"/>
  <c r="I70" i="2"/>
  <c r="J70" i="2"/>
  <c r="K70" i="2"/>
  <c r="L70" i="2"/>
  <c r="M70" i="2"/>
  <c r="O70" i="2"/>
  <c r="P70" i="2"/>
  <c r="Q70" i="2"/>
  <c r="R70" i="2"/>
  <c r="S70" i="2"/>
  <c r="T70" i="2"/>
  <c r="U70" i="2"/>
  <c r="U24" i="17"/>
  <c r="X5" i="17"/>
  <c r="C23" i="17"/>
  <c r="X23" i="17" s="1"/>
  <c r="D22" i="17"/>
  <c r="X22" i="17" s="1"/>
  <c r="C22" i="17"/>
  <c r="E21" i="17"/>
  <c r="X21" i="17" s="1"/>
  <c r="D21" i="17"/>
  <c r="C21" i="17"/>
  <c r="F20" i="17"/>
  <c r="X20" i="17" s="1"/>
  <c r="E20" i="17"/>
  <c r="D20" i="17"/>
  <c r="C20" i="17"/>
  <c r="G19" i="17"/>
  <c r="X19" i="17" s="1"/>
  <c r="F19" i="17"/>
  <c r="E19" i="17"/>
  <c r="D19" i="17"/>
  <c r="C19" i="17"/>
  <c r="H18" i="17"/>
  <c r="X18" i="17" s="1"/>
  <c r="G18" i="17"/>
  <c r="F18" i="17"/>
  <c r="E18" i="17"/>
  <c r="D18" i="17"/>
  <c r="C18" i="17"/>
  <c r="I17" i="17"/>
  <c r="X17" i="17" s="1"/>
  <c r="H17" i="17"/>
  <c r="G17" i="17"/>
  <c r="F17" i="17"/>
  <c r="E17" i="17"/>
  <c r="D17" i="17"/>
  <c r="C17" i="17"/>
  <c r="J16" i="17"/>
  <c r="X16" i="17" s="1"/>
  <c r="I16" i="17"/>
  <c r="H16" i="17"/>
  <c r="G16" i="17"/>
  <c r="F16" i="17"/>
  <c r="E16" i="17"/>
  <c r="D16" i="17"/>
  <c r="C16" i="17"/>
  <c r="K15" i="17"/>
  <c r="X15" i="17" s="1"/>
  <c r="J15" i="17"/>
  <c r="I15" i="17"/>
  <c r="H15" i="17"/>
  <c r="G15" i="17"/>
  <c r="F15" i="17"/>
  <c r="E15" i="17"/>
  <c r="D15" i="17"/>
  <c r="C15" i="17"/>
  <c r="L14" i="17"/>
  <c r="X14" i="17" s="1"/>
  <c r="K14" i="17"/>
  <c r="J14" i="17"/>
  <c r="I14" i="17"/>
  <c r="H14" i="17"/>
  <c r="G14" i="17"/>
  <c r="F14" i="17"/>
  <c r="E14" i="17"/>
  <c r="D14" i="17"/>
  <c r="C14" i="17"/>
  <c r="M13" i="17"/>
  <c r="X13" i="17" s="1"/>
  <c r="L13" i="17"/>
  <c r="K13" i="17"/>
  <c r="J13" i="17"/>
  <c r="I13" i="17"/>
  <c r="H13" i="17"/>
  <c r="G13" i="17"/>
  <c r="F13" i="17"/>
  <c r="E13" i="17"/>
  <c r="D13" i="17"/>
  <c r="C13" i="17"/>
  <c r="N12" i="17"/>
  <c r="X12" i="17" s="1"/>
  <c r="M12" i="17"/>
  <c r="L12" i="17"/>
  <c r="K12" i="17"/>
  <c r="J12" i="17"/>
  <c r="I12" i="17"/>
  <c r="H12" i="17"/>
  <c r="G12" i="17"/>
  <c r="F12" i="17"/>
  <c r="E12" i="17"/>
  <c r="D12" i="17"/>
  <c r="C12" i="17"/>
  <c r="O11" i="17"/>
  <c r="X11" i="17" s="1"/>
  <c r="N11" i="17"/>
  <c r="M11" i="17"/>
  <c r="L11" i="17"/>
  <c r="K11" i="17"/>
  <c r="J11" i="17"/>
  <c r="I11" i="17"/>
  <c r="H11" i="17"/>
  <c r="G11" i="17"/>
  <c r="F11" i="17"/>
  <c r="E11" i="17"/>
  <c r="D11" i="17"/>
  <c r="C11" i="17"/>
  <c r="P10" i="17"/>
  <c r="X10" i="17" s="1"/>
  <c r="O10" i="17"/>
  <c r="N10" i="17"/>
  <c r="M10" i="17"/>
  <c r="L10" i="17"/>
  <c r="K10" i="17"/>
  <c r="J10" i="17"/>
  <c r="I10" i="17"/>
  <c r="H10" i="17"/>
  <c r="G10" i="17"/>
  <c r="F10" i="17"/>
  <c r="E10" i="17"/>
  <c r="D10" i="17"/>
  <c r="C10" i="17"/>
  <c r="Q9" i="17"/>
  <c r="X9" i="17" s="1"/>
  <c r="P9" i="17"/>
  <c r="O9" i="17"/>
  <c r="N9" i="17"/>
  <c r="M9" i="17"/>
  <c r="L9" i="17"/>
  <c r="K9" i="17"/>
  <c r="J9" i="17"/>
  <c r="I9" i="17"/>
  <c r="H9" i="17"/>
  <c r="G9" i="17"/>
  <c r="F9" i="17"/>
  <c r="E9" i="17"/>
  <c r="D9" i="17"/>
  <c r="C9" i="17"/>
  <c r="R8" i="17"/>
  <c r="X8" i="17" s="1"/>
  <c r="Q8" i="17"/>
  <c r="P8" i="17"/>
  <c r="O8" i="17"/>
  <c r="N8" i="17"/>
  <c r="M8" i="17"/>
  <c r="L8" i="17"/>
  <c r="K8" i="17"/>
  <c r="J8" i="17"/>
  <c r="I8" i="17"/>
  <c r="H8" i="17"/>
  <c r="G8" i="17"/>
  <c r="F8" i="17"/>
  <c r="E8" i="17"/>
  <c r="D8" i="17"/>
  <c r="C8" i="17"/>
  <c r="S7" i="17"/>
  <c r="X7" i="17" s="1"/>
  <c r="R7" i="17"/>
  <c r="Q7" i="17"/>
  <c r="P7" i="17"/>
  <c r="O7" i="17"/>
  <c r="N7" i="17"/>
  <c r="M7" i="17"/>
  <c r="L7" i="17"/>
  <c r="K7" i="17"/>
  <c r="J7" i="17"/>
  <c r="I7" i="17"/>
  <c r="H7" i="17"/>
  <c r="G7" i="17"/>
  <c r="F7" i="17"/>
  <c r="E7" i="17"/>
  <c r="D7" i="17"/>
  <c r="C7" i="17"/>
  <c r="T6" i="17"/>
  <c r="X6" i="17" s="1"/>
  <c r="S6" i="17"/>
  <c r="R6" i="17"/>
  <c r="Q6" i="17"/>
  <c r="P6" i="17"/>
  <c r="O6" i="17"/>
  <c r="N6" i="17"/>
  <c r="M6" i="17"/>
  <c r="L6" i="17"/>
  <c r="K6" i="17"/>
  <c r="J6" i="17"/>
  <c r="I6" i="17"/>
  <c r="H6" i="17"/>
  <c r="G6" i="17"/>
  <c r="F6" i="17"/>
  <c r="E6" i="17"/>
  <c r="D6" i="17"/>
  <c r="C6" i="17"/>
  <c r="U5" i="17"/>
  <c r="T5" i="17"/>
  <c r="S5" i="17"/>
  <c r="R5" i="17"/>
  <c r="Q5" i="17"/>
  <c r="P5" i="17"/>
  <c r="O5" i="17"/>
  <c r="N5" i="17"/>
  <c r="M5" i="17"/>
  <c r="L5" i="17"/>
  <c r="K5" i="17"/>
  <c r="J5" i="17"/>
  <c r="I5" i="17"/>
  <c r="H5" i="17"/>
  <c r="G5" i="17"/>
  <c r="F5" i="17"/>
  <c r="E5" i="17"/>
  <c r="D5" i="17"/>
  <c r="C5" i="17"/>
  <c r="V4" i="17"/>
  <c r="V25" i="17" s="1"/>
  <c r="U4" i="17"/>
  <c r="U25" i="17" s="1"/>
  <c r="T4" i="17"/>
  <c r="S4" i="17"/>
  <c r="R4" i="17"/>
  <c r="Q4" i="17"/>
  <c r="P4" i="17"/>
  <c r="O4" i="17"/>
  <c r="N4" i="17"/>
  <c r="M4" i="17"/>
  <c r="L4" i="17"/>
  <c r="K4" i="17"/>
  <c r="J4" i="17"/>
  <c r="I4" i="17"/>
  <c r="H4" i="17"/>
  <c r="G4" i="17"/>
  <c r="F4" i="17"/>
  <c r="E4" i="17"/>
  <c r="D4" i="17"/>
  <c r="C4" i="17"/>
  <c r="Z30" i="16"/>
  <c r="C27" i="16"/>
  <c r="AB27" i="16" s="1"/>
  <c r="D26" i="16"/>
  <c r="C26" i="16"/>
  <c r="E25" i="16"/>
  <c r="AB25" i="16" s="1"/>
  <c r="D25" i="16"/>
  <c r="C25" i="16"/>
  <c r="F24" i="16"/>
  <c r="AB24" i="16" s="1"/>
  <c r="E24" i="16"/>
  <c r="D24" i="16"/>
  <c r="C24" i="16"/>
  <c r="G23" i="16"/>
  <c r="AB23" i="16" s="1"/>
  <c r="F23" i="16"/>
  <c r="E23" i="16"/>
  <c r="D23" i="16"/>
  <c r="C23" i="16"/>
  <c r="H22" i="16"/>
  <c r="AB22" i="16" s="1"/>
  <c r="G22" i="16"/>
  <c r="F22" i="16"/>
  <c r="E22" i="16"/>
  <c r="D22" i="16"/>
  <c r="C22" i="16"/>
  <c r="I21" i="16"/>
  <c r="AB21" i="16" s="1"/>
  <c r="H21" i="16"/>
  <c r="G21" i="16"/>
  <c r="F21" i="16"/>
  <c r="E21" i="16"/>
  <c r="D21" i="16"/>
  <c r="C21" i="16"/>
  <c r="J20" i="16"/>
  <c r="AB20" i="16" s="1"/>
  <c r="I20" i="16"/>
  <c r="H20" i="16"/>
  <c r="G20" i="16"/>
  <c r="F20" i="16"/>
  <c r="E20" i="16"/>
  <c r="D20" i="16"/>
  <c r="C20" i="16"/>
  <c r="K19" i="16"/>
  <c r="AB19" i="16" s="1"/>
  <c r="J19" i="16"/>
  <c r="I19" i="16"/>
  <c r="H19" i="16"/>
  <c r="G19" i="16"/>
  <c r="F19" i="16"/>
  <c r="E19" i="16"/>
  <c r="D19" i="16"/>
  <c r="C19" i="16"/>
  <c r="L18" i="16"/>
  <c r="AB18" i="16" s="1"/>
  <c r="K18" i="16"/>
  <c r="J18" i="16"/>
  <c r="I18" i="16"/>
  <c r="H18" i="16"/>
  <c r="G18" i="16"/>
  <c r="F18" i="16"/>
  <c r="E18" i="16"/>
  <c r="D18" i="16"/>
  <c r="C18" i="16"/>
  <c r="M17" i="16"/>
  <c r="AB17" i="16" s="1"/>
  <c r="L17" i="16"/>
  <c r="K17" i="16"/>
  <c r="J17" i="16"/>
  <c r="I17" i="16"/>
  <c r="H17" i="16"/>
  <c r="G17" i="16"/>
  <c r="F17" i="16"/>
  <c r="E17" i="16"/>
  <c r="D17" i="16"/>
  <c r="C17" i="16"/>
  <c r="N16" i="16"/>
  <c r="AB16" i="16" s="1"/>
  <c r="M16" i="16"/>
  <c r="L16" i="16"/>
  <c r="K16" i="16"/>
  <c r="J16" i="16"/>
  <c r="I16" i="16"/>
  <c r="H16" i="16"/>
  <c r="G16" i="16"/>
  <c r="F16" i="16"/>
  <c r="E16" i="16"/>
  <c r="D16" i="16"/>
  <c r="C16" i="16"/>
  <c r="O15" i="16"/>
  <c r="AB15" i="16" s="1"/>
  <c r="N15" i="16"/>
  <c r="M15" i="16"/>
  <c r="L15" i="16"/>
  <c r="K15" i="16"/>
  <c r="J15" i="16"/>
  <c r="I15" i="16"/>
  <c r="H15" i="16"/>
  <c r="G15" i="16"/>
  <c r="F15" i="16"/>
  <c r="E15" i="16"/>
  <c r="D15" i="16"/>
  <c r="C15" i="16"/>
  <c r="P14" i="16"/>
  <c r="O14" i="16"/>
  <c r="N14" i="16"/>
  <c r="M14" i="16"/>
  <c r="L14" i="16"/>
  <c r="K14" i="16"/>
  <c r="J14" i="16"/>
  <c r="I14" i="16"/>
  <c r="H14" i="16"/>
  <c r="G14" i="16"/>
  <c r="F14" i="16"/>
  <c r="E14" i="16"/>
  <c r="D14" i="16"/>
  <c r="C14" i="16"/>
  <c r="Q13" i="16"/>
  <c r="AB13" i="16" s="1"/>
  <c r="P13" i="16"/>
  <c r="O13" i="16"/>
  <c r="N13" i="16"/>
  <c r="M13" i="16"/>
  <c r="L13" i="16"/>
  <c r="K13" i="16"/>
  <c r="J13" i="16"/>
  <c r="I13" i="16"/>
  <c r="H13" i="16"/>
  <c r="G13" i="16"/>
  <c r="F13" i="16"/>
  <c r="E13" i="16"/>
  <c r="D13" i="16"/>
  <c r="C13" i="16"/>
  <c r="R12" i="16"/>
  <c r="AB12" i="16" s="1"/>
  <c r="Q12" i="16"/>
  <c r="P12" i="16"/>
  <c r="O12" i="16"/>
  <c r="N12" i="16"/>
  <c r="M12" i="16"/>
  <c r="L12" i="16"/>
  <c r="K12" i="16"/>
  <c r="J12" i="16"/>
  <c r="I12" i="16"/>
  <c r="H12" i="16"/>
  <c r="G12" i="16"/>
  <c r="F12" i="16"/>
  <c r="E12" i="16"/>
  <c r="D12" i="16"/>
  <c r="C12" i="16"/>
  <c r="S11" i="16"/>
  <c r="AB11" i="16" s="1"/>
  <c r="R11" i="16"/>
  <c r="Q11" i="16"/>
  <c r="P11" i="16"/>
  <c r="O11" i="16"/>
  <c r="N11" i="16"/>
  <c r="M11" i="16"/>
  <c r="L11" i="16"/>
  <c r="K11" i="16"/>
  <c r="J11" i="16"/>
  <c r="I11" i="16"/>
  <c r="H11" i="16"/>
  <c r="G11" i="16"/>
  <c r="F11" i="16"/>
  <c r="E11" i="16"/>
  <c r="D11" i="16"/>
  <c r="C11" i="16"/>
  <c r="T10" i="16"/>
  <c r="AB10" i="16" s="1"/>
  <c r="S10" i="16"/>
  <c r="R10" i="16"/>
  <c r="Q10" i="16"/>
  <c r="P10" i="16"/>
  <c r="O10" i="16"/>
  <c r="N10" i="16"/>
  <c r="M10" i="16"/>
  <c r="L10" i="16"/>
  <c r="K10" i="16"/>
  <c r="J10" i="16"/>
  <c r="I10" i="16"/>
  <c r="H10" i="16"/>
  <c r="G10" i="16"/>
  <c r="F10" i="16"/>
  <c r="E10" i="16"/>
  <c r="D10" i="16"/>
  <c r="C10" i="16"/>
  <c r="U9" i="16"/>
  <c r="AB9" i="16" s="1"/>
  <c r="T9" i="16"/>
  <c r="S9" i="16"/>
  <c r="R9" i="16"/>
  <c r="Q9" i="16"/>
  <c r="P9" i="16"/>
  <c r="O9" i="16"/>
  <c r="N9" i="16"/>
  <c r="M9" i="16"/>
  <c r="L9" i="16"/>
  <c r="K9" i="16"/>
  <c r="J9" i="16"/>
  <c r="I9" i="16"/>
  <c r="H9" i="16"/>
  <c r="G9" i="16"/>
  <c r="F9" i="16"/>
  <c r="E9" i="16"/>
  <c r="D9" i="16"/>
  <c r="C9" i="16"/>
  <c r="V8" i="16"/>
  <c r="AB8" i="16" s="1"/>
  <c r="U8" i="16"/>
  <c r="T8" i="16"/>
  <c r="S8" i="16"/>
  <c r="R8" i="16"/>
  <c r="Q8" i="16"/>
  <c r="P8" i="16"/>
  <c r="O8" i="16"/>
  <c r="N8" i="16"/>
  <c r="M8" i="16"/>
  <c r="L8" i="16"/>
  <c r="K8" i="16"/>
  <c r="J8" i="16"/>
  <c r="I8" i="16"/>
  <c r="H8" i="16"/>
  <c r="G8" i="16"/>
  <c r="F8" i="16"/>
  <c r="E8" i="16"/>
  <c r="D8" i="16"/>
  <c r="C8" i="16"/>
  <c r="W7" i="16"/>
  <c r="AB7" i="16" s="1"/>
  <c r="V7" i="16"/>
  <c r="U7" i="16"/>
  <c r="T7" i="16"/>
  <c r="S7" i="16"/>
  <c r="R7" i="16"/>
  <c r="Q7" i="16"/>
  <c r="P7" i="16"/>
  <c r="O7" i="16"/>
  <c r="N7" i="16"/>
  <c r="M7" i="16"/>
  <c r="L7" i="16"/>
  <c r="K7" i="16"/>
  <c r="J7" i="16"/>
  <c r="I7" i="16"/>
  <c r="H7" i="16"/>
  <c r="G7" i="16"/>
  <c r="F7" i="16"/>
  <c r="E7" i="16"/>
  <c r="D7" i="16"/>
  <c r="C7" i="16"/>
  <c r="X6" i="16"/>
  <c r="AB6" i="16" s="1"/>
  <c r="W6" i="16"/>
  <c r="V6" i="16"/>
  <c r="U6" i="16"/>
  <c r="T6" i="16"/>
  <c r="S6" i="16"/>
  <c r="R6" i="16"/>
  <c r="Q6" i="16"/>
  <c r="P6" i="16"/>
  <c r="O6" i="16"/>
  <c r="N6" i="16"/>
  <c r="M6" i="16"/>
  <c r="L6" i="16"/>
  <c r="K6" i="16"/>
  <c r="J6" i="16"/>
  <c r="I6" i="16"/>
  <c r="H6" i="16"/>
  <c r="G6" i="16"/>
  <c r="F6" i="16"/>
  <c r="E6" i="16"/>
  <c r="D6" i="16"/>
  <c r="C6" i="16"/>
  <c r="Y5" i="16"/>
  <c r="AB5" i="16" s="1"/>
  <c r="X5" i="16"/>
  <c r="W5" i="16"/>
  <c r="V5" i="16"/>
  <c r="U5" i="16"/>
  <c r="T5" i="16"/>
  <c r="S5" i="16"/>
  <c r="R5" i="16"/>
  <c r="Q5" i="16"/>
  <c r="P5" i="16"/>
  <c r="O5" i="16"/>
  <c r="N5" i="16"/>
  <c r="M5" i="16"/>
  <c r="L5" i="16"/>
  <c r="K5" i="16"/>
  <c r="J5" i="16"/>
  <c r="I5" i="16"/>
  <c r="H5" i="16"/>
  <c r="G5" i="16"/>
  <c r="F5" i="16"/>
  <c r="E5" i="16"/>
  <c r="D5" i="16"/>
  <c r="C5" i="16"/>
  <c r="Z4" i="16"/>
  <c r="AA4" i="16" s="1"/>
  <c r="I76" i="2" s="1"/>
  <c r="Y4" i="16"/>
  <c r="Y29" i="16" s="1"/>
  <c r="X4" i="16"/>
  <c r="X29" i="16" s="1"/>
  <c r="W4" i="16"/>
  <c r="V4" i="16"/>
  <c r="U4" i="16"/>
  <c r="T4" i="16"/>
  <c r="S4" i="16"/>
  <c r="R4" i="16"/>
  <c r="Q4" i="16"/>
  <c r="P4" i="16"/>
  <c r="O4" i="16"/>
  <c r="N4" i="16"/>
  <c r="M4" i="16"/>
  <c r="L4" i="16"/>
  <c r="K4" i="16"/>
  <c r="J4" i="16"/>
  <c r="I4" i="16"/>
  <c r="H4" i="16"/>
  <c r="G4" i="16"/>
  <c r="F4" i="16"/>
  <c r="E4" i="16"/>
  <c r="D4" i="16"/>
  <c r="C4" i="16"/>
  <c r="C27" i="9"/>
  <c r="D26" i="9"/>
  <c r="C26" i="9"/>
  <c r="E25" i="9"/>
  <c r="D25" i="9"/>
  <c r="C25" i="9"/>
  <c r="F24" i="9"/>
  <c r="E24" i="9"/>
  <c r="D24" i="9"/>
  <c r="C24" i="9"/>
  <c r="G23" i="9"/>
  <c r="F23" i="9"/>
  <c r="E23" i="9"/>
  <c r="D23" i="9"/>
  <c r="C23" i="9"/>
  <c r="H22" i="9"/>
  <c r="G22" i="9"/>
  <c r="F22" i="9"/>
  <c r="E22" i="9"/>
  <c r="D22" i="9"/>
  <c r="C22" i="9"/>
  <c r="I21" i="9"/>
  <c r="H21" i="9"/>
  <c r="G21" i="9"/>
  <c r="F21" i="9"/>
  <c r="E21" i="9"/>
  <c r="D21" i="9"/>
  <c r="C21" i="9"/>
  <c r="J20" i="9"/>
  <c r="I20" i="9"/>
  <c r="H20" i="9"/>
  <c r="G20" i="9"/>
  <c r="F20" i="9"/>
  <c r="E20" i="9"/>
  <c r="D20" i="9"/>
  <c r="C20" i="9"/>
  <c r="K19" i="9"/>
  <c r="J19" i="9"/>
  <c r="I19" i="9"/>
  <c r="H19" i="9"/>
  <c r="G19" i="9"/>
  <c r="F19" i="9"/>
  <c r="E19" i="9"/>
  <c r="D19" i="9"/>
  <c r="C19" i="9"/>
  <c r="L18" i="9"/>
  <c r="K18" i="9"/>
  <c r="J18" i="9"/>
  <c r="I18" i="9"/>
  <c r="H18" i="9"/>
  <c r="G18" i="9"/>
  <c r="F18" i="9"/>
  <c r="E18" i="9"/>
  <c r="D18" i="9"/>
  <c r="C18" i="9"/>
  <c r="M17" i="9"/>
  <c r="L17" i="9"/>
  <c r="K17" i="9"/>
  <c r="J17" i="9"/>
  <c r="I17" i="9"/>
  <c r="H17" i="9"/>
  <c r="G17" i="9"/>
  <c r="F17" i="9"/>
  <c r="E17" i="9"/>
  <c r="D17" i="9"/>
  <c r="C17" i="9"/>
  <c r="N16" i="9"/>
  <c r="M16" i="9"/>
  <c r="L16" i="9"/>
  <c r="K16" i="9"/>
  <c r="J16" i="9"/>
  <c r="I16" i="9"/>
  <c r="H16" i="9"/>
  <c r="G16" i="9"/>
  <c r="F16" i="9"/>
  <c r="E16" i="9"/>
  <c r="D16" i="9"/>
  <c r="C16" i="9"/>
  <c r="O15" i="9"/>
  <c r="N15" i="9"/>
  <c r="M15" i="9"/>
  <c r="L15" i="9"/>
  <c r="K15" i="9"/>
  <c r="J15" i="9"/>
  <c r="I15" i="9"/>
  <c r="H15" i="9"/>
  <c r="G15" i="9"/>
  <c r="F15" i="9"/>
  <c r="E15" i="9"/>
  <c r="D15" i="9"/>
  <c r="C15" i="9"/>
  <c r="P14" i="9"/>
  <c r="O14" i="9"/>
  <c r="N14" i="9"/>
  <c r="M14" i="9"/>
  <c r="L14" i="9"/>
  <c r="K14" i="9"/>
  <c r="J14" i="9"/>
  <c r="I14" i="9"/>
  <c r="H14" i="9"/>
  <c r="G14" i="9"/>
  <c r="F14" i="9"/>
  <c r="E14" i="9"/>
  <c r="D14" i="9"/>
  <c r="C14" i="9"/>
  <c r="Q13" i="9"/>
  <c r="P13" i="9"/>
  <c r="O13" i="9"/>
  <c r="N13" i="9"/>
  <c r="M13" i="9"/>
  <c r="L13" i="9"/>
  <c r="K13" i="9"/>
  <c r="J13" i="9"/>
  <c r="I13" i="9"/>
  <c r="H13" i="9"/>
  <c r="G13" i="9"/>
  <c r="F13" i="9"/>
  <c r="E13" i="9"/>
  <c r="D13" i="9"/>
  <c r="C13" i="9"/>
  <c r="R12" i="9"/>
  <c r="Q12" i="9"/>
  <c r="P12" i="9"/>
  <c r="O12" i="9"/>
  <c r="N12" i="9"/>
  <c r="M12" i="9"/>
  <c r="L12" i="9"/>
  <c r="K12" i="9"/>
  <c r="J12" i="9"/>
  <c r="I12" i="9"/>
  <c r="H12" i="9"/>
  <c r="G12" i="9"/>
  <c r="F12" i="9"/>
  <c r="E12" i="9"/>
  <c r="D12" i="9"/>
  <c r="C12" i="9"/>
  <c r="S11" i="9"/>
  <c r="R11" i="9"/>
  <c r="Q11" i="9"/>
  <c r="P11" i="9"/>
  <c r="O11" i="9"/>
  <c r="N11" i="9"/>
  <c r="M11" i="9"/>
  <c r="L11" i="9"/>
  <c r="K11" i="9"/>
  <c r="J11" i="9"/>
  <c r="I11" i="9"/>
  <c r="H11" i="9"/>
  <c r="G11" i="9"/>
  <c r="F11" i="9"/>
  <c r="E11" i="9"/>
  <c r="D11" i="9"/>
  <c r="C11" i="9"/>
  <c r="T10" i="9"/>
  <c r="S10" i="9"/>
  <c r="R10" i="9"/>
  <c r="Q10" i="9"/>
  <c r="P10" i="9"/>
  <c r="O10" i="9"/>
  <c r="N10" i="9"/>
  <c r="M10" i="9"/>
  <c r="L10" i="9"/>
  <c r="K10" i="9"/>
  <c r="J10" i="9"/>
  <c r="I10" i="9"/>
  <c r="H10" i="9"/>
  <c r="G10" i="9"/>
  <c r="F10" i="9"/>
  <c r="E10" i="9"/>
  <c r="D10" i="9"/>
  <c r="C10" i="9"/>
  <c r="U9" i="9"/>
  <c r="T9" i="9"/>
  <c r="S9" i="9"/>
  <c r="R9" i="9"/>
  <c r="Q9" i="9"/>
  <c r="P9" i="9"/>
  <c r="O9" i="9"/>
  <c r="N9" i="9"/>
  <c r="M9" i="9"/>
  <c r="L9" i="9"/>
  <c r="K9" i="9"/>
  <c r="J9" i="9"/>
  <c r="I9" i="9"/>
  <c r="H9" i="9"/>
  <c r="G9" i="9"/>
  <c r="F9" i="9"/>
  <c r="E9" i="9"/>
  <c r="D9" i="9"/>
  <c r="C9" i="9"/>
  <c r="V8" i="9"/>
  <c r="U8" i="9"/>
  <c r="T8" i="9"/>
  <c r="S8" i="9"/>
  <c r="R8" i="9"/>
  <c r="Q8" i="9"/>
  <c r="P8" i="9"/>
  <c r="O8" i="9"/>
  <c r="N8" i="9"/>
  <c r="M8" i="9"/>
  <c r="L8" i="9"/>
  <c r="K8" i="9"/>
  <c r="J8" i="9"/>
  <c r="I8" i="9"/>
  <c r="H8" i="9"/>
  <c r="G8" i="9"/>
  <c r="F8" i="9"/>
  <c r="E8" i="9"/>
  <c r="D8" i="9"/>
  <c r="C8" i="9"/>
  <c r="W7" i="9"/>
  <c r="V7" i="9"/>
  <c r="U7" i="9"/>
  <c r="T7" i="9"/>
  <c r="S7" i="9"/>
  <c r="R7" i="9"/>
  <c r="Q7" i="9"/>
  <c r="P7" i="9"/>
  <c r="O7" i="9"/>
  <c r="N7" i="9"/>
  <c r="M7" i="9"/>
  <c r="L7" i="9"/>
  <c r="K7" i="9"/>
  <c r="J7" i="9"/>
  <c r="I7" i="9"/>
  <c r="H7" i="9"/>
  <c r="G7" i="9"/>
  <c r="F7" i="9"/>
  <c r="E7" i="9"/>
  <c r="D7" i="9"/>
  <c r="C7" i="9"/>
  <c r="X6" i="9"/>
  <c r="W6" i="9"/>
  <c r="V6" i="9"/>
  <c r="U6" i="9"/>
  <c r="T6" i="9"/>
  <c r="S6" i="9"/>
  <c r="R6" i="9"/>
  <c r="Q6" i="9"/>
  <c r="P6" i="9"/>
  <c r="O6" i="9"/>
  <c r="N6" i="9"/>
  <c r="M6" i="9"/>
  <c r="L6" i="9"/>
  <c r="K6" i="9"/>
  <c r="J6" i="9"/>
  <c r="I6" i="9"/>
  <c r="H6" i="9"/>
  <c r="G6" i="9"/>
  <c r="F6" i="9"/>
  <c r="E6" i="9"/>
  <c r="D6" i="9"/>
  <c r="C6" i="9"/>
  <c r="Y5" i="9"/>
  <c r="X5" i="9"/>
  <c r="W5" i="9"/>
  <c r="V5" i="9"/>
  <c r="U5" i="9"/>
  <c r="T5" i="9"/>
  <c r="S5" i="9"/>
  <c r="R5" i="9"/>
  <c r="Q5" i="9"/>
  <c r="P5" i="9"/>
  <c r="O5" i="9"/>
  <c r="N5" i="9"/>
  <c r="M5" i="9"/>
  <c r="L5" i="9"/>
  <c r="K5" i="9"/>
  <c r="J5" i="9"/>
  <c r="I5" i="9"/>
  <c r="H5" i="9"/>
  <c r="G5" i="9"/>
  <c r="F5" i="9"/>
  <c r="E5" i="9"/>
  <c r="D5" i="9"/>
  <c r="C5" i="9"/>
  <c r="Z4" i="9"/>
  <c r="Y4" i="9"/>
  <c r="X4" i="9"/>
  <c r="W4" i="9"/>
  <c r="V4" i="9"/>
  <c r="U4" i="9"/>
  <c r="T4" i="9"/>
  <c r="S4" i="9"/>
  <c r="R4" i="9"/>
  <c r="Q4" i="9"/>
  <c r="P4" i="9"/>
  <c r="O4" i="9"/>
  <c r="N4" i="9"/>
  <c r="M4" i="9"/>
  <c r="L4" i="9"/>
  <c r="K4" i="9"/>
  <c r="J4" i="9"/>
  <c r="I4" i="9"/>
  <c r="H4" i="9"/>
  <c r="G4" i="9"/>
  <c r="F4" i="9"/>
  <c r="E4" i="9"/>
  <c r="D4" i="9"/>
  <c r="C4" i="9"/>
  <c r="D23" i="19" l="1"/>
  <c r="Q24" i="19"/>
  <c r="R24" i="19"/>
  <c r="G26" i="19"/>
  <c r="H19" i="19" s="1"/>
  <c r="I19" i="19" s="1"/>
  <c r="C26" i="19"/>
  <c r="Y4" i="19"/>
  <c r="L26" i="19"/>
  <c r="M14" i="19" s="1"/>
  <c r="H26" i="19"/>
  <c r="I18" i="19" s="1"/>
  <c r="E24" i="18"/>
  <c r="T24" i="18"/>
  <c r="I25" i="18"/>
  <c r="H24" i="18"/>
  <c r="I24" i="18"/>
  <c r="L25" i="17"/>
  <c r="I25" i="17"/>
  <c r="J24" i="18"/>
  <c r="W4" i="18"/>
  <c r="Y4" i="18" s="1"/>
  <c r="J24" i="17"/>
  <c r="L25" i="18"/>
  <c r="X4" i="18"/>
  <c r="G24" i="18"/>
  <c r="Q24" i="17"/>
  <c r="L24" i="18"/>
  <c r="C25" i="17"/>
  <c r="M24" i="18"/>
  <c r="T25" i="17"/>
  <c r="C25" i="18"/>
  <c r="N24" i="18"/>
  <c r="E25" i="17"/>
  <c r="C24" i="18"/>
  <c r="O24" i="18"/>
  <c r="H25" i="18"/>
  <c r="D24" i="18"/>
  <c r="S24" i="18"/>
  <c r="M14" i="18"/>
  <c r="N14" i="18" s="1"/>
  <c r="N13" i="18"/>
  <c r="I18" i="18"/>
  <c r="J18" i="18" s="1"/>
  <c r="D23" i="18"/>
  <c r="J17" i="18"/>
  <c r="U6" i="18"/>
  <c r="V6" i="18" s="1"/>
  <c r="W6" i="18" s="1"/>
  <c r="X6" i="18"/>
  <c r="X18" i="18"/>
  <c r="F24" i="18"/>
  <c r="R24" i="18"/>
  <c r="S8" i="18" s="1"/>
  <c r="T8" i="18" s="1"/>
  <c r="U8" i="18" s="1"/>
  <c r="V8" i="18" s="1"/>
  <c r="W8" i="18" s="1"/>
  <c r="Y8" i="18" s="1"/>
  <c r="J25" i="18"/>
  <c r="K16" i="18" s="1"/>
  <c r="V25" i="18"/>
  <c r="K25" i="18"/>
  <c r="R9" i="18"/>
  <c r="S9" i="18" s="1"/>
  <c r="T9" i="18" s="1"/>
  <c r="F21" i="18"/>
  <c r="U24" i="18"/>
  <c r="V5" i="18" s="1"/>
  <c r="W5" i="18" s="1"/>
  <c r="M25" i="18"/>
  <c r="X14" i="18"/>
  <c r="K24" i="18"/>
  <c r="X12" i="18"/>
  <c r="D25" i="18"/>
  <c r="E22" i="18" s="1"/>
  <c r="F22" i="18" s="1"/>
  <c r="P25" i="18"/>
  <c r="Q10" i="18" s="1"/>
  <c r="R10" i="18" s="1"/>
  <c r="S10" i="18" s="1"/>
  <c r="T10" i="18" s="1"/>
  <c r="U10" i="18" s="1"/>
  <c r="V10" i="18" s="1"/>
  <c r="W10" i="18" s="1"/>
  <c r="Y10" i="18" s="1"/>
  <c r="T7" i="18"/>
  <c r="X11" i="18"/>
  <c r="H19" i="18"/>
  <c r="I19" i="18" s="1"/>
  <c r="J19" i="18" s="1"/>
  <c r="X23" i="18"/>
  <c r="E25" i="18"/>
  <c r="Q25" i="18"/>
  <c r="R25" i="18"/>
  <c r="F25" i="18"/>
  <c r="M25" i="17"/>
  <c r="M24" i="17"/>
  <c r="M26" i="17" s="1"/>
  <c r="K24" i="17"/>
  <c r="T24" i="17"/>
  <c r="D25" i="17"/>
  <c r="C24" i="17"/>
  <c r="C26" i="17" s="1"/>
  <c r="P24" i="17"/>
  <c r="F25" i="17"/>
  <c r="R25" i="17"/>
  <c r="E24" i="17"/>
  <c r="G25" i="17"/>
  <c r="S25" i="17"/>
  <c r="H25" i="17"/>
  <c r="H24" i="17"/>
  <c r="R24" i="17"/>
  <c r="I24" i="17"/>
  <c r="W4" i="17"/>
  <c r="V24" i="17"/>
  <c r="V26" i="17" s="1"/>
  <c r="K25" i="17"/>
  <c r="X4" i="17"/>
  <c r="U26" i="17"/>
  <c r="V5" i="17" s="1"/>
  <c r="D24" i="17"/>
  <c r="J25" i="17"/>
  <c r="J26" i="17" s="1"/>
  <c r="Q25" i="17"/>
  <c r="Q26" i="17" s="1"/>
  <c r="F24" i="17"/>
  <c r="L24" i="17"/>
  <c r="S24" i="17"/>
  <c r="G24" i="17"/>
  <c r="U29" i="16"/>
  <c r="J29" i="16"/>
  <c r="V29" i="16"/>
  <c r="W29" i="16"/>
  <c r="L29" i="16"/>
  <c r="N29" i="16"/>
  <c r="C29" i="16"/>
  <c r="O29" i="16"/>
  <c r="K29" i="16"/>
  <c r="M29" i="16"/>
  <c r="D29" i="16"/>
  <c r="P29" i="16"/>
  <c r="M28" i="16"/>
  <c r="E29" i="16"/>
  <c r="Q29" i="16"/>
  <c r="N28" i="16"/>
  <c r="F29" i="16"/>
  <c r="R29" i="16"/>
  <c r="Y28" i="16"/>
  <c r="G29" i="16"/>
  <c r="S29" i="16"/>
  <c r="H29" i="16"/>
  <c r="T29" i="16"/>
  <c r="I29" i="16"/>
  <c r="C28" i="16"/>
  <c r="O28" i="16"/>
  <c r="AB4" i="16"/>
  <c r="D28" i="16"/>
  <c r="P28" i="16"/>
  <c r="E28" i="16"/>
  <c r="Q28" i="16"/>
  <c r="F28" i="16"/>
  <c r="R28" i="16"/>
  <c r="G28" i="16"/>
  <c r="S28" i="16"/>
  <c r="H28" i="16"/>
  <c r="T28" i="16"/>
  <c r="I28" i="16"/>
  <c r="U28" i="16"/>
  <c r="AB14" i="16"/>
  <c r="AB26" i="16"/>
  <c r="J28" i="16"/>
  <c r="V28" i="16"/>
  <c r="K28" i="16"/>
  <c r="W28" i="16"/>
  <c r="L28" i="16"/>
  <c r="X28" i="16"/>
  <c r="C28" i="9"/>
  <c r="E29" i="9"/>
  <c r="E28" i="9"/>
  <c r="X28" i="9"/>
  <c r="N26" i="19" l="1"/>
  <c r="O12" i="19" s="1"/>
  <c r="D26" i="19"/>
  <c r="E22" i="19" s="1"/>
  <c r="F22" i="19" s="1"/>
  <c r="G22" i="19" s="1"/>
  <c r="H22" i="19" s="1"/>
  <c r="O26" i="19"/>
  <c r="P11" i="19" s="1"/>
  <c r="M26" i="19"/>
  <c r="N13" i="19" s="1"/>
  <c r="O13" i="19" s="1"/>
  <c r="P13" i="19" s="1"/>
  <c r="K26" i="19"/>
  <c r="L15" i="19" s="1"/>
  <c r="M15" i="19" s="1"/>
  <c r="N15" i="19" s="1"/>
  <c r="O15" i="19" s="1"/>
  <c r="I26" i="19"/>
  <c r="J17" i="19" s="1"/>
  <c r="K17" i="19" s="1"/>
  <c r="L17" i="19" s="1"/>
  <c r="M17" i="19" s="1"/>
  <c r="P26" i="19"/>
  <c r="Q10" i="19" s="1"/>
  <c r="R10" i="19" s="1"/>
  <c r="S10" i="19" s="1"/>
  <c r="U26" i="19"/>
  <c r="V5" i="19" s="1"/>
  <c r="T26" i="19"/>
  <c r="U6" i="19" s="1"/>
  <c r="Q26" i="19"/>
  <c r="R9" i="19" s="1"/>
  <c r="X27" i="19"/>
  <c r="F26" i="19"/>
  <c r="G20" i="19" s="1"/>
  <c r="H20" i="19" s="1"/>
  <c r="I20" i="19" s="1"/>
  <c r="E26" i="19"/>
  <c r="F21" i="19" s="1"/>
  <c r="G21" i="19" s="1"/>
  <c r="H21" i="19" s="1"/>
  <c r="I21" i="19" s="1"/>
  <c r="J26" i="19"/>
  <c r="K16" i="19" s="1"/>
  <c r="S26" i="19"/>
  <c r="T7" i="19" s="1"/>
  <c r="R26" i="19"/>
  <c r="S8" i="19" s="1"/>
  <c r="Y7" i="19"/>
  <c r="Y6" i="19"/>
  <c r="Y6" i="18"/>
  <c r="D23" i="17"/>
  <c r="X27" i="18"/>
  <c r="S26" i="17"/>
  <c r="T7" i="17" s="1"/>
  <c r="I26" i="17"/>
  <c r="J17" i="17" s="1"/>
  <c r="E26" i="17"/>
  <c r="L26" i="17"/>
  <c r="R26" i="17"/>
  <c r="S8" i="17" s="1"/>
  <c r="T26" i="17"/>
  <c r="H26" i="17"/>
  <c r="I18" i="17" s="1"/>
  <c r="J18" i="17" s="1"/>
  <c r="K18" i="17" s="1"/>
  <c r="L18" i="17" s="1"/>
  <c r="K26" i="17"/>
  <c r="Y5" i="18"/>
  <c r="L16" i="18"/>
  <c r="M16" i="18" s="1"/>
  <c r="N16" i="18" s="1"/>
  <c r="U7" i="18"/>
  <c r="V7" i="18" s="1"/>
  <c r="W7" i="18" s="1"/>
  <c r="Y7" i="18" s="1"/>
  <c r="U9" i="18"/>
  <c r="V9" i="18" s="1"/>
  <c r="W9" i="18" s="1"/>
  <c r="Y9" i="18" s="1"/>
  <c r="K17" i="18"/>
  <c r="L17" i="18" s="1"/>
  <c r="M17" i="18" s="1"/>
  <c r="N17" i="18" s="1"/>
  <c r="G21" i="18"/>
  <c r="H21" i="18" s="1"/>
  <c r="I21" i="18" s="1"/>
  <c r="J21" i="18" s="1"/>
  <c r="K21" i="18" s="1"/>
  <c r="L21" i="18" s="1"/>
  <c r="M21" i="18" s="1"/>
  <c r="N21" i="18" s="1"/>
  <c r="E23" i="18"/>
  <c r="F23" i="18" s="1"/>
  <c r="G23" i="18" s="1"/>
  <c r="H23" i="18" s="1"/>
  <c r="I23" i="18" s="1"/>
  <c r="J23" i="18" s="1"/>
  <c r="K23" i="18" s="1"/>
  <c r="L23" i="18" s="1"/>
  <c r="M23" i="18" s="1"/>
  <c r="N23" i="18" s="1"/>
  <c r="K19" i="18"/>
  <c r="K18" i="18"/>
  <c r="L15" i="18"/>
  <c r="M15" i="18" s="1"/>
  <c r="N15" i="18" s="1"/>
  <c r="G20" i="18"/>
  <c r="H20" i="18" s="1"/>
  <c r="I20" i="18" s="1"/>
  <c r="J20" i="18" s="1"/>
  <c r="K20" i="18" s="1"/>
  <c r="L20" i="18" s="1"/>
  <c r="M20" i="18" s="1"/>
  <c r="N20" i="18" s="1"/>
  <c r="N25" i="18"/>
  <c r="F26" i="17"/>
  <c r="G20" i="17" s="1"/>
  <c r="D26" i="17"/>
  <c r="E22" i="17" s="1"/>
  <c r="F22" i="17" s="1"/>
  <c r="G22" i="17" s="1"/>
  <c r="G26" i="17"/>
  <c r="Y4" i="17"/>
  <c r="P26" i="17"/>
  <c r="Q10" i="17" s="1"/>
  <c r="H19" i="17"/>
  <c r="M14" i="17"/>
  <c r="N14" i="17" s="1"/>
  <c r="L15" i="17"/>
  <c r="K16" i="17"/>
  <c r="L16" i="17" s="1"/>
  <c r="W5" i="17"/>
  <c r="Y5" i="17" s="1"/>
  <c r="R9" i="17"/>
  <c r="X27" i="17"/>
  <c r="AB33" i="16"/>
  <c r="AC4" i="16"/>
  <c r="L76" i="2" s="1"/>
  <c r="AB24" i="9"/>
  <c r="AB23" i="9"/>
  <c r="AB20" i="9"/>
  <c r="AB18" i="9"/>
  <c r="AB17" i="9"/>
  <c r="AB16" i="9"/>
  <c r="AB15" i="9"/>
  <c r="AB14" i="9"/>
  <c r="AB13" i="9"/>
  <c r="AB12" i="9"/>
  <c r="AB11" i="9"/>
  <c r="AB10" i="9"/>
  <c r="AB9" i="9"/>
  <c r="AB8" i="9"/>
  <c r="AB7" i="9"/>
  <c r="AB6" i="9"/>
  <c r="AB5" i="9"/>
  <c r="AB4" i="9"/>
  <c r="Y29" i="9"/>
  <c r="AB27" i="9"/>
  <c r="AB22" i="9"/>
  <c r="AB21" i="9"/>
  <c r="T8" i="19" l="1"/>
  <c r="T10" i="19"/>
  <c r="U8" i="19"/>
  <c r="U7" i="19"/>
  <c r="V6" i="19"/>
  <c r="V8" i="19"/>
  <c r="V7" i="19"/>
  <c r="J20" i="19"/>
  <c r="U10" i="19"/>
  <c r="V10" i="19" s="1"/>
  <c r="N17" i="19"/>
  <c r="O17" i="19" s="1"/>
  <c r="P17" i="19" s="1"/>
  <c r="Q17" i="19" s="1"/>
  <c r="R17" i="19" s="1"/>
  <c r="S17" i="19" s="1"/>
  <c r="T17" i="19" s="1"/>
  <c r="U17" i="19" s="1"/>
  <c r="V17" i="19" s="1"/>
  <c r="I22" i="19"/>
  <c r="J22" i="19" s="1"/>
  <c r="K22" i="19" s="1"/>
  <c r="L22" i="19" s="1"/>
  <c r="M22" i="19" s="1"/>
  <c r="N22" i="19" s="1"/>
  <c r="O22" i="19" s="1"/>
  <c r="P22" i="19" s="1"/>
  <c r="Q22" i="19" s="1"/>
  <c r="R22" i="19" s="1"/>
  <c r="S22" i="19" s="1"/>
  <c r="T22" i="19" s="1"/>
  <c r="U22" i="19" s="1"/>
  <c r="V22" i="19" s="1"/>
  <c r="P15" i="19"/>
  <c r="Q15" i="19" s="1"/>
  <c r="R15" i="19" s="1"/>
  <c r="S15" i="19" s="1"/>
  <c r="T15" i="19" s="1"/>
  <c r="U15" i="19" s="1"/>
  <c r="V15" i="19" s="1"/>
  <c r="Q11" i="19"/>
  <c r="R11" i="19" s="1"/>
  <c r="S11" i="19" s="1"/>
  <c r="S9" i="19"/>
  <c r="T9" i="19" s="1"/>
  <c r="U9" i="19" s="1"/>
  <c r="N14" i="19"/>
  <c r="O14" i="19" s="1"/>
  <c r="P14" i="19" s="1"/>
  <c r="Q13" i="19"/>
  <c r="J21" i="19"/>
  <c r="K21" i="19" s="1"/>
  <c r="L21" i="19" s="1"/>
  <c r="M21" i="19" s="1"/>
  <c r="N21" i="19" s="1"/>
  <c r="O21" i="19" s="1"/>
  <c r="P21" i="19" s="1"/>
  <c r="Q21" i="19" s="1"/>
  <c r="R21" i="19" s="1"/>
  <c r="S21" i="19" s="1"/>
  <c r="T21" i="19" s="1"/>
  <c r="U21" i="19" s="1"/>
  <c r="V21" i="19" s="1"/>
  <c r="J19" i="19"/>
  <c r="K19" i="19" s="1"/>
  <c r="L16" i="19"/>
  <c r="M16" i="19" s="1"/>
  <c r="N16" i="19" s="1"/>
  <c r="P12" i="19"/>
  <c r="Q12" i="19" s="1"/>
  <c r="R12" i="19" s="1"/>
  <c r="E23" i="19"/>
  <c r="F23" i="19" s="1"/>
  <c r="G23" i="19" s="1"/>
  <c r="J18" i="19"/>
  <c r="K18" i="19" s="1"/>
  <c r="L18" i="19" s="1"/>
  <c r="Y8" i="19"/>
  <c r="Y5" i="19"/>
  <c r="I19" i="17"/>
  <c r="J19" i="17" s="1"/>
  <c r="K19" i="17" s="1"/>
  <c r="F21" i="17"/>
  <c r="G21" i="17" s="1"/>
  <c r="S9" i="17"/>
  <c r="T9" i="17" s="1"/>
  <c r="U9" i="17" s="1"/>
  <c r="V9" i="17" s="1"/>
  <c r="W9" i="17" s="1"/>
  <c r="Y9" i="17" s="1"/>
  <c r="O17" i="18"/>
  <c r="O23" i="18"/>
  <c r="O20" i="18"/>
  <c r="O16" i="18"/>
  <c r="O15" i="18"/>
  <c r="G22" i="18"/>
  <c r="H22" i="18" s="1"/>
  <c r="I22" i="18" s="1"/>
  <c r="J22" i="18" s="1"/>
  <c r="K22" i="18" s="1"/>
  <c r="L22" i="18" s="1"/>
  <c r="M22" i="18" s="1"/>
  <c r="N22" i="18" s="1"/>
  <c r="O22" i="18" s="1"/>
  <c r="L18" i="18"/>
  <c r="M18" i="18" s="1"/>
  <c r="N18" i="18" s="1"/>
  <c r="O18" i="18" s="1"/>
  <c r="L19" i="18"/>
  <c r="M19" i="18" s="1"/>
  <c r="N19" i="18" s="1"/>
  <c r="M18" i="17"/>
  <c r="N18" i="17" s="1"/>
  <c r="T8" i="17"/>
  <c r="U8" i="17" s="1"/>
  <c r="V8" i="17" s="1"/>
  <c r="W8" i="17" s="1"/>
  <c r="Y8" i="17" s="1"/>
  <c r="L19" i="17"/>
  <c r="M19" i="17" s="1"/>
  <c r="N19" i="17" s="1"/>
  <c r="R10" i="17"/>
  <c r="S10" i="17" s="1"/>
  <c r="T10" i="17" s="1"/>
  <c r="U6" i="17"/>
  <c r="V6" i="17" s="1"/>
  <c r="U7" i="17"/>
  <c r="V7" i="17" s="1"/>
  <c r="W7" i="17" s="1"/>
  <c r="Y7" i="17" s="1"/>
  <c r="E23" i="17"/>
  <c r="F23" i="17" s="1"/>
  <c r="G23" i="17" s="1"/>
  <c r="M16" i="17"/>
  <c r="N16" i="17" s="1"/>
  <c r="K17" i="17"/>
  <c r="L17" i="17" s="1"/>
  <c r="M17" i="17" s="1"/>
  <c r="H22" i="17"/>
  <c r="N13" i="17"/>
  <c r="H21" i="17"/>
  <c r="I21" i="17" s="1"/>
  <c r="M15" i="17"/>
  <c r="N15" i="17" s="1"/>
  <c r="H20" i="17"/>
  <c r="I20" i="17" s="1"/>
  <c r="J20" i="17" s="1"/>
  <c r="T29" i="9"/>
  <c r="V29" i="9"/>
  <c r="W29" i="9"/>
  <c r="C29" i="9"/>
  <c r="C30" i="9" s="1"/>
  <c r="O29" i="9"/>
  <c r="AA4" i="9"/>
  <c r="H76" i="2" s="1"/>
  <c r="N29" i="9"/>
  <c r="D29" i="9"/>
  <c r="X29" i="9"/>
  <c r="Q29" i="9"/>
  <c r="R29" i="9"/>
  <c r="R28" i="9"/>
  <c r="F29" i="9"/>
  <c r="I28" i="9"/>
  <c r="K29" i="9"/>
  <c r="F28" i="9"/>
  <c r="L29" i="9"/>
  <c r="H28" i="9"/>
  <c r="G29" i="9"/>
  <c r="G28" i="9"/>
  <c r="I29" i="9"/>
  <c r="M29" i="9"/>
  <c r="O28" i="9"/>
  <c r="P29" i="9"/>
  <c r="H29" i="9"/>
  <c r="M28" i="9"/>
  <c r="N28" i="9"/>
  <c r="T28" i="9"/>
  <c r="T30" i="9" s="1"/>
  <c r="U10" i="9" s="1"/>
  <c r="J28" i="9"/>
  <c r="P28" i="9"/>
  <c r="S29" i="9"/>
  <c r="J29" i="9"/>
  <c r="D28" i="9"/>
  <c r="K28" i="9"/>
  <c r="Q28" i="9"/>
  <c r="E30" i="9"/>
  <c r="L28" i="9"/>
  <c r="U29" i="9"/>
  <c r="AB19" i="9"/>
  <c r="Y28" i="9"/>
  <c r="Y30" i="9" s="1"/>
  <c r="AB25" i="9"/>
  <c r="S28" i="9"/>
  <c r="U28" i="9"/>
  <c r="AB26" i="9"/>
  <c r="V28" i="9"/>
  <c r="W28" i="9"/>
  <c r="Y10" i="19" l="1"/>
  <c r="Q14" i="19"/>
  <c r="R14" i="19" s="1"/>
  <c r="S14" i="19" s="1"/>
  <c r="T14" i="19" s="1"/>
  <c r="U14" i="19" s="1"/>
  <c r="V14" i="19" s="1"/>
  <c r="T11" i="19"/>
  <c r="U11" i="19" s="1"/>
  <c r="V11" i="19" s="1"/>
  <c r="Y9" i="19"/>
  <c r="V9" i="19"/>
  <c r="S12" i="19"/>
  <c r="T12" i="19" s="1"/>
  <c r="U12" i="19" s="1"/>
  <c r="V12" i="19" s="1"/>
  <c r="Y12" i="19"/>
  <c r="O16" i="19"/>
  <c r="P16" i="19" s="1"/>
  <c r="Q16" i="19" s="1"/>
  <c r="R16" i="19" s="1"/>
  <c r="S16" i="19" s="1"/>
  <c r="T16" i="19" s="1"/>
  <c r="U16" i="19" s="1"/>
  <c r="V16" i="19" s="1"/>
  <c r="L19" i="19"/>
  <c r="M19" i="19" s="1"/>
  <c r="N19" i="19" s="1"/>
  <c r="O19" i="19" s="1"/>
  <c r="P19" i="19" s="1"/>
  <c r="Q19" i="19" s="1"/>
  <c r="R19" i="19" s="1"/>
  <c r="S19" i="19" s="1"/>
  <c r="T19" i="19" s="1"/>
  <c r="U19" i="19" s="1"/>
  <c r="V19" i="19" s="1"/>
  <c r="M18" i="19"/>
  <c r="N18" i="19" s="1"/>
  <c r="O18" i="19" s="1"/>
  <c r="P18" i="19" s="1"/>
  <c r="Q18" i="19" s="1"/>
  <c r="R18" i="19" s="1"/>
  <c r="S18" i="19" s="1"/>
  <c r="T18" i="19" s="1"/>
  <c r="U18" i="19" s="1"/>
  <c r="V18" i="19" s="1"/>
  <c r="H23" i="19"/>
  <c r="I23" i="19" s="1"/>
  <c r="J23" i="19" s="1"/>
  <c r="K23" i="19" s="1"/>
  <c r="L23" i="19" s="1"/>
  <c r="M23" i="19" s="1"/>
  <c r="N23" i="19" s="1"/>
  <c r="O23" i="19" s="1"/>
  <c r="P23" i="19" s="1"/>
  <c r="Q23" i="19" s="1"/>
  <c r="R23" i="19" s="1"/>
  <c r="S23" i="19" s="1"/>
  <c r="T23" i="19" s="1"/>
  <c r="U23" i="19" s="1"/>
  <c r="V23" i="19" s="1"/>
  <c r="R13" i="19"/>
  <c r="S13" i="19" s="1"/>
  <c r="T13" i="19" s="1"/>
  <c r="U13" i="19" s="1"/>
  <c r="V13" i="19" s="1"/>
  <c r="K20" i="19"/>
  <c r="L20" i="19" s="1"/>
  <c r="M20" i="19" s="1"/>
  <c r="N20" i="19" s="1"/>
  <c r="O20" i="19" s="1"/>
  <c r="P20" i="19" s="1"/>
  <c r="Q20" i="19" s="1"/>
  <c r="R20" i="19" s="1"/>
  <c r="S20" i="19" s="1"/>
  <c r="T20" i="19" s="1"/>
  <c r="U20" i="19" s="1"/>
  <c r="V20" i="19" s="1"/>
  <c r="Y17" i="19"/>
  <c r="Y19" i="19"/>
  <c r="Y15" i="19"/>
  <c r="Y21" i="19"/>
  <c r="Y14" i="19"/>
  <c r="Y13" i="19"/>
  <c r="Y22" i="19"/>
  <c r="O25" i="18"/>
  <c r="P11" i="18" s="1"/>
  <c r="Q11" i="18" s="1"/>
  <c r="R11" i="18" s="1"/>
  <c r="S11" i="18" s="1"/>
  <c r="T11" i="18" s="1"/>
  <c r="U11" i="18" s="1"/>
  <c r="V11" i="18" s="1"/>
  <c r="W11" i="18" s="1"/>
  <c r="P18" i="18"/>
  <c r="Q18" i="18" s="1"/>
  <c r="R18" i="18" s="1"/>
  <c r="S18" i="18" s="1"/>
  <c r="T18" i="18" s="1"/>
  <c r="U18" i="18" s="1"/>
  <c r="V18" i="18" s="1"/>
  <c r="W18" i="18" s="1"/>
  <c r="Y18" i="18" s="1"/>
  <c r="P20" i="18"/>
  <c r="Q20" i="18" s="1"/>
  <c r="R20" i="18" s="1"/>
  <c r="S20" i="18" s="1"/>
  <c r="T20" i="18" s="1"/>
  <c r="U20" i="18" s="1"/>
  <c r="V20" i="18" s="1"/>
  <c r="W20" i="18" s="1"/>
  <c r="Y20" i="18" s="1"/>
  <c r="P16" i="18"/>
  <c r="Q16" i="18" s="1"/>
  <c r="R16" i="18" s="1"/>
  <c r="S16" i="18" s="1"/>
  <c r="T16" i="18" s="1"/>
  <c r="U16" i="18" s="1"/>
  <c r="V16" i="18" s="1"/>
  <c r="W16" i="18" s="1"/>
  <c r="Y16" i="18" s="1"/>
  <c r="O12" i="18"/>
  <c r="P12" i="18" s="1"/>
  <c r="Q12" i="18" s="1"/>
  <c r="R12" i="18" s="1"/>
  <c r="S12" i="18" s="1"/>
  <c r="T12" i="18" s="1"/>
  <c r="U12" i="18" s="1"/>
  <c r="V12" i="18" s="1"/>
  <c r="W12" i="18" s="1"/>
  <c r="Y12" i="18" s="1"/>
  <c r="O13" i="18"/>
  <c r="P13" i="18" s="1"/>
  <c r="Q13" i="18" s="1"/>
  <c r="R13" i="18" s="1"/>
  <c r="S13" i="18" s="1"/>
  <c r="T13" i="18" s="1"/>
  <c r="U13" i="18" s="1"/>
  <c r="V13" i="18" s="1"/>
  <c r="W13" i="18" s="1"/>
  <c r="Y13" i="18" s="1"/>
  <c r="O14" i="18"/>
  <c r="P14" i="18" s="1"/>
  <c r="Q14" i="18" s="1"/>
  <c r="R14" i="18" s="1"/>
  <c r="S14" i="18" s="1"/>
  <c r="T14" i="18" s="1"/>
  <c r="U14" i="18" s="1"/>
  <c r="V14" i="18" s="1"/>
  <c r="W14" i="18" s="1"/>
  <c r="Y14" i="18" s="1"/>
  <c r="O21" i="18"/>
  <c r="P21" i="18" s="1"/>
  <c r="Q21" i="18" s="1"/>
  <c r="R21" i="18" s="1"/>
  <c r="S21" i="18" s="1"/>
  <c r="T21" i="18" s="1"/>
  <c r="U21" i="18" s="1"/>
  <c r="V21" i="18" s="1"/>
  <c r="W21" i="18" s="1"/>
  <c r="Y21" i="18" s="1"/>
  <c r="P22" i="18"/>
  <c r="Q22" i="18" s="1"/>
  <c r="R22" i="18" s="1"/>
  <c r="S22" i="18" s="1"/>
  <c r="T22" i="18" s="1"/>
  <c r="U22" i="18" s="1"/>
  <c r="V22" i="18" s="1"/>
  <c r="W22" i="18" s="1"/>
  <c r="Y22" i="18" s="1"/>
  <c r="P23" i="18"/>
  <c r="Q23" i="18" s="1"/>
  <c r="R23" i="18" s="1"/>
  <c r="S23" i="18" s="1"/>
  <c r="T23" i="18" s="1"/>
  <c r="U23" i="18" s="1"/>
  <c r="V23" i="18" s="1"/>
  <c r="W23" i="18" s="1"/>
  <c r="Y23" i="18" s="1"/>
  <c r="O19" i="18"/>
  <c r="D27" i="9"/>
  <c r="N26" i="17"/>
  <c r="W6" i="17"/>
  <c r="Y6" i="17" s="1"/>
  <c r="O15" i="17"/>
  <c r="O19" i="17"/>
  <c r="J21" i="17"/>
  <c r="K21" i="17" s="1"/>
  <c r="L21" i="17" s="1"/>
  <c r="M21" i="17" s="1"/>
  <c r="N21" i="17" s="1"/>
  <c r="O21" i="17" s="1"/>
  <c r="I22" i="17"/>
  <c r="J22" i="17" s="1"/>
  <c r="K22" i="17" s="1"/>
  <c r="L22" i="17" s="1"/>
  <c r="M22" i="17" s="1"/>
  <c r="N22" i="17" s="1"/>
  <c r="O22" i="17" s="1"/>
  <c r="O16" i="17"/>
  <c r="N17" i="17"/>
  <c r="O17" i="17" s="1"/>
  <c r="U10" i="17"/>
  <c r="V10" i="17" s="1"/>
  <c r="W10" i="17" s="1"/>
  <c r="Y10" i="17" s="1"/>
  <c r="H23" i="17"/>
  <c r="I23" i="17" s="1"/>
  <c r="J23" i="17" s="1"/>
  <c r="K23" i="17" s="1"/>
  <c r="L23" i="17" s="1"/>
  <c r="M23" i="17" s="1"/>
  <c r="N23" i="17" s="1"/>
  <c r="O23" i="17" s="1"/>
  <c r="K20" i="17"/>
  <c r="L20" i="17" s="1"/>
  <c r="M20" i="17" s="1"/>
  <c r="N20" i="17" s="1"/>
  <c r="O30" i="9"/>
  <c r="P15" i="9" s="1"/>
  <c r="Q15" i="9" s="1"/>
  <c r="V30" i="9"/>
  <c r="W8" i="9" s="1"/>
  <c r="P30" i="9"/>
  <c r="Q14" i="9" s="1"/>
  <c r="I30" i="9"/>
  <c r="J21" i="9" s="1"/>
  <c r="S30" i="9"/>
  <c r="T11" i="9" s="1"/>
  <c r="U11" i="9" s="1"/>
  <c r="N30" i="9"/>
  <c r="O16" i="9" s="1"/>
  <c r="R30" i="9"/>
  <c r="S12" i="9" s="1"/>
  <c r="T12" i="9" s="1"/>
  <c r="U12" i="9" s="1"/>
  <c r="D30" i="9"/>
  <c r="E26" i="9" s="1"/>
  <c r="F26" i="9" s="1"/>
  <c r="AC4" i="9"/>
  <c r="K76" i="2" s="1"/>
  <c r="W30" i="9"/>
  <c r="X7" i="9" s="1"/>
  <c r="Y7" i="9" s="1"/>
  <c r="Z7" i="9" s="1"/>
  <c r="AA7" i="9" s="1"/>
  <c r="H79" i="2" s="1"/>
  <c r="M30" i="9"/>
  <c r="N17" i="9" s="1"/>
  <c r="L30" i="9"/>
  <c r="M18" i="9" s="1"/>
  <c r="N18" i="9" s="1"/>
  <c r="Q30" i="9"/>
  <c r="R13" i="9" s="1"/>
  <c r="H30" i="9"/>
  <c r="I22" i="9" s="1"/>
  <c r="F30" i="9"/>
  <c r="G24" i="9" s="1"/>
  <c r="G30" i="9"/>
  <c r="H23" i="9" s="1"/>
  <c r="X30" i="9"/>
  <c r="Y6" i="9" s="1"/>
  <c r="Z6" i="9" s="1"/>
  <c r="AA6" i="9" s="1"/>
  <c r="H78" i="2" s="1"/>
  <c r="K30" i="9"/>
  <c r="L19" i="9" s="1"/>
  <c r="U30" i="9"/>
  <c r="V9" i="9" s="1"/>
  <c r="W9" i="9" s="1"/>
  <c r="J30" i="9"/>
  <c r="K20" i="9" s="1"/>
  <c r="L20" i="9" s="1"/>
  <c r="AB33" i="9"/>
  <c r="Y31" i="9"/>
  <c r="Y32" i="9" s="1"/>
  <c r="Z5" i="9"/>
  <c r="AA5" i="9" s="1"/>
  <c r="H77" i="2" s="1"/>
  <c r="F25" i="9"/>
  <c r="Y16" i="19" l="1"/>
  <c r="Y23" i="19"/>
  <c r="Y20" i="19"/>
  <c r="Y18" i="19"/>
  <c r="Y11" i="19"/>
  <c r="Y27" i="19" s="1"/>
  <c r="W27" i="19"/>
  <c r="P16" i="9"/>
  <c r="Q16" i="9" s="1"/>
  <c r="O14" i="17"/>
  <c r="Y11" i="18"/>
  <c r="P15" i="18"/>
  <c r="Q15" i="18" s="1"/>
  <c r="R15" i="18" s="1"/>
  <c r="S15" i="18" s="1"/>
  <c r="T15" i="18" s="1"/>
  <c r="U15" i="18" s="1"/>
  <c r="V15" i="18" s="1"/>
  <c r="W15" i="18" s="1"/>
  <c r="Y15" i="18" s="1"/>
  <c r="P19" i="18"/>
  <c r="Q19" i="18" s="1"/>
  <c r="R19" i="18" s="1"/>
  <c r="S19" i="18" s="1"/>
  <c r="T19" i="18" s="1"/>
  <c r="U19" i="18" s="1"/>
  <c r="V19" i="18" s="1"/>
  <c r="W19" i="18" s="1"/>
  <c r="Y19" i="18" s="1"/>
  <c r="P17" i="18"/>
  <c r="Q17" i="18" s="1"/>
  <c r="R17" i="18" s="1"/>
  <c r="S17" i="18" s="1"/>
  <c r="T17" i="18" s="1"/>
  <c r="U17" i="18" s="1"/>
  <c r="V17" i="18" s="1"/>
  <c r="W17" i="18" s="1"/>
  <c r="Y17" i="18" s="1"/>
  <c r="E76" i="2" a="1"/>
  <c r="E76" i="2" s="1"/>
  <c r="O12" i="17"/>
  <c r="O26" i="17"/>
  <c r="P11" i="17" s="1"/>
  <c r="Q11" i="17" s="1"/>
  <c r="R11" i="17" s="1"/>
  <c r="S11" i="17" s="1"/>
  <c r="T11" i="17" s="1"/>
  <c r="U11" i="17" s="1"/>
  <c r="V11" i="17" s="1"/>
  <c r="W11" i="17" s="1"/>
  <c r="Y11" i="17" s="1"/>
  <c r="O20" i="17"/>
  <c r="O18" i="17"/>
  <c r="O13" i="17"/>
  <c r="J22" i="9"/>
  <c r="K22" i="9" s="1"/>
  <c r="L22" i="9" s="1"/>
  <c r="M22" i="9" s="1"/>
  <c r="N22" i="9" s="1"/>
  <c r="O22" i="9" s="1"/>
  <c r="P22" i="9" s="1"/>
  <c r="Q22" i="9" s="1"/>
  <c r="R22" i="9" s="1"/>
  <c r="S22" i="9" s="1"/>
  <c r="T22" i="9" s="1"/>
  <c r="U22" i="9" s="1"/>
  <c r="V22" i="9" s="1"/>
  <c r="W22" i="9" s="1"/>
  <c r="X22" i="9" s="1"/>
  <c r="Y22" i="9" s="1"/>
  <c r="Z22" i="9" s="1"/>
  <c r="AA22" i="9" s="1"/>
  <c r="S13" i="9"/>
  <c r="T13" i="9" s="1"/>
  <c r="U13" i="9" s="1"/>
  <c r="V13" i="9" s="1"/>
  <c r="W13" i="9" s="1"/>
  <c r="X13" i="9" s="1"/>
  <c r="Y13" i="9" s="1"/>
  <c r="Z13" i="9" s="1"/>
  <c r="AA13" i="9" s="1"/>
  <c r="H85" i="2" s="1"/>
  <c r="O18" i="9"/>
  <c r="P18" i="9" s="1"/>
  <c r="Q18" i="9" s="1"/>
  <c r="R18" i="9" s="1"/>
  <c r="S18" i="9" s="1"/>
  <c r="T18" i="9" s="1"/>
  <c r="U18" i="9" s="1"/>
  <c r="V18" i="9" s="1"/>
  <c r="W18" i="9" s="1"/>
  <c r="X18" i="9" s="1"/>
  <c r="Y18" i="9" s="1"/>
  <c r="Z18" i="9" s="1"/>
  <c r="AA18" i="9" s="1"/>
  <c r="H90" i="2" s="1"/>
  <c r="E27" i="9"/>
  <c r="F27" i="9" s="1"/>
  <c r="G27" i="9" s="1"/>
  <c r="H27" i="9" s="1"/>
  <c r="I27" i="9" s="1"/>
  <c r="J27" i="9" s="1"/>
  <c r="K27" i="9" s="1"/>
  <c r="L27" i="9" s="1"/>
  <c r="M27" i="9" s="1"/>
  <c r="N27" i="9" s="1"/>
  <c r="O27" i="9" s="1"/>
  <c r="P27" i="9" s="1"/>
  <c r="Q27" i="9" s="1"/>
  <c r="R27" i="9" s="1"/>
  <c r="S27" i="9" s="1"/>
  <c r="T27" i="9" s="1"/>
  <c r="U27" i="9" s="1"/>
  <c r="V27" i="9" s="1"/>
  <c r="W27" i="9" s="1"/>
  <c r="X27" i="9" s="1"/>
  <c r="Y27" i="9" s="1"/>
  <c r="Z27" i="9" s="1"/>
  <c r="AA27" i="9" s="1"/>
  <c r="O17" i="9"/>
  <c r="P17" i="9" s="1"/>
  <c r="Q17" i="9" s="1"/>
  <c r="R17" i="9" s="1"/>
  <c r="S17" i="9" s="1"/>
  <c r="T17" i="9" s="1"/>
  <c r="U17" i="9" s="1"/>
  <c r="V17" i="9" s="1"/>
  <c r="W17" i="9" s="1"/>
  <c r="X17" i="9" s="1"/>
  <c r="Y17" i="9" s="1"/>
  <c r="Z17" i="9" s="1"/>
  <c r="AA17" i="9" s="1"/>
  <c r="I23" i="9"/>
  <c r="J23" i="9" s="1"/>
  <c r="M20" i="9"/>
  <c r="N20" i="9" s="1"/>
  <c r="O20" i="9" s="1"/>
  <c r="P20" i="9" s="1"/>
  <c r="Q20" i="9" s="1"/>
  <c r="R20" i="9" s="1"/>
  <c r="S20" i="9" s="1"/>
  <c r="T20" i="9" s="1"/>
  <c r="U20" i="9" s="1"/>
  <c r="V20" i="9" s="1"/>
  <c r="W20" i="9" s="1"/>
  <c r="X20" i="9" s="1"/>
  <c r="Y20" i="9" s="1"/>
  <c r="Z20" i="9" s="1"/>
  <c r="AA20" i="9" s="1"/>
  <c r="V11" i="9"/>
  <c r="W11" i="9" s="1"/>
  <c r="X11" i="9" s="1"/>
  <c r="Y11" i="9" s="1"/>
  <c r="Z11" i="9" s="1"/>
  <c r="AA11" i="9" s="1"/>
  <c r="H83" i="2" s="1"/>
  <c r="R16" i="9"/>
  <c r="S16" i="9" s="1"/>
  <c r="T16" i="9" s="1"/>
  <c r="U16" i="9" s="1"/>
  <c r="V16" i="9" s="1"/>
  <c r="W16" i="9" s="1"/>
  <c r="X16" i="9" s="1"/>
  <c r="Y16" i="9" s="1"/>
  <c r="Z16" i="9" s="1"/>
  <c r="AA16" i="9" s="1"/>
  <c r="G25" i="9"/>
  <c r="H25" i="9" s="1"/>
  <c r="I25" i="9" s="1"/>
  <c r="J25" i="9" s="1"/>
  <c r="K25" i="9" s="1"/>
  <c r="L25" i="9" s="1"/>
  <c r="M25" i="9" s="1"/>
  <c r="N25" i="9" s="1"/>
  <c r="O25" i="9" s="1"/>
  <c r="P25" i="9" s="1"/>
  <c r="Q25" i="9" s="1"/>
  <c r="R25" i="9" s="1"/>
  <c r="S25" i="9" s="1"/>
  <c r="T25" i="9" s="1"/>
  <c r="U25" i="9" s="1"/>
  <c r="V25" i="9" s="1"/>
  <c r="W25" i="9" s="1"/>
  <c r="X25" i="9" s="1"/>
  <c r="Y25" i="9" s="1"/>
  <c r="Z25" i="9" s="1"/>
  <c r="AA25" i="9" s="1"/>
  <c r="M19" i="9"/>
  <c r="N19" i="9" s="1"/>
  <c r="O19" i="9" s="1"/>
  <c r="P19" i="9" s="1"/>
  <c r="Q19" i="9" s="1"/>
  <c r="R19" i="9" s="1"/>
  <c r="S19" i="9" s="1"/>
  <c r="T19" i="9" s="1"/>
  <c r="U19" i="9" s="1"/>
  <c r="V19" i="9" s="1"/>
  <c r="W19" i="9" s="1"/>
  <c r="X19" i="9" s="1"/>
  <c r="Y19" i="9" s="1"/>
  <c r="Z19" i="9" s="1"/>
  <c r="AA19" i="9" s="1"/>
  <c r="G26" i="9"/>
  <c r="H26" i="9" s="1"/>
  <c r="I26" i="9" s="1"/>
  <c r="J26" i="9" s="1"/>
  <c r="K26" i="9" s="1"/>
  <c r="L26" i="9" s="1"/>
  <c r="M26" i="9" s="1"/>
  <c r="N26" i="9" s="1"/>
  <c r="O26" i="9" s="1"/>
  <c r="P26" i="9" s="1"/>
  <c r="Q26" i="9" s="1"/>
  <c r="R26" i="9" s="1"/>
  <c r="S26" i="9" s="1"/>
  <c r="T26" i="9" s="1"/>
  <c r="U26" i="9" s="1"/>
  <c r="V26" i="9" s="1"/>
  <c r="W26" i="9" s="1"/>
  <c r="X26" i="9" s="1"/>
  <c r="Y26" i="9" s="1"/>
  <c r="Z26" i="9" s="1"/>
  <c r="AA26" i="9" s="1"/>
  <c r="H98" i="2" s="1"/>
  <c r="R15" i="9"/>
  <c r="S15" i="9" s="1"/>
  <c r="T15" i="9" s="1"/>
  <c r="U15" i="9" s="1"/>
  <c r="V15" i="9" s="1"/>
  <c r="W15" i="9" s="1"/>
  <c r="X15" i="9" s="1"/>
  <c r="Y15" i="9" s="1"/>
  <c r="Z15" i="9" s="1"/>
  <c r="AA15" i="9" s="1"/>
  <c r="R14" i="9"/>
  <c r="S14" i="9" s="1"/>
  <c r="T14" i="9" s="1"/>
  <c r="U14" i="9" s="1"/>
  <c r="V14" i="9" s="1"/>
  <c r="W14" i="9" s="1"/>
  <c r="X14" i="9" s="1"/>
  <c r="Y14" i="9" s="1"/>
  <c r="Z14" i="9" s="1"/>
  <c r="AA14" i="9" s="1"/>
  <c r="X8" i="9"/>
  <c r="Y8" i="9" s="1"/>
  <c r="Z8" i="9" s="1"/>
  <c r="AA8" i="9" s="1"/>
  <c r="H80" i="2" s="1"/>
  <c r="X9" i="9"/>
  <c r="Y9" i="9" s="1"/>
  <c r="Z9" i="9" s="1"/>
  <c r="AA9" i="9" s="1"/>
  <c r="H24" i="9"/>
  <c r="I24" i="9" s="1"/>
  <c r="J24" i="9" s="1"/>
  <c r="K24" i="9" s="1"/>
  <c r="L24" i="9" s="1"/>
  <c r="M24" i="9" s="1"/>
  <c r="N24" i="9" s="1"/>
  <c r="O24" i="9" s="1"/>
  <c r="P24" i="9" s="1"/>
  <c r="Q24" i="9" s="1"/>
  <c r="R24" i="9" s="1"/>
  <c r="S24" i="9" s="1"/>
  <c r="T24" i="9" s="1"/>
  <c r="U24" i="9" s="1"/>
  <c r="V24" i="9" s="1"/>
  <c r="W24" i="9" s="1"/>
  <c r="X24" i="9" s="1"/>
  <c r="Y24" i="9" s="1"/>
  <c r="Z24" i="9" s="1"/>
  <c r="AA24" i="9" s="1"/>
  <c r="K23" i="9"/>
  <c r="L23" i="9" s="1"/>
  <c r="M23" i="9" s="1"/>
  <c r="N23" i="9" s="1"/>
  <c r="O23" i="9" s="1"/>
  <c r="P23" i="9" s="1"/>
  <c r="Q23" i="9" s="1"/>
  <c r="R23" i="9" s="1"/>
  <c r="S23" i="9" s="1"/>
  <c r="T23" i="9" s="1"/>
  <c r="U23" i="9" s="1"/>
  <c r="V23" i="9" s="1"/>
  <c r="W23" i="9" s="1"/>
  <c r="X23" i="9" s="1"/>
  <c r="Y23" i="9" s="1"/>
  <c r="Z23" i="9" s="1"/>
  <c r="AA23" i="9" s="1"/>
  <c r="V12" i="9"/>
  <c r="W12" i="9" s="1"/>
  <c r="X12" i="9" s="1"/>
  <c r="Y12" i="9" s="1"/>
  <c r="Z12" i="9" s="1"/>
  <c r="AA12" i="9" s="1"/>
  <c r="H84" i="2" s="1"/>
  <c r="V10" i="9"/>
  <c r="W10" i="9" s="1"/>
  <c r="X10" i="9" s="1"/>
  <c r="Y10" i="9" s="1"/>
  <c r="Z10" i="9" s="1"/>
  <c r="AA10" i="9" s="1"/>
  <c r="H82" i="2" s="1"/>
  <c r="K21" i="9"/>
  <c r="L21" i="9" s="1"/>
  <c r="M21" i="9" s="1"/>
  <c r="N21" i="9" s="1"/>
  <c r="O21" i="9" s="1"/>
  <c r="P21" i="9" s="1"/>
  <c r="Q21" i="9" s="1"/>
  <c r="R21" i="9" s="1"/>
  <c r="S21" i="9" s="1"/>
  <c r="T21" i="9" s="1"/>
  <c r="U21" i="9" s="1"/>
  <c r="V21" i="9" s="1"/>
  <c r="W21" i="9" s="1"/>
  <c r="X21" i="9" s="1"/>
  <c r="Y21" i="9" s="1"/>
  <c r="Z21" i="9" s="1"/>
  <c r="AA21" i="9" s="1"/>
  <c r="AC6" i="9"/>
  <c r="K78" i="2" s="1"/>
  <c r="AC5" i="9"/>
  <c r="K77" i="2" s="1"/>
  <c r="AC13" i="9"/>
  <c r="K85" i="2" s="1"/>
  <c r="AC7" i="9"/>
  <c r="K79" i="2" s="1"/>
  <c r="X31" i="9"/>
  <c r="X32" i="9" s="1"/>
  <c r="P17" i="17" l="1"/>
  <c r="Q17" i="17" s="1"/>
  <c r="R17" i="17" s="1"/>
  <c r="S17" i="17" s="1"/>
  <c r="T17" i="17" s="1"/>
  <c r="U17" i="17" s="1"/>
  <c r="V17" i="17" s="1"/>
  <c r="W17" i="17" s="1"/>
  <c r="Y17" i="17" s="1"/>
  <c r="P16" i="17"/>
  <c r="Q16" i="17" s="1"/>
  <c r="R16" i="17" s="1"/>
  <c r="S16" i="17" s="1"/>
  <c r="T16" i="17" s="1"/>
  <c r="U16" i="17" s="1"/>
  <c r="V16" i="17" s="1"/>
  <c r="W16" i="17" s="1"/>
  <c r="Y16" i="17" s="1"/>
  <c r="P15" i="17"/>
  <c r="Q15" i="17" s="1"/>
  <c r="R15" i="17" s="1"/>
  <c r="S15" i="17" s="1"/>
  <c r="T15" i="17" s="1"/>
  <c r="U15" i="17" s="1"/>
  <c r="V15" i="17" s="1"/>
  <c r="W15" i="17" s="1"/>
  <c r="Y15" i="17" s="1"/>
  <c r="Y27" i="18"/>
  <c r="P23" i="17"/>
  <c r="Q23" i="17" s="1"/>
  <c r="R23" i="17" s="1"/>
  <c r="S23" i="17" s="1"/>
  <c r="T23" i="17" s="1"/>
  <c r="U23" i="17" s="1"/>
  <c r="V23" i="17" s="1"/>
  <c r="W23" i="17" s="1"/>
  <c r="Y23" i="17" s="1"/>
  <c r="N76" i="2" a="1"/>
  <c r="N76" i="2" s="1"/>
  <c r="P13" i="17"/>
  <c r="Q13" i="17" s="1"/>
  <c r="R13" i="17" s="1"/>
  <c r="S13" i="17" s="1"/>
  <c r="T13" i="17" s="1"/>
  <c r="U13" i="17" s="1"/>
  <c r="V13" i="17" s="1"/>
  <c r="W13" i="17" s="1"/>
  <c r="Y13" i="17" s="1"/>
  <c r="P18" i="17"/>
  <c r="Q18" i="17" s="1"/>
  <c r="R18" i="17" s="1"/>
  <c r="S18" i="17" s="1"/>
  <c r="T18" i="17" s="1"/>
  <c r="U18" i="17" s="1"/>
  <c r="V18" i="17" s="1"/>
  <c r="W18" i="17" s="1"/>
  <c r="Y18" i="17" s="1"/>
  <c r="P14" i="17"/>
  <c r="Q14" i="17" s="1"/>
  <c r="R14" i="17" s="1"/>
  <c r="S14" i="17" s="1"/>
  <c r="T14" i="17" s="1"/>
  <c r="U14" i="17" s="1"/>
  <c r="P19" i="17"/>
  <c r="Q19" i="17" s="1"/>
  <c r="R19" i="17" s="1"/>
  <c r="S19" i="17" s="1"/>
  <c r="T19" i="17" s="1"/>
  <c r="U19" i="17" s="1"/>
  <c r="V19" i="17" s="1"/>
  <c r="W19" i="17" s="1"/>
  <c r="Y19" i="17" s="1"/>
  <c r="P20" i="17"/>
  <c r="Q20" i="17" s="1"/>
  <c r="R20" i="17" s="1"/>
  <c r="S20" i="17" s="1"/>
  <c r="T20" i="17" s="1"/>
  <c r="U20" i="17" s="1"/>
  <c r="V20" i="17" s="1"/>
  <c r="W20" i="17" s="1"/>
  <c r="Y20" i="17" s="1"/>
  <c r="W27" i="18"/>
  <c r="P21" i="17"/>
  <c r="Q21" i="17" s="1"/>
  <c r="R21" i="17" s="1"/>
  <c r="S21" i="17" s="1"/>
  <c r="T21" i="17" s="1"/>
  <c r="U21" i="17" s="1"/>
  <c r="V21" i="17" s="1"/>
  <c r="W21" i="17" s="1"/>
  <c r="Y21" i="17" s="1"/>
  <c r="P22" i="17"/>
  <c r="Q22" i="17" s="1"/>
  <c r="R22" i="17" s="1"/>
  <c r="S22" i="17" s="1"/>
  <c r="T22" i="17" s="1"/>
  <c r="U22" i="17" s="1"/>
  <c r="V22" i="17" s="1"/>
  <c r="W22" i="17" s="1"/>
  <c r="Y22" i="17" s="1"/>
  <c r="P12" i="17"/>
  <c r="Q12" i="17" s="1"/>
  <c r="R12" i="17" s="1"/>
  <c r="S12" i="17" s="1"/>
  <c r="T12" i="17" s="1"/>
  <c r="U12" i="17" s="1"/>
  <c r="V12" i="17" s="1"/>
  <c r="W12" i="17" s="1"/>
  <c r="Y12" i="17" s="1"/>
  <c r="AC22" i="9"/>
  <c r="K94" i="2" s="1"/>
  <c r="H94" i="2"/>
  <c r="AC20" i="9"/>
  <c r="K92" i="2" s="1"/>
  <c r="H92" i="2"/>
  <c r="AC16" i="9"/>
  <c r="K88" i="2" s="1"/>
  <c r="H88" i="2"/>
  <c r="AC23" i="9"/>
  <c r="K95" i="2" s="1"/>
  <c r="H95" i="2"/>
  <c r="AC15" i="9"/>
  <c r="K87" i="2" s="1"/>
  <c r="H87" i="2"/>
  <c r="AC25" i="9"/>
  <c r="K97" i="2" s="1"/>
  <c r="H97" i="2"/>
  <c r="AC17" i="9"/>
  <c r="K89" i="2" s="1"/>
  <c r="H89" i="2"/>
  <c r="AC9" i="9"/>
  <c r="K81" i="2" s="1"/>
  <c r="H81" i="2"/>
  <c r="AC27" i="9"/>
  <c r="K99" i="2" s="1"/>
  <c r="H99" i="2"/>
  <c r="AC24" i="9"/>
  <c r="K96" i="2" s="1"/>
  <c r="H96" i="2"/>
  <c r="AC14" i="9"/>
  <c r="K86" i="2" s="1"/>
  <c r="H86" i="2"/>
  <c r="AC21" i="9"/>
  <c r="K93" i="2" s="1"/>
  <c r="H93" i="2"/>
  <c r="AC19" i="9"/>
  <c r="K91" i="2" s="1"/>
  <c r="H91" i="2"/>
  <c r="AC18" i="9"/>
  <c r="K90" i="2" s="1"/>
  <c r="AC12" i="9"/>
  <c r="K84" i="2" s="1"/>
  <c r="AC26" i="9"/>
  <c r="K98" i="2" s="1"/>
  <c r="AC10" i="9"/>
  <c r="K82" i="2" s="1"/>
  <c r="AC8" i="9"/>
  <c r="K80" i="2" s="1"/>
  <c r="AC11" i="9"/>
  <c r="K83" i="2" s="1"/>
  <c r="AA33" i="9"/>
  <c r="W31" i="9"/>
  <c r="W32" i="9" s="1"/>
  <c r="V14" i="17" l="1"/>
  <c r="W14" i="17" s="1"/>
  <c r="V31" i="9"/>
  <c r="AC33" i="9"/>
  <c r="V32" i="9"/>
  <c r="U31" i="9"/>
  <c r="Y14" i="17" l="1"/>
  <c r="Y27" i="17" s="1"/>
  <c r="W27" i="17"/>
  <c r="U32" i="9"/>
  <c r="T31" i="9"/>
  <c r="T32" i="9" l="1"/>
  <c r="S31" i="9"/>
  <c r="S32" i="9" l="1"/>
  <c r="R31" i="9"/>
  <c r="R32" i="9" l="1"/>
  <c r="Q31" i="9"/>
  <c r="Q32" i="9" l="1"/>
  <c r="P31" i="9"/>
  <c r="P32" i="9" l="1"/>
  <c r="O31" i="9"/>
  <c r="O32" i="9" l="1"/>
  <c r="N31" i="9"/>
  <c r="N32" i="9" l="1"/>
  <c r="M31" i="9"/>
  <c r="M32" i="9" l="1"/>
  <c r="L31" i="9"/>
  <c r="L32" i="9" l="1"/>
  <c r="K31" i="9"/>
  <c r="K32" i="9" l="1"/>
  <c r="J31" i="9"/>
  <c r="J32" i="9" l="1"/>
  <c r="I31" i="9"/>
  <c r="I32" i="9" l="1"/>
  <c r="H31" i="9"/>
  <c r="H32" i="9" l="1"/>
  <c r="G31" i="9"/>
  <c r="G32" i="9" l="1"/>
  <c r="F31" i="9"/>
  <c r="F32" i="9" l="1"/>
  <c r="E31" i="9"/>
  <c r="E32" i="9" l="1"/>
  <c r="D31" i="9"/>
  <c r="C31" i="9" s="1"/>
  <c r="D32" i="9" l="1"/>
  <c r="C32" i="9"/>
  <c r="D44" i="2" l="1"/>
  <c r="R4" i="6" l="1"/>
  <c r="S4" i="6"/>
  <c r="T4" i="6"/>
  <c r="U4" i="6"/>
  <c r="V4" i="6"/>
  <c r="W4" i="6"/>
  <c r="X4" i="6"/>
  <c r="Y4" i="6"/>
  <c r="Z4" i="6"/>
  <c r="Q5" i="6"/>
  <c r="R5" i="6"/>
  <c r="S5" i="6"/>
  <c r="T5" i="6"/>
  <c r="U5" i="6"/>
  <c r="V5" i="6"/>
  <c r="W5" i="6"/>
  <c r="X5" i="6"/>
  <c r="Y5" i="6"/>
  <c r="P6" i="6"/>
  <c r="Q6" i="6"/>
  <c r="R6" i="6"/>
  <c r="S6" i="6"/>
  <c r="T6" i="6"/>
  <c r="U6" i="6"/>
  <c r="V6" i="6"/>
  <c r="W6" i="6"/>
  <c r="X6" i="6"/>
  <c r="O7" i="6"/>
  <c r="P7" i="6"/>
  <c r="Q7" i="6"/>
  <c r="R7" i="6"/>
  <c r="S7" i="6"/>
  <c r="T7" i="6"/>
  <c r="U7" i="6"/>
  <c r="V7" i="6"/>
  <c r="W7" i="6"/>
  <c r="N8" i="6"/>
  <c r="O8" i="6"/>
  <c r="P8" i="6"/>
  <c r="Q8" i="6"/>
  <c r="R8" i="6"/>
  <c r="S8" i="6"/>
  <c r="T8" i="6"/>
  <c r="U8" i="6"/>
  <c r="V8" i="6"/>
  <c r="M9" i="6"/>
  <c r="N9" i="6"/>
  <c r="O9" i="6"/>
  <c r="P9" i="6"/>
  <c r="Q9" i="6"/>
  <c r="R9" i="6"/>
  <c r="S9" i="6"/>
  <c r="T9" i="6"/>
  <c r="U9" i="6"/>
  <c r="L10" i="6"/>
  <c r="M10" i="6"/>
  <c r="N10" i="6"/>
  <c r="O10" i="6"/>
  <c r="P10" i="6"/>
  <c r="Q10" i="6"/>
  <c r="R10" i="6"/>
  <c r="S10" i="6"/>
  <c r="T10" i="6"/>
  <c r="K11" i="6"/>
  <c r="L11" i="6"/>
  <c r="M11" i="6"/>
  <c r="N11" i="6"/>
  <c r="O11" i="6"/>
  <c r="P11" i="6"/>
  <c r="Q11" i="6"/>
  <c r="R11" i="6"/>
  <c r="S11" i="6"/>
  <c r="J12" i="6"/>
  <c r="K12" i="6"/>
  <c r="L12" i="6"/>
  <c r="M12" i="6"/>
  <c r="N12" i="6"/>
  <c r="O12" i="6"/>
  <c r="P12" i="6"/>
  <c r="Q12" i="6"/>
  <c r="R12" i="6"/>
  <c r="I13" i="6"/>
  <c r="J13" i="6"/>
  <c r="K13" i="6"/>
  <c r="L13" i="6"/>
  <c r="M13" i="6"/>
  <c r="N13" i="6"/>
  <c r="O13" i="6"/>
  <c r="P13" i="6"/>
  <c r="Q13" i="6"/>
  <c r="H14" i="6"/>
  <c r="I14" i="6"/>
  <c r="J14" i="6"/>
  <c r="K14" i="6"/>
  <c r="L14" i="6"/>
  <c r="M14" i="6"/>
  <c r="N14" i="6"/>
  <c r="O14" i="6"/>
  <c r="P14" i="6"/>
  <c r="G15" i="6"/>
  <c r="H15" i="6"/>
  <c r="I15" i="6"/>
  <c r="J15" i="6"/>
  <c r="K15" i="6"/>
  <c r="L15" i="6"/>
  <c r="M15" i="6"/>
  <c r="N15" i="6"/>
  <c r="O15" i="6"/>
  <c r="F16" i="6"/>
  <c r="G16" i="6"/>
  <c r="H16" i="6"/>
  <c r="I16" i="6"/>
  <c r="J16" i="6"/>
  <c r="K16" i="6"/>
  <c r="L16" i="6"/>
  <c r="M16" i="6"/>
  <c r="N16" i="6"/>
  <c r="E17" i="6"/>
  <c r="F17" i="6"/>
  <c r="G17" i="6"/>
  <c r="H17" i="6"/>
  <c r="I17" i="6"/>
  <c r="J17" i="6"/>
  <c r="K17" i="6"/>
  <c r="L17" i="6"/>
  <c r="M17" i="6"/>
  <c r="D18" i="6"/>
  <c r="E18" i="6"/>
  <c r="F18" i="6"/>
  <c r="G18" i="6"/>
  <c r="H18" i="6"/>
  <c r="I18" i="6"/>
  <c r="J18" i="6"/>
  <c r="K18" i="6"/>
  <c r="L18" i="6"/>
  <c r="C19" i="6"/>
  <c r="D19" i="6"/>
  <c r="E19" i="6"/>
  <c r="F19" i="6"/>
  <c r="G19" i="6"/>
  <c r="H19" i="6"/>
  <c r="I19" i="6"/>
  <c r="J19" i="6"/>
  <c r="K19" i="6"/>
  <c r="C20" i="6"/>
  <c r="D20" i="6"/>
  <c r="E20" i="6"/>
  <c r="F20" i="6"/>
  <c r="G20" i="6"/>
  <c r="H20" i="6"/>
  <c r="I20" i="6"/>
  <c r="J20" i="6"/>
  <c r="C21" i="6"/>
  <c r="D21" i="6"/>
  <c r="E21" i="6"/>
  <c r="F21" i="6"/>
  <c r="G21" i="6"/>
  <c r="H21" i="6"/>
  <c r="I21" i="6"/>
  <c r="C22" i="6"/>
  <c r="D22" i="6"/>
  <c r="E22" i="6"/>
  <c r="F22" i="6"/>
  <c r="G22" i="6"/>
  <c r="H22" i="6"/>
  <c r="C23" i="6"/>
  <c r="D23" i="6"/>
  <c r="E23" i="6"/>
  <c r="F23" i="6"/>
  <c r="G23" i="6"/>
  <c r="C24" i="6"/>
  <c r="D24" i="6"/>
  <c r="E24" i="6"/>
  <c r="F24" i="6"/>
  <c r="C25" i="6"/>
  <c r="D25" i="6"/>
  <c r="E25" i="6"/>
  <c r="C26" i="6"/>
  <c r="D26" i="6"/>
  <c r="C27" i="6"/>
  <c r="D66" i="2"/>
  <c r="C29" i="6" l="1"/>
  <c r="C28" i="6"/>
  <c r="C30" i="6" s="1"/>
  <c r="D27" i="6" s="1"/>
  <c r="K28" i="6"/>
  <c r="K29" i="6"/>
  <c r="AB22" i="6"/>
  <c r="AB8" i="6"/>
  <c r="AB4" i="6"/>
  <c r="AA4" i="6"/>
  <c r="G76" i="2" s="1"/>
  <c r="D28" i="6"/>
  <c r="D29" i="6"/>
  <c r="AB9" i="6"/>
  <c r="AB5" i="6"/>
  <c r="AB10" i="6"/>
  <c r="AB6" i="6"/>
  <c r="AB11" i="6"/>
  <c r="AB24" i="6"/>
  <c r="AB23" i="6"/>
  <c r="H28" i="6"/>
  <c r="J28" i="6"/>
  <c r="L28" i="6"/>
  <c r="N28" i="6"/>
  <c r="G29" i="6"/>
  <c r="G28" i="6"/>
  <c r="G30" i="6" s="1"/>
  <c r="M28" i="6"/>
  <c r="R29" i="6"/>
  <c r="R28" i="6"/>
  <c r="S29" i="6"/>
  <c r="AB14" i="6"/>
  <c r="O28" i="6"/>
  <c r="AB17" i="6"/>
  <c r="O29" i="6"/>
  <c r="I28" i="6"/>
  <c r="L29" i="6"/>
  <c r="AB27" i="6"/>
  <c r="AB20" i="6"/>
  <c r="F28" i="6"/>
  <c r="I29" i="6"/>
  <c r="AB26" i="6"/>
  <c r="F29" i="6"/>
  <c r="AB12" i="6"/>
  <c r="Q28" i="6"/>
  <c r="AB15" i="6"/>
  <c r="Q29" i="6"/>
  <c r="AB25" i="6"/>
  <c r="AB18" i="6"/>
  <c r="N29" i="6"/>
  <c r="N30" i="6" s="1"/>
  <c r="Y28" i="6"/>
  <c r="AB7" i="6"/>
  <c r="Y29" i="6"/>
  <c r="X28" i="6"/>
  <c r="E28" i="6"/>
  <c r="H29" i="6"/>
  <c r="X29" i="6"/>
  <c r="W28" i="6"/>
  <c r="E29" i="6"/>
  <c r="AB13" i="6"/>
  <c r="P28" i="6"/>
  <c r="W29" i="6"/>
  <c r="V28" i="6"/>
  <c r="AB21" i="6"/>
  <c r="AB16" i="6"/>
  <c r="P29" i="6"/>
  <c r="V29" i="6"/>
  <c r="U28" i="6"/>
  <c r="AB19" i="6"/>
  <c r="M29" i="6"/>
  <c r="U29" i="6"/>
  <c r="T28" i="6"/>
  <c r="J29" i="6"/>
  <c r="J30" i="6" s="1"/>
  <c r="T29" i="6"/>
  <c r="S28" i="6"/>
  <c r="M30" i="6" l="1"/>
  <c r="K30" i="6"/>
  <c r="W30" i="6"/>
  <c r="X7" i="6" s="1"/>
  <c r="AB33" i="6"/>
  <c r="K20" i="6"/>
  <c r="L20" i="6" s="1"/>
  <c r="H30" i="6"/>
  <c r="I22" i="6" s="1"/>
  <c r="H23" i="6"/>
  <c r="O16" i="6"/>
  <c r="L30" i="6"/>
  <c r="U30" i="6"/>
  <c r="I30" i="6"/>
  <c r="J21" i="6" s="1"/>
  <c r="K21" i="6" s="1"/>
  <c r="N17" i="6"/>
  <c r="O17" i="6" s="1"/>
  <c r="S30" i="6"/>
  <c r="D30" i="6"/>
  <c r="AC4" i="6"/>
  <c r="J76" i="2" s="1"/>
  <c r="R30" i="6"/>
  <c r="O30" i="6"/>
  <c r="E30" i="6"/>
  <c r="X30" i="6"/>
  <c r="F30" i="6"/>
  <c r="T30" i="6"/>
  <c r="V30" i="6"/>
  <c r="P30" i="6"/>
  <c r="Q30" i="6"/>
  <c r="Y30" i="6"/>
  <c r="D76" i="2" l="1" a="1"/>
  <c r="D76" i="2" s="1"/>
  <c r="L19" i="6"/>
  <c r="L21" i="6"/>
  <c r="M21" i="6" s="1"/>
  <c r="N21" i="6" s="1"/>
  <c r="O21" i="6" s="1"/>
  <c r="P21" i="6" s="1"/>
  <c r="Q21" i="6" s="1"/>
  <c r="R21" i="6" s="1"/>
  <c r="S21" i="6" s="1"/>
  <c r="T21" i="6" s="1"/>
  <c r="U21" i="6" s="1"/>
  <c r="V21" i="6" s="1"/>
  <c r="W21" i="6" s="1"/>
  <c r="X21" i="6" s="1"/>
  <c r="Y21" i="6" s="1"/>
  <c r="Z21" i="6" s="1"/>
  <c r="AA21" i="6" s="1"/>
  <c r="I23" i="6"/>
  <c r="P16" i="6"/>
  <c r="Q16" i="6" s="1"/>
  <c r="R16" i="6" s="1"/>
  <c r="S16" i="6" s="1"/>
  <c r="T16" i="6" s="1"/>
  <c r="U16" i="6" s="1"/>
  <c r="V16" i="6" s="1"/>
  <c r="W16" i="6" s="1"/>
  <c r="X16" i="6" s="1"/>
  <c r="Y16" i="6" s="1"/>
  <c r="Z16" i="6" s="1"/>
  <c r="AA16" i="6" s="1"/>
  <c r="G88" i="2" s="1"/>
  <c r="M20" i="6"/>
  <c r="N20" i="6" s="1"/>
  <c r="O20" i="6" s="1"/>
  <c r="P20" i="6" s="1"/>
  <c r="Q20" i="6" s="1"/>
  <c r="R20" i="6" s="1"/>
  <c r="S20" i="6" s="1"/>
  <c r="T20" i="6" s="1"/>
  <c r="U20" i="6" s="1"/>
  <c r="V20" i="6" s="1"/>
  <c r="W20" i="6" s="1"/>
  <c r="X20" i="6" s="1"/>
  <c r="Y20" i="6" s="1"/>
  <c r="Z20" i="6" s="1"/>
  <c r="AA20" i="6" s="1"/>
  <c r="G92" i="2" s="1"/>
  <c r="Y31" i="6"/>
  <c r="Y32" i="6" s="1"/>
  <c r="Z5" i="6"/>
  <c r="AA5" i="6" s="1"/>
  <c r="G77" i="2" s="1"/>
  <c r="F25" i="6"/>
  <c r="G25" i="6" s="1"/>
  <c r="H25" i="6" s="1"/>
  <c r="I25" i="6" s="1"/>
  <c r="J25" i="6" s="1"/>
  <c r="K25" i="6" s="1"/>
  <c r="L25" i="6" s="1"/>
  <c r="M25" i="6" s="1"/>
  <c r="N25" i="6" s="1"/>
  <c r="O25" i="6" s="1"/>
  <c r="P25" i="6" s="1"/>
  <c r="Q25" i="6" s="1"/>
  <c r="R25" i="6" s="1"/>
  <c r="S25" i="6" s="1"/>
  <c r="T25" i="6" s="1"/>
  <c r="U25" i="6" s="1"/>
  <c r="V25" i="6" s="1"/>
  <c r="W25" i="6" s="1"/>
  <c r="X25" i="6" s="1"/>
  <c r="Y25" i="6" s="1"/>
  <c r="Z25" i="6" s="1"/>
  <c r="AA25" i="6" s="1"/>
  <c r="G97" i="2" s="1"/>
  <c r="J22" i="6"/>
  <c r="K22" i="6" s="1"/>
  <c r="L22" i="6" s="1"/>
  <c r="M22" i="6" s="1"/>
  <c r="N22" i="6" s="1"/>
  <c r="O22" i="6" s="1"/>
  <c r="P22" i="6" s="1"/>
  <c r="Q22" i="6" s="1"/>
  <c r="R22" i="6" s="1"/>
  <c r="S22" i="6" s="1"/>
  <c r="T22" i="6" s="1"/>
  <c r="U22" i="6" s="1"/>
  <c r="V22" i="6" s="1"/>
  <c r="W22" i="6" s="1"/>
  <c r="X22" i="6" s="1"/>
  <c r="Y22" i="6" s="1"/>
  <c r="Z22" i="6" s="1"/>
  <c r="AA22" i="6" s="1"/>
  <c r="G94" i="2" s="1"/>
  <c r="G24" i="6"/>
  <c r="H24" i="6" s="1"/>
  <c r="I24" i="6" s="1"/>
  <c r="J24" i="6" s="1"/>
  <c r="K24" i="6" s="1"/>
  <c r="L24" i="6" s="1"/>
  <c r="M24" i="6" s="1"/>
  <c r="N24" i="6" s="1"/>
  <c r="O24" i="6" s="1"/>
  <c r="P24" i="6" s="1"/>
  <c r="Q24" i="6" s="1"/>
  <c r="R24" i="6" s="1"/>
  <c r="S24" i="6" s="1"/>
  <c r="T24" i="6" s="1"/>
  <c r="U24" i="6" s="1"/>
  <c r="V24" i="6" s="1"/>
  <c r="W24" i="6" s="1"/>
  <c r="X24" i="6" s="1"/>
  <c r="Y24" i="6" s="1"/>
  <c r="Z24" i="6" s="1"/>
  <c r="AA24" i="6" s="1"/>
  <c r="G96" i="2" s="1"/>
  <c r="E26" i="6"/>
  <c r="F26" i="6" s="1"/>
  <c r="G26" i="6" s="1"/>
  <c r="H26" i="6" s="1"/>
  <c r="I26" i="6" s="1"/>
  <c r="J26" i="6" s="1"/>
  <c r="K26" i="6" s="1"/>
  <c r="L26" i="6" s="1"/>
  <c r="M26" i="6" s="1"/>
  <c r="N26" i="6" s="1"/>
  <c r="O26" i="6" s="1"/>
  <c r="P26" i="6" s="1"/>
  <c r="Q26" i="6" s="1"/>
  <c r="R26" i="6" s="1"/>
  <c r="S26" i="6" s="1"/>
  <c r="T26" i="6" s="1"/>
  <c r="U26" i="6" s="1"/>
  <c r="V26" i="6" s="1"/>
  <c r="W26" i="6" s="1"/>
  <c r="X26" i="6" s="1"/>
  <c r="Y26" i="6" s="1"/>
  <c r="Z26" i="6" s="1"/>
  <c r="AA26" i="6" s="1"/>
  <c r="G98" i="2" s="1"/>
  <c r="U10" i="6"/>
  <c r="V10" i="6" s="1"/>
  <c r="W10" i="6" s="1"/>
  <c r="X10" i="6" s="1"/>
  <c r="Y10" i="6" s="1"/>
  <c r="Z10" i="6" s="1"/>
  <c r="AA10" i="6" s="1"/>
  <c r="G82" i="2" s="1"/>
  <c r="Y6" i="6"/>
  <c r="Z6" i="6" s="1"/>
  <c r="AA6" i="6" s="1"/>
  <c r="G78" i="2" s="1"/>
  <c r="S12" i="6"/>
  <c r="T12" i="6" s="1"/>
  <c r="U12" i="6" s="1"/>
  <c r="V12" i="6" s="1"/>
  <c r="W12" i="6" s="1"/>
  <c r="X12" i="6" s="1"/>
  <c r="Y12" i="6" s="1"/>
  <c r="Z12" i="6" s="1"/>
  <c r="AA12" i="6" s="1"/>
  <c r="G84" i="2" s="1"/>
  <c r="P15" i="6"/>
  <c r="Q15" i="6" s="1"/>
  <c r="R15" i="6" s="1"/>
  <c r="S15" i="6" s="1"/>
  <c r="T15" i="6" s="1"/>
  <c r="U15" i="6" s="1"/>
  <c r="V15" i="6" s="1"/>
  <c r="W15" i="6" s="1"/>
  <c r="X15" i="6" s="1"/>
  <c r="Y15" i="6" s="1"/>
  <c r="Z15" i="6" s="1"/>
  <c r="AA15" i="6" s="1"/>
  <c r="G87" i="2" s="1"/>
  <c r="T11" i="6"/>
  <c r="U11" i="6" s="1"/>
  <c r="V11" i="6" s="1"/>
  <c r="W11" i="6" s="1"/>
  <c r="X11" i="6" s="1"/>
  <c r="Y11" i="6" s="1"/>
  <c r="Z11" i="6" s="1"/>
  <c r="AA11" i="6" s="1"/>
  <c r="G83" i="2" s="1"/>
  <c r="P17" i="6"/>
  <c r="Q17" i="6" s="1"/>
  <c r="R17" i="6" s="1"/>
  <c r="S17" i="6" s="1"/>
  <c r="T17" i="6" s="1"/>
  <c r="U17" i="6" s="1"/>
  <c r="V17" i="6" s="1"/>
  <c r="W17" i="6" s="1"/>
  <c r="X17" i="6" s="1"/>
  <c r="Y17" i="6" s="1"/>
  <c r="Z17" i="6" s="1"/>
  <c r="AA17" i="6" s="1"/>
  <c r="G89" i="2" s="1"/>
  <c r="R13" i="6"/>
  <c r="S13" i="6" s="1"/>
  <c r="T13" i="6" s="1"/>
  <c r="U13" i="6" s="1"/>
  <c r="V13" i="6" s="1"/>
  <c r="W13" i="6" s="1"/>
  <c r="X13" i="6" s="1"/>
  <c r="Y13" i="6" s="1"/>
  <c r="Z13" i="6" s="1"/>
  <c r="AA13" i="6" s="1"/>
  <c r="G85" i="2" s="1"/>
  <c r="J23" i="6"/>
  <c r="K23" i="6" s="1"/>
  <c r="L23" i="6" s="1"/>
  <c r="M23" i="6" s="1"/>
  <c r="N23" i="6" s="1"/>
  <c r="O23" i="6" s="1"/>
  <c r="P23" i="6" s="1"/>
  <c r="Q23" i="6" s="1"/>
  <c r="R23" i="6" s="1"/>
  <c r="S23" i="6" s="1"/>
  <c r="T23" i="6" s="1"/>
  <c r="U23" i="6" s="1"/>
  <c r="V23" i="6" s="1"/>
  <c r="W23" i="6" s="1"/>
  <c r="X23" i="6" s="1"/>
  <c r="Y23" i="6" s="1"/>
  <c r="Z23" i="6" s="1"/>
  <c r="AA23" i="6" s="1"/>
  <c r="G95" i="2" s="1"/>
  <c r="V9" i="6"/>
  <c r="W9" i="6" s="1"/>
  <c r="X9" i="6" s="1"/>
  <c r="Y9" i="6" s="1"/>
  <c r="Z9" i="6" s="1"/>
  <c r="AA9" i="6" s="1"/>
  <c r="G81" i="2" s="1"/>
  <c r="Q14" i="6"/>
  <c r="R14" i="6" s="1"/>
  <c r="S14" i="6" s="1"/>
  <c r="T14" i="6" s="1"/>
  <c r="U14" i="6" s="1"/>
  <c r="V14" i="6" s="1"/>
  <c r="W14" i="6" s="1"/>
  <c r="X14" i="6" s="1"/>
  <c r="Y14" i="6" s="1"/>
  <c r="Z14" i="6" s="1"/>
  <c r="AA14" i="6" s="1"/>
  <c r="G86" i="2" s="1"/>
  <c r="M18" i="6"/>
  <c r="N18" i="6" s="1"/>
  <c r="O18" i="6" s="1"/>
  <c r="P18" i="6" s="1"/>
  <c r="Q18" i="6" s="1"/>
  <c r="R18" i="6" s="1"/>
  <c r="S18" i="6" s="1"/>
  <c r="T18" i="6" s="1"/>
  <c r="U18" i="6" s="1"/>
  <c r="V18" i="6" s="1"/>
  <c r="W18" i="6" s="1"/>
  <c r="X18" i="6" s="1"/>
  <c r="Y18" i="6" s="1"/>
  <c r="Z18" i="6" s="1"/>
  <c r="AA18" i="6" s="1"/>
  <c r="G90" i="2" s="1"/>
  <c r="E27" i="6"/>
  <c r="F27" i="6" s="1"/>
  <c r="G27" i="6" s="1"/>
  <c r="H27" i="6" s="1"/>
  <c r="I27" i="6" s="1"/>
  <c r="J27" i="6" s="1"/>
  <c r="K27" i="6" s="1"/>
  <c r="L27" i="6" s="1"/>
  <c r="M27" i="6" s="1"/>
  <c r="N27" i="6" s="1"/>
  <c r="O27" i="6" s="1"/>
  <c r="P27" i="6" s="1"/>
  <c r="Q27" i="6" s="1"/>
  <c r="R27" i="6" s="1"/>
  <c r="S27" i="6" s="1"/>
  <c r="T27" i="6" s="1"/>
  <c r="U27" i="6" s="1"/>
  <c r="V27" i="6" s="1"/>
  <c r="W27" i="6" s="1"/>
  <c r="X27" i="6" s="1"/>
  <c r="Y27" i="6" s="1"/>
  <c r="Z27" i="6" s="1"/>
  <c r="AA27" i="6" s="1"/>
  <c r="M19" i="6"/>
  <c r="N19" i="6" s="1"/>
  <c r="O19" i="6" s="1"/>
  <c r="P19" i="6" s="1"/>
  <c r="Q19" i="6" s="1"/>
  <c r="R19" i="6" s="1"/>
  <c r="S19" i="6" s="1"/>
  <c r="T19" i="6" s="1"/>
  <c r="U19" i="6" s="1"/>
  <c r="V19" i="6" s="1"/>
  <c r="W19" i="6" s="1"/>
  <c r="X19" i="6" s="1"/>
  <c r="Y19" i="6" s="1"/>
  <c r="Z19" i="6" s="1"/>
  <c r="AA19" i="6" s="1"/>
  <c r="G91" i="2" s="1"/>
  <c r="W8" i="6"/>
  <c r="X8" i="6" s="1"/>
  <c r="Y8" i="6" s="1"/>
  <c r="Z8" i="6" s="1"/>
  <c r="AA8" i="6" s="1"/>
  <c r="G80" i="2" s="1"/>
  <c r="Y7" i="6"/>
  <c r="Z7" i="6" s="1"/>
  <c r="AA7" i="6" s="1"/>
  <c r="G79" i="2" s="1"/>
  <c r="E44" i="2"/>
  <c r="F44" i="2"/>
  <c r="G44" i="2"/>
  <c r="H44" i="2"/>
  <c r="I44" i="2"/>
  <c r="J44" i="2"/>
  <c r="K44" i="2"/>
  <c r="L44" i="2"/>
  <c r="M44" i="2"/>
  <c r="N44" i="2"/>
  <c r="O44" i="2"/>
  <c r="P44" i="2"/>
  <c r="Q44" i="2"/>
  <c r="R44" i="2"/>
  <c r="S44" i="2"/>
  <c r="T44" i="2"/>
  <c r="U44" i="2"/>
  <c r="V44" i="2"/>
  <c r="W44" i="2"/>
  <c r="X44" i="2"/>
  <c r="Y44" i="2"/>
  <c r="Z44" i="2"/>
  <c r="E45" i="2"/>
  <c r="F45" i="2"/>
  <c r="G45" i="2"/>
  <c r="H45" i="2"/>
  <c r="I45" i="2"/>
  <c r="J45" i="2"/>
  <c r="K45" i="2"/>
  <c r="L45" i="2"/>
  <c r="M45" i="2"/>
  <c r="N45" i="2"/>
  <c r="O45" i="2"/>
  <c r="P45" i="2"/>
  <c r="Q45" i="2"/>
  <c r="R45" i="2"/>
  <c r="S45" i="2"/>
  <c r="T45" i="2"/>
  <c r="U45" i="2"/>
  <c r="V45" i="2"/>
  <c r="W45" i="2"/>
  <c r="X45" i="2"/>
  <c r="Y45" i="2"/>
  <c r="E46" i="2"/>
  <c r="F46" i="2"/>
  <c r="G46" i="2"/>
  <c r="H46" i="2"/>
  <c r="I46" i="2"/>
  <c r="J46" i="2"/>
  <c r="K46" i="2"/>
  <c r="L46" i="2"/>
  <c r="M46" i="2"/>
  <c r="N46" i="2"/>
  <c r="O46" i="2"/>
  <c r="P46" i="2"/>
  <c r="Q46" i="2"/>
  <c r="R46" i="2"/>
  <c r="S46" i="2"/>
  <c r="T46" i="2"/>
  <c r="U46" i="2"/>
  <c r="V46" i="2"/>
  <c r="W46" i="2"/>
  <c r="X46" i="2"/>
  <c r="E47" i="2"/>
  <c r="F47" i="2"/>
  <c r="G47" i="2"/>
  <c r="H47" i="2"/>
  <c r="I47" i="2"/>
  <c r="J47" i="2"/>
  <c r="K47" i="2"/>
  <c r="L47" i="2"/>
  <c r="M47" i="2"/>
  <c r="N47" i="2"/>
  <c r="O47" i="2"/>
  <c r="P47" i="2"/>
  <c r="Q47" i="2"/>
  <c r="R47" i="2"/>
  <c r="S47" i="2"/>
  <c r="T47" i="2"/>
  <c r="U47" i="2"/>
  <c r="V47" i="2"/>
  <c r="W47" i="2"/>
  <c r="E48" i="2"/>
  <c r="F48" i="2"/>
  <c r="G48" i="2"/>
  <c r="H48" i="2"/>
  <c r="I48" i="2"/>
  <c r="J48" i="2"/>
  <c r="K48" i="2"/>
  <c r="L48" i="2"/>
  <c r="M48" i="2"/>
  <c r="N48" i="2"/>
  <c r="O48" i="2"/>
  <c r="P48" i="2"/>
  <c r="Q48" i="2"/>
  <c r="R48" i="2"/>
  <c r="S48" i="2"/>
  <c r="T48" i="2"/>
  <c r="U48" i="2"/>
  <c r="V48" i="2"/>
  <c r="E49" i="2"/>
  <c r="F49" i="2"/>
  <c r="G49" i="2"/>
  <c r="H49" i="2"/>
  <c r="I49" i="2"/>
  <c r="J49" i="2"/>
  <c r="K49" i="2"/>
  <c r="L49" i="2"/>
  <c r="M49" i="2"/>
  <c r="N49" i="2"/>
  <c r="O49" i="2"/>
  <c r="P49" i="2"/>
  <c r="Q49" i="2"/>
  <c r="R49" i="2"/>
  <c r="S49" i="2"/>
  <c r="T49" i="2"/>
  <c r="U49" i="2"/>
  <c r="E50" i="2"/>
  <c r="F50" i="2"/>
  <c r="G50" i="2"/>
  <c r="H50" i="2"/>
  <c r="I50" i="2"/>
  <c r="J50" i="2"/>
  <c r="K50" i="2"/>
  <c r="L50" i="2"/>
  <c r="M50" i="2"/>
  <c r="N50" i="2"/>
  <c r="O50" i="2"/>
  <c r="P50" i="2"/>
  <c r="Q50" i="2"/>
  <c r="R50" i="2"/>
  <c r="S50" i="2"/>
  <c r="T50" i="2"/>
  <c r="E51" i="2"/>
  <c r="F51" i="2"/>
  <c r="G51" i="2"/>
  <c r="H51" i="2"/>
  <c r="I51" i="2"/>
  <c r="J51" i="2"/>
  <c r="K51" i="2"/>
  <c r="L51" i="2"/>
  <c r="M51" i="2"/>
  <c r="N51" i="2"/>
  <c r="O51" i="2"/>
  <c r="P51" i="2"/>
  <c r="Q51" i="2"/>
  <c r="R51" i="2"/>
  <c r="S51" i="2"/>
  <c r="E52" i="2"/>
  <c r="F52" i="2"/>
  <c r="G52" i="2"/>
  <c r="H52" i="2"/>
  <c r="I52" i="2"/>
  <c r="J52" i="2"/>
  <c r="K52" i="2"/>
  <c r="L52" i="2"/>
  <c r="M52" i="2"/>
  <c r="N52" i="2"/>
  <c r="O52" i="2"/>
  <c r="P52" i="2"/>
  <c r="Q52" i="2"/>
  <c r="R52" i="2"/>
  <c r="E53" i="2"/>
  <c r="F53" i="2"/>
  <c r="G53" i="2"/>
  <c r="H53" i="2"/>
  <c r="I53" i="2"/>
  <c r="J53" i="2"/>
  <c r="K53" i="2"/>
  <c r="L53" i="2"/>
  <c r="M53" i="2"/>
  <c r="N53" i="2"/>
  <c r="O53" i="2"/>
  <c r="P53" i="2"/>
  <c r="Q53" i="2"/>
  <c r="E54" i="2"/>
  <c r="F54" i="2"/>
  <c r="G54" i="2"/>
  <c r="H54" i="2"/>
  <c r="I54" i="2"/>
  <c r="J54" i="2"/>
  <c r="K54" i="2"/>
  <c r="L54" i="2"/>
  <c r="M54" i="2"/>
  <c r="N54" i="2"/>
  <c r="O54" i="2"/>
  <c r="P54" i="2"/>
  <c r="E55" i="2"/>
  <c r="F55" i="2"/>
  <c r="G55" i="2"/>
  <c r="H55" i="2"/>
  <c r="I55" i="2"/>
  <c r="J55" i="2"/>
  <c r="K55" i="2"/>
  <c r="L55" i="2"/>
  <c r="M55" i="2"/>
  <c r="N55" i="2"/>
  <c r="O55" i="2"/>
  <c r="E56" i="2"/>
  <c r="F56" i="2"/>
  <c r="G56" i="2"/>
  <c r="H56" i="2"/>
  <c r="I56" i="2"/>
  <c r="J56" i="2"/>
  <c r="K56" i="2"/>
  <c r="L56" i="2"/>
  <c r="M56" i="2"/>
  <c r="N56" i="2"/>
  <c r="E57" i="2"/>
  <c r="F57" i="2"/>
  <c r="G57" i="2"/>
  <c r="H57" i="2"/>
  <c r="I57" i="2"/>
  <c r="J57" i="2"/>
  <c r="K57" i="2"/>
  <c r="L57" i="2"/>
  <c r="M57" i="2"/>
  <c r="E58" i="2"/>
  <c r="F58" i="2"/>
  <c r="G58" i="2"/>
  <c r="H58" i="2"/>
  <c r="I58" i="2"/>
  <c r="J58" i="2"/>
  <c r="K58" i="2"/>
  <c r="L58" i="2"/>
  <c r="E59" i="2"/>
  <c r="F59" i="2"/>
  <c r="G59" i="2"/>
  <c r="H59" i="2"/>
  <c r="I59" i="2"/>
  <c r="J59" i="2"/>
  <c r="K59" i="2"/>
  <c r="E60" i="2"/>
  <c r="F60" i="2"/>
  <c r="G60" i="2"/>
  <c r="H60" i="2"/>
  <c r="I60" i="2"/>
  <c r="J60" i="2"/>
  <c r="E61" i="2"/>
  <c r="F61" i="2"/>
  <c r="G61" i="2"/>
  <c r="H61" i="2"/>
  <c r="I61" i="2"/>
  <c r="E62" i="2"/>
  <c r="F62" i="2"/>
  <c r="G62" i="2"/>
  <c r="H62" i="2"/>
  <c r="E63" i="2"/>
  <c r="F63" i="2"/>
  <c r="G63" i="2"/>
  <c r="E64" i="2"/>
  <c r="F64" i="2"/>
  <c r="E65" i="2"/>
  <c r="D45" i="2"/>
  <c r="D46" i="2"/>
  <c r="D47" i="2"/>
  <c r="D48" i="2"/>
  <c r="D49" i="2"/>
  <c r="D50" i="2"/>
  <c r="D51" i="2"/>
  <c r="D52" i="2"/>
  <c r="D53" i="2"/>
  <c r="D54" i="2"/>
  <c r="D55" i="2"/>
  <c r="D56" i="2"/>
  <c r="D57" i="2"/>
  <c r="D58" i="2"/>
  <c r="D59" i="2"/>
  <c r="D60" i="2"/>
  <c r="D61" i="2"/>
  <c r="D62" i="2"/>
  <c r="D63" i="2"/>
  <c r="D64" i="2"/>
  <c r="D65" i="2"/>
  <c r="E43" i="2"/>
  <c r="F43" i="2" s="1"/>
  <c r="G43" i="2" s="1"/>
  <c r="H43" i="2" s="1"/>
  <c r="I43" i="2" s="1"/>
  <c r="J43" i="2" s="1"/>
  <c r="K43" i="2" s="1"/>
  <c r="L43" i="2" s="1"/>
  <c r="M43" i="2" s="1"/>
  <c r="N43" i="2" s="1"/>
  <c r="O43" i="2" s="1"/>
  <c r="P43" i="2" s="1"/>
  <c r="Q43" i="2" s="1"/>
  <c r="R43" i="2" s="1"/>
  <c r="S43" i="2" s="1"/>
  <c r="T43" i="2" s="1"/>
  <c r="U43" i="2" s="1"/>
  <c r="V43" i="2" s="1"/>
  <c r="W43" i="2" s="1"/>
  <c r="X43" i="2" s="1"/>
  <c r="Y43" i="2" s="1"/>
  <c r="Z43" i="2" s="1"/>
  <c r="AA43" i="2" s="1"/>
  <c r="C6" i="3"/>
  <c r="C7" i="3"/>
  <c r="C8" i="3"/>
  <c r="C9" i="3"/>
  <c r="C10" i="3"/>
  <c r="C5" i="3"/>
  <c r="E15" i="2"/>
  <c r="F15" i="2" s="1"/>
  <c r="G15" i="2" s="1"/>
  <c r="H15" i="2" s="1"/>
  <c r="I15" i="2" s="1"/>
  <c r="J15" i="2" s="1"/>
  <c r="K15" i="2" s="1"/>
  <c r="L15" i="2" s="1"/>
  <c r="M15" i="2" s="1"/>
  <c r="N15" i="2" s="1"/>
  <c r="O15" i="2" s="1"/>
  <c r="P15" i="2" s="1"/>
  <c r="Q15" i="2" s="1"/>
  <c r="R15" i="2" s="1"/>
  <c r="S15" i="2" s="1"/>
  <c r="T15" i="2" s="1"/>
  <c r="U15" i="2" s="1"/>
  <c r="V15" i="2" s="1"/>
  <c r="W15" i="2" s="1"/>
  <c r="X15" i="2" s="1"/>
  <c r="Y15" i="2" s="1"/>
  <c r="Z15" i="2" s="1"/>
  <c r="AA15" i="2" s="1"/>
  <c r="AC27" i="6" l="1"/>
  <c r="J99" i="2" s="1"/>
  <c r="G99" i="2"/>
  <c r="G93" i="2"/>
  <c r="AC21" i="6"/>
  <c r="J93" i="2" s="1"/>
  <c r="D69" i="2"/>
  <c r="C30" i="16" s="1"/>
  <c r="AC13" i="6"/>
  <c r="J85" i="2" s="1"/>
  <c r="AC12" i="6"/>
  <c r="J84" i="2" s="1"/>
  <c r="AC22" i="6"/>
  <c r="J94" i="2" s="1"/>
  <c r="AC26" i="6"/>
  <c r="J98" i="2" s="1"/>
  <c r="AC14" i="6"/>
  <c r="J86" i="2" s="1"/>
  <c r="AC9" i="6"/>
  <c r="J81" i="2" s="1"/>
  <c r="AC25" i="6"/>
  <c r="J97" i="2" s="1"/>
  <c r="AC15" i="6"/>
  <c r="J87" i="2" s="1"/>
  <c r="AC19" i="6"/>
  <c r="J91" i="2" s="1"/>
  <c r="AC18" i="6"/>
  <c r="J90" i="2" s="1"/>
  <c r="AC6" i="6"/>
  <c r="J78" i="2" s="1"/>
  <c r="AC16" i="6"/>
  <c r="J88" i="2" s="1"/>
  <c r="AC7" i="6"/>
  <c r="J79" i="2" s="1"/>
  <c r="AC23" i="6"/>
  <c r="J95" i="2" s="1"/>
  <c r="AC20" i="6"/>
  <c r="J92" i="2" s="1"/>
  <c r="AC10" i="6"/>
  <c r="J82" i="2" s="1"/>
  <c r="AC24" i="6"/>
  <c r="J96" i="2" s="1"/>
  <c r="AC5" i="6"/>
  <c r="J77" i="2" s="1"/>
  <c r="AA33" i="6"/>
  <c r="AC17" i="6"/>
  <c r="J89" i="2" s="1"/>
  <c r="X31" i="6"/>
  <c r="AC11" i="6"/>
  <c r="J83" i="2" s="1"/>
  <c r="AC8" i="6"/>
  <c r="J80" i="2" s="1"/>
  <c r="L68" i="2"/>
  <c r="L69" i="2"/>
  <c r="J69" i="2"/>
  <c r="J68" i="2"/>
  <c r="U68" i="2"/>
  <c r="U69" i="2"/>
  <c r="I68" i="2"/>
  <c r="I69" i="2"/>
  <c r="N69" i="2"/>
  <c r="N68" i="2"/>
  <c r="V68" i="2"/>
  <c r="V69" i="2"/>
  <c r="T68" i="2"/>
  <c r="T69" i="2"/>
  <c r="H68" i="2"/>
  <c r="H69" i="2"/>
  <c r="X69" i="2"/>
  <c r="X68" i="2"/>
  <c r="S68" i="2"/>
  <c r="S69" i="2"/>
  <c r="G68" i="2"/>
  <c r="G69" i="2"/>
  <c r="M69" i="2"/>
  <c r="M68" i="2"/>
  <c r="R68" i="2"/>
  <c r="R69" i="2"/>
  <c r="F68" i="2"/>
  <c r="F69" i="2"/>
  <c r="Y68" i="2"/>
  <c r="Y69" i="2"/>
  <c r="K68" i="2"/>
  <c r="K69" i="2"/>
  <c r="Q69" i="2"/>
  <c r="Q68" i="2"/>
  <c r="E68" i="2"/>
  <c r="E69" i="2"/>
  <c r="Z69" i="2"/>
  <c r="Z68" i="2"/>
  <c r="P68" i="2"/>
  <c r="P69" i="2"/>
  <c r="W69" i="2"/>
  <c r="W68" i="2"/>
  <c r="D68" i="2"/>
  <c r="O68" i="2"/>
  <c r="O69" i="2"/>
  <c r="P30" i="16" l="1"/>
  <c r="M30" i="16"/>
  <c r="R30" i="16"/>
  <c r="H30" i="16"/>
  <c r="F30" i="16"/>
  <c r="T30" i="16"/>
  <c r="W30" i="16"/>
  <c r="L30" i="16"/>
  <c r="V30" i="16"/>
  <c r="I30" i="16"/>
  <c r="G30" i="16"/>
  <c r="Q30" i="16"/>
  <c r="S30" i="16"/>
  <c r="K30" i="16"/>
  <c r="O30" i="16"/>
  <c r="N30" i="16"/>
  <c r="J30" i="16"/>
  <c r="X30" i="16"/>
  <c r="E30" i="16"/>
  <c r="Y30" i="16"/>
  <c r="D30" i="16"/>
  <c r="U30" i="16"/>
  <c r="D27" i="16"/>
  <c r="E27" i="16" s="1"/>
  <c r="F27" i="16" s="1"/>
  <c r="X32" i="6"/>
  <c r="W31" i="6"/>
  <c r="AC33" i="6"/>
  <c r="F76" i="2" l="1" a="1"/>
  <c r="F76" i="2" s="1"/>
  <c r="G24" i="16"/>
  <c r="H24" i="16" s="1"/>
  <c r="I24" i="16" s="1"/>
  <c r="J24" i="16" s="1"/>
  <c r="K24" i="16" s="1"/>
  <c r="L24" i="16" s="1"/>
  <c r="M24" i="16" s="1"/>
  <c r="N24" i="16" s="1"/>
  <c r="O24" i="16" s="1"/>
  <c r="P24" i="16" s="1"/>
  <c r="Q24" i="16" s="1"/>
  <c r="R24" i="16" s="1"/>
  <c r="S24" i="16" s="1"/>
  <c r="T24" i="16" s="1"/>
  <c r="U24" i="16" s="1"/>
  <c r="V24" i="16" s="1"/>
  <c r="W24" i="16" s="1"/>
  <c r="X24" i="16" s="1"/>
  <c r="Y24" i="16" s="1"/>
  <c r="Z24" i="16" s="1"/>
  <c r="AA24" i="16" s="1"/>
  <c r="L19" i="16"/>
  <c r="M19" i="16" s="1"/>
  <c r="N19" i="16" s="1"/>
  <c r="O19" i="16" s="1"/>
  <c r="P19" i="16" s="1"/>
  <c r="Q19" i="16" s="1"/>
  <c r="R19" i="16" s="1"/>
  <c r="S19" i="16" s="1"/>
  <c r="T19" i="16" s="1"/>
  <c r="U19" i="16" s="1"/>
  <c r="V19" i="16" s="1"/>
  <c r="W19" i="16" s="1"/>
  <c r="X19" i="16" s="1"/>
  <c r="Y19" i="16" s="1"/>
  <c r="Z19" i="16" s="1"/>
  <c r="AA19" i="16" s="1"/>
  <c r="R13" i="16"/>
  <c r="S13" i="16" s="1"/>
  <c r="T13" i="16" s="1"/>
  <c r="U13" i="16" s="1"/>
  <c r="V13" i="16" s="1"/>
  <c r="W13" i="16" s="1"/>
  <c r="X13" i="16" s="1"/>
  <c r="Y13" i="16" s="1"/>
  <c r="Z13" i="16" s="1"/>
  <c r="AA13" i="16" s="1"/>
  <c r="H23" i="16"/>
  <c r="I23" i="16" s="1"/>
  <c r="J23" i="16" s="1"/>
  <c r="K23" i="16" s="1"/>
  <c r="L23" i="16" s="1"/>
  <c r="M23" i="16" s="1"/>
  <c r="N23" i="16" s="1"/>
  <c r="O23" i="16" s="1"/>
  <c r="P23" i="16" s="1"/>
  <c r="Q23" i="16" s="1"/>
  <c r="R23" i="16" s="1"/>
  <c r="S23" i="16" s="1"/>
  <c r="T23" i="16" s="1"/>
  <c r="U23" i="16" s="1"/>
  <c r="V23" i="16" s="1"/>
  <c r="W23" i="16" s="1"/>
  <c r="X23" i="16" s="1"/>
  <c r="Y23" i="16" s="1"/>
  <c r="Z23" i="16" s="1"/>
  <c r="AA23" i="16" s="1"/>
  <c r="V9" i="16"/>
  <c r="W9" i="16" s="1"/>
  <c r="X9" i="16" s="1"/>
  <c r="Y9" i="16" s="1"/>
  <c r="Z9" i="16" s="1"/>
  <c r="AA9" i="16" s="1"/>
  <c r="J21" i="16"/>
  <c r="K21" i="16" s="1"/>
  <c r="L21" i="16" s="1"/>
  <c r="M21" i="16" s="1"/>
  <c r="N21" i="16" s="1"/>
  <c r="O21" i="16" s="1"/>
  <c r="P21" i="16" s="1"/>
  <c r="Q21" i="16" s="1"/>
  <c r="R21" i="16" s="1"/>
  <c r="S21" i="16" s="1"/>
  <c r="T21" i="16" s="1"/>
  <c r="U21" i="16" s="1"/>
  <c r="V21" i="16" s="1"/>
  <c r="W21" i="16" s="1"/>
  <c r="X21" i="16" s="1"/>
  <c r="Y21" i="16" s="1"/>
  <c r="Z21" i="16" s="1"/>
  <c r="AA21" i="16" s="1"/>
  <c r="N17" i="16"/>
  <c r="O17" i="16" s="1"/>
  <c r="P17" i="16" s="1"/>
  <c r="Q17" i="16" s="1"/>
  <c r="R17" i="16" s="1"/>
  <c r="S17" i="16" s="1"/>
  <c r="T17" i="16" s="1"/>
  <c r="U17" i="16" s="1"/>
  <c r="V17" i="16" s="1"/>
  <c r="W17" i="16" s="1"/>
  <c r="X17" i="16" s="1"/>
  <c r="Y17" i="16" s="1"/>
  <c r="Z17" i="16" s="1"/>
  <c r="AA17" i="16" s="1"/>
  <c r="U10" i="16"/>
  <c r="V10" i="16" s="1"/>
  <c r="W10" i="16" s="1"/>
  <c r="X10" i="16" s="1"/>
  <c r="Y10" i="16" s="1"/>
  <c r="Z10" i="16" s="1"/>
  <c r="AA10" i="16" s="1"/>
  <c r="I22" i="16"/>
  <c r="J22" i="16" s="1"/>
  <c r="K22" i="16" s="1"/>
  <c r="L22" i="16" s="1"/>
  <c r="M22" i="16" s="1"/>
  <c r="N22" i="16" s="1"/>
  <c r="O22" i="16" s="1"/>
  <c r="P22" i="16" s="1"/>
  <c r="Q22" i="16" s="1"/>
  <c r="R22" i="16" s="1"/>
  <c r="S22" i="16" s="1"/>
  <c r="T22" i="16" s="1"/>
  <c r="U22" i="16" s="1"/>
  <c r="V22" i="16" s="1"/>
  <c r="W22" i="16" s="1"/>
  <c r="X22" i="16" s="1"/>
  <c r="Y22" i="16" s="1"/>
  <c r="Z22" i="16" s="1"/>
  <c r="AA22" i="16" s="1"/>
  <c r="E26" i="16"/>
  <c r="F26" i="16" s="1"/>
  <c r="G26" i="16" s="1"/>
  <c r="H26" i="16" s="1"/>
  <c r="I26" i="16" s="1"/>
  <c r="J26" i="16" s="1"/>
  <c r="K26" i="16" s="1"/>
  <c r="L26" i="16" s="1"/>
  <c r="M26" i="16" s="1"/>
  <c r="N26" i="16" s="1"/>
  <c r="O26" i="16" s="1"/>
  <c r="P26" i="16" s="1"/>
  <c r="Q26" i="16" s="1"/>
  <c r="R26" i="16" s="1"/>
  <c r="S26" i="16" s="1"/>
  <c r="T26" i="16" s="1"/>
  <c r="U26" i="16" s="1"/>
  <c r="V26" i="16" s="1"/>
  <c r="W26" i="16" s="1"/>
  <c r="X26" i="16" s="1"/>
  <c r="Y26" i="16" s="1"/>
  <c r="Z26" i="16" s="1"/>
  <c r="AA26" i="16" s="1"/>
  <c r="P15" i="16"/>
  <c r="Q15" i="16" s="1"/>
  <c r="R15" i="16" s="1"/>
  <c r="S15" i="16" s="1"/>
  <c r="T15" i="16" s="1"/>
  <c r="U15" i="16" s="1"/>
  <c r="V15" i="16" s="1"/>
  <c r="W15" i="16" s="1"/>
  <c r="X15" i="16" s="1"/>
  <c r="Y15" i="16" s="1"/>
  <c r="Z15" i="16" s="1"/>
  <c r="AA15" i="16" s="1"/>
  <c r="W8" i="16"/>
  <c r="X8" i="16" s="1"/>
  <c r="Y8" i="16" s="1"/>
  <c r="Z8" i="16" s="1"/>
  <c r="AA8" i="16" s="1"/>
  <c r="Z5" i="16"/>
  <c r="AA5" i="16" s="1"/>
  <c r="I77" i="2" s="1"/>
  <c r="Y31" i="16"/>
  <c r="Y32" i="16" s="1"/>
  <c r="F25" i="16"/>
  <c r="G25" i="16" s="1"/>
  <c r="H25" i="16" s="1"/>
  <c r="I25" i="16" s="1"/>
  <c r="J25" i="16" s="1"/>
  <c r="K25" i="16" s="1"/>
  <c r="L25" i="16" s="1"/>
  <c r="M25" i="16" s="1"/>
  <c r="N25" i="16" s="1"/>
  <c r="O25" i="16" s="1"/>
  <c r="P25" i="16" s="1"/>
  <c r="Q25" i="16" s="1"/>
  <c r="R25" i="16" s="1"/>
  <c r="S25" i="16" s="1"/>
  <c r="T25" i="16" s="1"/>
  <c r="U25" i="16" s="1"/>
  <c r="V25" i="16" s="1"/>
  <c r="W25" i="16" s="1"/>
  <c r="X25" i="16" s="1"/>
  <c r="Y25" i="16" s="1"/>
  <c r="Z25" i="16" s="1"/>
  <c r="AA25" i="16" s="1"/>
  <c r="T11" i="16"/>
  <c r="U11" i="16" s="1"/>
  <c r="V11" i="16" s="1"/>
  <c r="W11" i="16" s="1"/>
  <c r="X11" i="16" s="1"/>
  <c r="Y11" i="16" s="1"/>
  <c r="Z11" i="16" s="1"/>
  <c r="AA11" i="16" s="1"/>
  <c r="X7" i="16"/>
  <c r="Y7" i="16" s="1"/>
  <c r="Z7" i="16" s="1"/>
  <c r="AA7" i="16" s="1"/>
  <c r="Q14" i="16"/>
  <c r="R14" i="16" s="1"/>
  <c r="S14" i="16" s="1"/>
  <c r="T14" i="16" s="1"/>
  <c r="U14" i="16" s="1"/>
  <c r="V14" i="16" s="1"/>
  <c r="W14" i="16" s="1"/>
  <c r="X14" i="16" s="1"/>
  <c r="Y14" i="16" s="1"/>
  <c r="Z14" i="16" s="1"/>
  <c r="AA14" i="16" s="1"/>
  <c r="X31" i="16"/>
  <c r="X32" i="16" s="1"/>
  <c r="Y6" i="16"/>
  <c r="Z6" i="16" s="1"/>
  <c r="AA6" i="16" s="1"/>
  <c r="G27" i="16"/>
  <c r="H27" i="16" s="1"/>
  <c r="I27" i="16" s="1"/>
  <c r="J27" i="16" s="1"/>
  <c r="K27" i="16" s="1"/>
  <c r="L27" i="16" s="1"/>
  <c r="M27" i="16" s="1"/>
  <c r="N27" i="16" s="1"/>
  <c r="O27" i="16" s="1"/>
  <c r="P27" i="16" s="1"/>
  <c r="Q27" i="16" s="1"/>
  <c r="R27" i="16" s="1"/>
  <c r="S27" i="16" s="1"/>
  <c r="T27" i="16" s="1"/>
  <c r="U27" i="16" s="1"/>
  <c r="V27" i="16" s="1"/>
  <c r="W27" i="16" s="1"/>
  <c r="X27" i="16" s="1"/>
  <c r="Y27" i="16" s="1"/>
  <c r="Z27" i="16" s="1"/>
  <c r="AA27" i="16" s="1"/>
  <c r="K20" i="16"/>
  <c r="L20" i="16" s="1"/>
  <c r="M20" i="16" s="1"/>
  <c r="N20" i="16" s="1"/>
  <c r="O20" i="16" s="1"/>
  <c r="P20" i="16" s="1"/>
  <c r="Q20" i="16" s="1"/>
  <c r="R20" i="16" s="1"/>
  <c r="S20" i="16" s="1"/>
  <c r="T20" i="16" s="1"/>
  <c r="U20" i="16" s="1"/>
  <c r="V20" i="16" s="1"/>
  <c r="W20" i="16" s="1"/>
  <c r="X20" i="16" s="1"/>
  <c r="Y20" i="16" s="1"/>
  <c r="Z20" i="16" s="1"/>
  <c r="AA20" i="16" s="1"/>
  <c r="O16" i="16"/>
  <c r="P16" i="16" s="1"/>
  <c r="Q16" i="16" s="1"/>
  <c r="R16" i="16" s="1"/>
  <c r="S16" i="16" s="1"/>
  <c r="T16" i="16" s="1"/>
  <c r="U16" i="16" s="1"/>
  <c r="V16" i="16" s="1"/>
  <c r="W16" i="16" s="1"/>
  <c r="X16" i="16" s="1"/>
  <c r="Y16" i="16" s="1"/>
  <c r="Z16" i="16" s="1"/>
  <c r="AA16" i="16" s="1"/>
  <c r="S12" i="16"/>
  <c r="T12" i="16" s="1"/>
  <c r="U12" i="16" s="1"/>
  <c r="V12" i="16" s="1"/>
  <c r="W12" i="16" s="1"/>
  <c r="X12" i="16" s="1"/>
  <c r="Y12" i="16" s="1"/>
  <c r="Z12" i="16" s="1"/>
  <c r="AA12" i="16" s="1"/>
  <c r="M18" i="16"/>
  <c r="N18" i="16" s="1"/>
  <c r="O18" i="16" s="1"/>
  <c r="P18" i="16" s="1"/>
  <c r="Q18" i="16" s="1"/>
  <c r="R18" i="16" s="1"/>
  <c r="S18" i="16" s="1"/>
  <c r="T18" i="16" s="1"/>
  <c r="U18" i="16" s="1"/>
  <c r="V18" i="16" s="1"/>
  <c r="W18" i="16" s="1"/>
  <c r="X18" i="16" s="1"/>
  <c r="Y18" i="16" s="1"/>
  <c r="Z18" i="16" s="1"/>
  <c r="AA18" i="16" s="1"/>
  <c r="W32" i="6"/>
  <c r="V31" i="6"/>
  <c r="AC20" i="16" l="1"/>
  <c r="L92" i="2" s="1"/>
  <c r="I92" i="2"/>
  <c r="AC21" i="16"/>
  <c r="L93" i="2" s="1"/>
  <c r="I93" i="2"/>
  <c r="AC17" i="16"/>
  <c r="L89" i="2" s="1"/>
  <c r="I89" i="2"/>
  <c r="AC12" i="16"/>
  <c r="L84" i="2" s="1"/>
  <c r="I84" i="2"/>
  <c r="AC27" i="16"/>
  <c r="L99" i="2" s="1"/>
  <c r="I99" i="2"/>
  <c r="AC9" i="16"/>
  <c r="L81" i="2" s="1"/>
  <c r="I81" i="2"/>
  <c r="AC11" i="16"/>
  <c r="L83" i="2" s="1"/>
  <c r="I83" i="2"/>
  <c r="AC23" i="16"/>
  <c r="L95" i="2" s="1"/>
  <c r="I95" i="2"/>
  <c r="AC8" i="16"/>
  <c r="L80" i="2" s="1"/>
  <c r="I80" i="2"/>
  <c r="AC26" i="16"/>
  <c r="L98" i="2" s="1"/>
  <c r="I98" i="2"/>
  <c r="AC6" i="16"/>
  <c r="L78" i="2" s="1"/>
  <c r="I78" i="2"/>
  <c r="AC7" i="16"/>
  <c r="L79" i="2" s="1"/>
  <c r="I79" i="2"/>
  <c r="AC25" i="16"/>
  <c r="L97" i="2" s="1"/>
  <c r="I97" i="2"/>
  <c r="AC13" i="16"/>
  <c r="L85" i="2" s="1"/>
  <c r="I85" i="2"/>
  <c r="AC16" i="16"/>
  <c r="L88" i="2" s="1"/>
  <c r="I88" i="2"/>
  <c r="AC22" i="16"/>
  <c r="L94" i="2" s="1"/>
  <c r="I94" i="2"/>
  <c r="AC14" i="16"/>
  <c r="L86" i="2" s="1"/>
  <c r="I86" i="2"/>
  <c r="AC19" i="16"/>
  <c r="L91" i="2" s="1"/>
  <c r="I91" i="2"/>
  <c r="AC15" i="16"/>
  <c r="L87" i="2" s="1"/>
  <c r="I87" i="2"/>
  <c r="AC10" i="16"/>
  <c r="L82" i="2" s="1"/>
  <c r="I82" i="2"/>
  <c r="AC18" i="16"/>
  <c r="L90" i="2" s="1"/>
  <c r="I90" i="2"/>
  <c r="AC24" i="16"/>
  <c r="L96" i="2" s="1"/>
  <c r="I96" i="2"/>
  <c r="W31" i="16"/>
  <c r="AC5" i="16"/>
  <c r="AA33" i="16"/>
  <c r="V32" i="6"/>
  <c r="U31" i="6"/>
  <c r="AC33" i="16" l="1"/>
  <c r="L77" i="2"/>
  <c r="W32" i="16"/>
  <c r="V31" i="16"/>
  <c r="U32" i="6"/>
  <c r="T31" i="6"/>
  <c r="V32" i="16" l="1"/>
  <c r="U31" i="16"/>
  <c r="T32" i="6"/>
  <c r="S31" i="6"/>
  <c r="U32" i="16" l="1"/>
  <c r="T31" i="16"/>
  <c r="S32" i="6"/>
  <c r="R31" i="6"/>
  <c r="T32" i="16" l="1"/>
  <c r="S31" i="16"/>
  <c r="R32" i="6"/>
  <c r="Q31" i="6"/>
  <c r="S32" i="16" l="1"/>
  <c r="R31" i="16"/>
  <c r="Q32" i="6"/>
  <c r="P31" i="6"/>
  <c r="R32" i="16" l="1"/>
  <c r="Q31" i="16"/>
  <c r="P32" i="6"/>
  <c r="O31" i="6"/>
  <c r="Q32" i="16" l="1"/>
  <c r="P31" i="16"/>
  <c r="O32" i="6"/>
  <c r="N31" i="6"/>
  <c r="P32" i="16" l="1"/>
  <c r="O31" i="16"/>
  <c r="N32" i="6"/>
  <c r="M31" i="6"/>
  <c r="O32" i="16" l="1"/>
  <c r="N31" i="16"/>
  <c r="M32" i="6"/>
  <c r="L31" i="6"/>
  <c r="N32" i="16" l="1"/>
  <c r="M31" i="16"/>
  <c r="L32" i="6"/>
  <c r="K31" i="6"/>
  <c r="M32" i="16" l="1"/>
  <c r="L31" i="16"/>
  <c r="K32" i="6"/>
  <c r="J31" i="6"/>
  <c r="L32" i="16" l="1"/>
  <c r="K31" i="16"/>
  <c r="J32" i="6"/>
  <c r="I31" i="6"/>
  <c r="K32" i="16" l="1"/>
  <c r="J31" i="16"/>
  <c r="I32" i="6"/>
  <c r="H31" i="6"/>
  <c r="J32" i="16" l="1"/>
  <c r="I31" i="16"/>
  <c r="H32" i="6"/>
  <c r="G31" i="6"/>
  <c r="I32" i="16" l="1"/>
  <c r="H31" i="16"/>
  <c r="G32" i="6"/>
  <c r="F31" i="6"/>
  <c r="H32" i="16" l="1"/>
  <c r="G31" i="16"/>
  <c r="F32" i="6"/>
  <c r="E31" i="6"/>
  <c r="G32" i="16" l="1"/>
  <c r="F31" i="16"/>
  <c r="E32" i="6"/>
  <c r="D31" i="6"/>
  <c r="F32" i="16" l="1"/>
  <c r="E31" i="16"/>
  <c r="C31" i="6"/>
  <c r="C32" i="6" s="1"/>
  <c r="D32" i="6"/>
  <c r="E32" i="16" l="1"/>
  <c r="D31" i="16"/>
  <c r="D32" i="16" l="1"/>
  <c r="C31" i="16"/>
  <c r="C32" i="1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<sst xmlns="http://schemas.openxmlformats.org/spreadsheetml/2006/main" count="879" uniqueCount="120">
  <si>
    <t>Calcula el IBNR del siguiente triangulo usando Chain Ladder, BF y Cape Cod</t>
  </si>
  <si>
    <t>1. el loss ratio a priori es 55%</t>
  </si>
  <si>
    <t>Contesta las sig preguntas:</t>
  </si>
  <si>
    <t>1. Qué metodología escogerías para cada trimestre y por qué?</t>
  </si>
  <si>
    <t>2. Excluiste algun periodo para el calculo de lo factores? Di que periodo y en que desarrollo y por qué</t>
  </si>
  <si>
    <t>3. Cómo sale el bakctesting para tu selección de ultimate para los trimestres del 1Q19 al 4Q20?</t>
  </si>
  <si>
    <t>4. Qué duración tiene está cartera?</t>
  </si>
  <si>
    <t>1Q19</t>
  </si>
  <si>
    <t>2Q19</t>
  </si>
  <si>
    <t/>
  </si>
  <si>
    <t>3Q19</t>
  </si>
  <si>
    <t>4Q19</t>
  </si>
  <si>
    <t>1Q20</t>
  </si>
  <si>
    <t>2Q20</t>
  </si>
  <si>
    <t>3Q20</t>
  </si>
  <si>
    <t>4Q20</t>
  </si>
  <si>
    <t>1Q21</t>
  </si>
  <si>
    <t>2Q21</t>
  </si>
  <si>
    <t>3Q21</t>
  </si>
  <si>
    <t>4Q21</t>
  </si>
  <si>
    <t>1Q22</t>
  </si>
  <si>
    <t>2Q22</t>
  </si>
  <si>
    <t>3Q22</t>
  </si>
  <si>
    <t>4Q22</t>
  </si>
  <si>
    <t>1Q23</t>
  </si>
  <si>
    <t>2Q23</t>
  </si>
  <si>
    <t>3Q23</t>
  </si>
  <si>
    <t>4Q23</t>
  </si>
  <si>
    <t>1Q24</t>
  </si>
  <si>
    <t>2Q24</t>
  </si>
  <si>
    <t>3Q24</t>
  </si>
  <si>
    <t>4Q24</t>
  </si>
  <si>
    <t>IBNR</t>
  </si>
  <si>
    <t>Integrantes del equipo</t>
  </si>
  <si>
    <t>TRIÁNGULO-PAGADO</t>
  </si>
  <si>
    <t>FACTORES</t>
  </si>
  <si>
    <t>Mediana</t>
  </si>
  <si>
    <t>Factores</t>
  </si>
  <si>
    <t>CHAIN-LADDER — Triángulo Proyectado e IBNR | Vinculado a hojas 1_Triangulo y 2_Factores</t>
  </si>
  <si>
    <t>AZUL=observado (hoja 1) · AMARILLO=proyección CL = C_{i,j-1} × f̂_{j-1} (hoja 2) · VERDE=IBNR</t>
  </si>
  <si>
    <t>AO</t>
  </si>
  <si>
    <t>Trim.</t>
  </si>
  <si>
    <t>T01</t>
  </si>
  <si>
    <t>T02</t>
  </si>
  <si>
    <t>T03</t>
  </si>
  <si>
    <t>T04</t>
  </si>
  <si>
    <t>T05</t>
  </si>
  <si>
    <t>T06</t>
  </si>
  <si>
    <t>T07</t>
  </si>
  <si>
    <t>T08</t>
  </si>
  <si>
    <t>T09</t>
  </si>
  <si>
    <t>T10</t>
  </si>
  <si>
    <t>T11</t>
  </si>
  <si>
    <t>T12</t>
  </si>
  <si>
    <t>T13</t>
  </si>
  <si>
    <t>T14</t>
  </si>
  <si>
    <t>T15</t>
  </si>
  <si>
    <t>T16</t>
  </si>
  <si>
    <t>T17</t>
  </si>
  <si>
    <t>T18</t>
  </si>
  <si>
    <t>T19</t>
  </si>
  <si>
    <t>T20</t>
  </si>
  <si>
    <t>T21</t>
  </si>
  <si>
    <t>T22</t>
  </si>
  <si>
    <t>T23</t>
  </si>
  <si>
    <t>T24</t>
  </si>
  <si>
    <t>Último
Proy.</t>
  </si>
  <si>
    <t>Pagado
Actual</t>
  </si>
  <si>
    <t>IBNR CL</t>
  </si>
  <si>
    <t>AO02</t>
  </si>
  <si>
    <t>AO03</t>
  </si>
  <si>
    <t>AO04</t>
  </si>
  <si>
    <t>AO05</t>
  </si>
  <si>
    <t>AO06</t>
  </si>
  <si>
    <t>AO07</t>
  </si>
  <si>
    <t>AO08</t>
  </si>
  <si>
    <t>AO09</t>
  </si>
  <si>
    <t>AO10</t>
  </si>
  <si>
    <t>AO11</t>
  </si>
  <si>
    <t>AO12</t>
  </si>
  <si>
    <t>AO13</t>
  </si>
  <si>
    <t>AO14</t>
  </si>
  <si>
    <t>AO15</t>
  </si>
  <si>
    <t>AO16</t>
  </si>
  <si>
    <t>AO17</t>
  </si>
  <si>
    <t>AO18</t>
  </si>
  <si>
    <t>AO19</t>
  </si>
  <si>
    <t>AO20</t>
  </si>
  <si>
    <t>AO21</t>
  </si>
  <si>
    <t>AO22</t>
  </si>
  <si>
    <t>AO23</t>
  </si>
  <si>
    <t>AO24</t>
  </si>
  <si>
    <t>Numerado</t>
  </si>
  <si>
    <t>Denominador</t>
  </si>
  <si>
    <t xml:space="preserve">Total </t>
  </si>
  <si>
    <t>Factor acum. F_j^{→25}</t>
  </si>
  <si>
    <t>% Desarrollado = 1/F_j</t>
  </si>
  <si>
    <t>2. tasa de interes</t>
  </si>
  <si>
    <t>AO01</t>
  </si>
  <si>
    <t>Chain Ladder para períodos antiguos debido a que ya se cuenta con la suficiente experiencia observada y BF/CC para los periodos recientes, ya que, utilizamos una estimación del loss ratio basada en la experiencia agregada de la cartera, esto reduce el sesgo por tener poca experiencia observada.</t>
  </si>
  <si>
    <t>Sí, se utilizaron los últimos 8peridos, ya que presentan mayor estabilidad y son los más representativos respecto a la experiencia reciente.</t>
  </si>
  <si>
    <t>Para el Triángulo 1, utilizando el patrón de pagos y la tasa de descuento considerada en el archivo, se obtiene una duración de Macaulay de aproximadamente 0.984 años, equivalente a alrededor de 11.8 meses. La duración modificada es aproximadamente 0.928 años</t>
  </si>
  <si>
    <t>El backtesting resulta satisfactorio para el triángulo en los primeros trimestres (1Q19–4Q20). Las estimaciones obtenidas mediante Chain Ladder para los periodos maduros se mantienen prácticamente sin variaciones al incorporar información adicional. Asimismo, la estimación del loss ratio calculada con CC presenta cambios mínimos, lo que refuerza la elección de esta metodología para los trimestres comprendidos entre 1Q19 y 4Q20.</t>
  </si>
  <si>
    <t xml:space="preserve"> Alondra Abril Alarcón Alvarez </t>
  </si>
  <si>
    <t xml:space="preserve"> Angelica Guadalupe Cravioto Perez</t>
  </si>
  <si>
    <t xml:space="preserve"> Arturo Cortés Islas </t>
  </si>
  <si>
    <t xml:space="preserve"> Dereck Favila Limón </t>
  </si>
  <si>
    <t xml:space="preserve"> Ismael Ruiz Carbajal </t>
  </si>
  <si>
    <t xml:space="preserve"> José Julián Alcalá Alcántara </t>
  </si>
  <si>
    <t xml:space="preserve"> Melissa González Cortés </t>
  </si>
  <si>
    <t>FACTORES Y ULTIMATES CORTE 2024</t>
  </si>
  <si>
    <t xml:space="preserve">FACTORES </t>
  </si>
  <si>
    <t>Ultimates</t>
  </si>
  <si>
    <t>Ultimos8</t>
  </si>
  <si>
    <t>todo</t>
  </si>
  <si>
    <t>promedio_simple</t>
  </si>
  <si>
    <t>FACTORES Y ULTIMATES CORTE 2023</t>
  </si>
  <si>
    <t>FACTORES Y ULTIMATES CORTE 2022</t>
  </si>
  <si>
    <t>Promedio_2024</t>
  </si>
  <si>
    <t>Promedio_2023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</si>
</sst>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0.00000"/>
    <numFmt numFmtId="166" formatCode="_-* #,##0.00000_-;\-* #,##0.00000_-;_-* &quot;-&quot;??_-;_-@_-"/>
    <numFmt numFmtId="172" formatCode="0.0%"/>
  </numFmts>
  <fonts count="22" x14ac:knownFonts="1">
    <font>
      <sz val="11"/>
      <color theme="1"/>
      <name val="Aptos Narrow"/>
      <family val="2"/>
      <scheme val="minor"/>
    </font>
    <font>
      <sz val="11"/>
      <color theme="1"/>
      <name val="Aptos Narrow"/>
      <family val="2"/>
      <scheme val="minor"/>
    </font>
    <font>
      <b/>
      <sz val="11"/>
      <color theme="1"/>
      <name val="Aptos Narrow"/>
      <family val="2"/>
      <scheme val="minor"/>
    </font>
    <font>
      <sz val="20"/>
      <color theme="0"/>
      <name val="Aptos Narrow"/>
      <family val="2"/>
      <scheme val="minor"/>
    </font>
    <font>
      <b/>
      <sz val="14"/>
      <color theme="1"/>
      <name val="Aptos Narrow"/>
      <family val="2"/>
      <scheme val="minor"/>
    </font>
    <font>
      <sz val="11"/>
      <color theme="1"/>
      <name val="Calibri"/>
      <family val="2"/>
      <charset val="1"/>
    </font>
    <font>
      <b/>
      <sz val="11"/>
      <color rgb="FFFFFFFF"/>
      <name val="Calibri"/>
      <family val="2"/>
    </font>
    <font>
      <sz val="8"/>
      <color rgb="FF1E3A5F"/>
      <name val="Calibri"/>
      <family val="2"/>
    </font>
    <font>
      <b/>
      <sz val="8"/>
      <color rgb="FFFFFFFF"/>
      <name val="Calibri"/>
      <family val="2"/>
    </font>
    <font>
      <b/>
      <sz val="7"/>
      <color rgb="FFFFFFFF"/>
      <name val="Calibri"/>
      <family val="2"/>
    </font>
    <font>
      <b/>
      <sz val="9"/>
      <color rgb="FFFFFFFF"/>
      <name val="Calibri"/>
      <family val="2"/>
    </font>
    <font>
      <b/>
      <sz val="9"/>
      <color rgb="FF1E3A5F"/>
      <name val="Calibri"/>
      <family val="2"/>
    </font>
    <font>
      <sz val="9"/>
      <color rgb="FF555555"/>
      <name val="Calibri"/>
      <family val="2"/>
    </font>
    <font>
      <sz val="9"/>
      <color rgb="FF1C1C1C"/>
      <name val="Calibri"/>
      <family val="2"/>
    </font>
    <font>
      <b/>
      <sz val="9"/>
      <color rgb="FF1A5C38"/>
      <name val="Calibri"/>
      <family val="2"/>
    </font>
    <font>
      <sz val="9"/>
      <color rgb="FF1E3A5F"/>
      <name val="Calibri"/>
      <family val="2"/>
    </font>
    <font>
      <sz val="9"/>
      <color rgb="FF00008B"/>
      <name val="Calibri"/>
      <family val="2"/>
    </font>
    <font>
      <b/>
      <sz val="9"/>
      <name val="Calibri"/>
      <family val="2"/>
    </font>
    <font>
      <sz val="8"/>
      <name val="Aptos Narrow"/>
      <family val="2"/>
      <scheme val="minor"/>
    </font>
    <font>
      <b/>
      <sz val="8"/>
      <color rgb="FF1E3A5F"/>
      <name val="Calibri"/>
      <family val="2"/>
    </font>
    <font>
      <sz val="10"/>
      <name val="Arial"/>
      <family val="2"/>
    </font>
    <font>
      <sz val="11"/>
      <color theme="1"/>
      <name val="Segoe UI"/>
      <family val="2"/>
    </font>
  </fonts>
  <fills count="15">
    <fill>
      <patternFill patternType="none"/>
    </fill>
    <fill>
      <patternFill patternType="gray125"/>
    </fill>
    <fill>
      <patternFill patternType="solid">
        <fgColor theme="7"/>
        <bgColor indexed="64"/>
      </patternFill>
    </fill>
    <fill>
      <patternFill patternType="solid">
        <fgColor theme="8" tint="0.79998168889431442"/>
        <bgColor indexed="64"/>
      </patternFill>
    </fill>
    <fill>
      <patternFill patternType="solid">
        <fgColor rgb="FF1E3A5F"/>
        <bgColor rgb="FF1A5C38"/>
      </patternFill>
    </fill>
    <fill>
      <patternFill patternType="solid">
        <fgColor rgb="FFEAF4FF"/>
        <bgColor rgb="FFF4F6F8"/>
      </patternFill>
    </fill>
    <fill>
      <patternFill patternType="solid">
        <fgColor rgb="FF2E6DA4"/>
        <bgColor rgb="FF3366FF"/>
      </patternFill>
    </fill>
    <fill>
      <patternFill patternType="solid">
        <fgColor rgb="FF1A5C38"/>
        <bgColor rgb="FF1E3A5F"/>
      </patternFill>
    </fill>
    <fill>
      <patternFill patternType="solid">
        <fgColor rgb="FFD6E4F0"/>
        <bgColor rgb="FFD4EFDF"/>
      </patternFill>
    </fill>
    <fill>
      <patternFill patternType="solid">
        <fgColor rgb="FFD4EFDF"/>
        <bgColor rgb="FFD6E4F0"/>
      </patternFill>
    </fill>
    <fill>
      <patternFill patternType="solid">
        <fgColor rgb="FFFFFFFF"/>
        <bgColor rgb="FFFFFDE7"/>
      </patternFill>
    </fill>
    <fill>
      <patternFill patternType="solid">
        <fgColor rgb="FFFFFDE7"/>
        <bgColor rgb="FFFFF3E0"/>
      </patternFill>
    </fill>
    <fill>
      <patternFill patternType="solid">
        <fgColor theme="8" tint="0.79998168889431442"/>
        <bgColor rgb="FFFFF3E0"/>
      </patternFill>
    </fill>
    <fill>
      <patternFill patternType="solid">
        <fgColor theme="5" tint="0.79998168889431442"/>
        <bgColor indexed="64"/>
      </patternFill>
    </fill>
    <fill>
      <patternFill patternType="solid">
        <fgColor theme="9" tint="0.79998168889431442"/>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diagonal/>
    </border>
    <border>
      <left/>
      <right/>
      <top style="thin">
        <color rgb="FFCCCCCC"/>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top/>
      <bottom/>
      <diagonal/>
    </border>
    <border>
      <left/>
      <right style="thin">
        <color rgb="FFCCCCCC"/>
      </right>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xf numFmtId="43" fontId="20" fillId="0" borderId="0" applyBorder="0" applyAlignment="0" applyProtection="0"/>
    <xf numFmtId="9" fontId="20" fillId="0" borderId="0" applyBorder="0" applyAlignment="0" applyProtection="0"/>
  </cellStyleXfs>
  <cellXfs count="60">
    <xf numFmtId="0" fontId="0" fillId="0" borderId="0" xfId="0"/>
    <xf numFmtId="164" fontId="0" fillId="0" borderId="0" xfId="1" applyNumberFormat="1" applyFont="1"/>
    <xf numFmtId="164" fontId="0" fillId="0" borderId="0" xfId="1" applyNumberFormat="1" applyFont="1" applyFill="1"/>
    <xf numFmtId="0" fontId="2" fillId="0" borderId="0" xfId="0" applyFont="1"/>
    <xf numFmtId="0" fontId="4" fillId="0" borderId="0" xfId="0" applyFont="1"/>
    <xf numFmtId="0" fontId="2" fillId="0" borderId="0" xfId="0" applyFont="1" applyAlignment="1">
      <alignment horizontal="center"/>
    </xf>
    <xf numFmtId="0" fontId="3" fillId="0" borderId="0" xfId="0" applyFont="1"/>
    <xf numFmtId="165" fontId="0" fillId="0" borderId="0" xfId="2" applyNumberFormat="1" applyFont="1" applyFill="1"/>
    <xf numFmtId="166" fontId="0" fillId="0" borderId="0" xfId="1" applyNumberFormat="1" applyFont="1" applyFill="1"/>
    <xf numFmtId="165" fontId="0" fillId="0" borderId="0" xfId="0" applyNumberFormat="1"/>
    <xf numFmtId="165" fontId="1" fillId="0" borderId="0" xfId="2" applyNumberFormat="1" applyFont="1" applyFill="1"/>
    <xf numFmtId="165" fontId="0" fillId="0" borderId="2" xfId="2" applyNumberFormat="1" applyFont="1" applyFill="1" applyBorder="1"/>
    <xf numFmtId="165" fontId="0" fillId="0" borderId="3" xfId="2" applyNumberFormat="1" applyFont="1" applyFill="1" applyBorder="1"/>
    <xf numFmtId="165" fontId="0" fillId="0" borderId="4" xfId="2" applyNumberFormat="1" applyFont="1" applyFill="1" applyBorder="1"/>
    <xf numFmtId="165" fontId="0" fillId="0" borderId="5" xfId="2" applyNumberFormat="1" applyFont="1" applyFill="1" applyBorder="1"/>
    <xf numFmtId="165" fontId="0" fillId="0" borderId="6" xfId="2" applyNumberFormat="1" applyFont="1" applyFill="1" applyBorder="1"/>
    <xf numFmtId="165" fontId="0" fillId="0" borderId="1" xfId="2" applyNumberFormat="1" applyFont="1" applyFill="1" applyBorder="1"/>
    <xf numFmtId="0" fontId="5" fillId="0" borderId="0" xfId="3"/>
    <xf numFmtId="0" fontId="8" fillId="6" borderId="8" xfId="3" applyFont="1" applyFill="1" applyBorder="1" applyAlignment="1">
      <alignment horizontal="center" vertical="center"/>
    </xf>
    <xf numFmtId="0" fontId="9" fillId="6" borderId="8" xfId="3" applyFont="1" applyFill="1" applyBorder="1" applyAlignment="1">
      <alignment horizontal="center" vertical="center"/>
    </xf>
    <xf numFmtId="0" fontId="8" fillId="7" borderId="8" xfId="3" applyFont="1" applyFill="1" applyBorder="1" applyAlignment="1">
      <alignment horizontal="center" vertical="center" wrapText="1"/>
    </xf>
    <xf numFmtId="0" fontId="8" fillId="6" borderId="8" xfId="3" applyFont="1" applyFill="1" applyBorder="1" applyAlignment="1">
      <alignment horizontal="center" vertical="center" wrapText="1"/>
    </xf>
    <xf numFmtId="0" fontId="10" fillId="7" borderId="8" xfId="3" applyFont="1" applyFill="1" applyBorder="1" applyAlignment="1">
      <alignment horizontal="center" vertical="center" wrapText="1"/>
    </xf>
    <xf numFmtId="0" fontId="11" fillId="5" borderId="8" xfId="3" applyFont="1" applyFill="1" applyBorder="1" applyAlignment="1">
      <alignment horizontal="center" vertical="center"/>
    </xf>
    <xf numFmtId="0" fontId="12" fillId="5" borderId="8" xfId="3" applyFont="1" applyFill="1" applyBorder="1" applyAlignment="1">
      <alignment horizontal="center" vertical="center"/>
    </xf>
    <xf numFmtId="3" fontId="13" fillId="5" borderId="8" xfId="3" applyNumberFormat="1" applyFont="1" applyFill="1" applyBorder="1" applyAlignment="1">
      <alignment horizontal="right" vertical="center"/>
    </xf>
    <xf numFmtId="3" fontId="11" fillId="8" borderId="8" xfId="3" applyNumberFormat="1" applyFont="1" applyFill="1" applyBorder="1" applyAlignment="1">
      <alignment horizontal="right" vertical="center"/>
    </xf>
    <xf numFmtId="3" fontId="14" fillId="9" borderId="8" xfId="3" applyNumberFormat="1" applyFont="1" applyFill="1" applyBorder="1" applyAlignment="1">
      <alignment horizontal="right" vertical="center"/>
    </xf>
    <xf numFmtId="3" fontId="15" fillId="8" borderId="8" xfId="3" applyNumberFormat="1" applyFont="1" applyFill="1" applyBorder="1" applyAlignment="1">
      <alignment horizontal="right" vertical="center"/>
    </xf>
    <xf numFmtId="0" fontId="11" fillId="10" borderId="8" xfId="3" applyFont="1" applyFill="1" applyBorder="1" applyAlignment="1">
      <alignment horizontal="center" vertical="center"/>
    </xf>
    <xf numFmtId="0" fontId="12" fillId="10" borderId="8" xfId="3" applyFont="1" applyFill="1" applyBorder="1" applyAlignment="1">
      <alignment horizontal="center" vertical="center"/>
    </xf>
    <xf numFmtId="3" fontId="13" fillId="10" borderId="8" xfId="3" applyNumberFormat="1" applyFont="1" applyFill="1" applyBorder="1" applyAlignment="1">
      <alignment horizontal="right" vertical="center"/>
    </xf>
    <xf numFmtId="3" fontId="16" fillId="11" borderId="8" xfId="3" applyNumberFormat="1" applyFont="1" applyFill="1" applyBorder="1" applyAlignment="1">
      <alignment horizontal="right" vertical="center"/>
    </xf>
    <xf numFmtId="0" fontId="10" fillId="7" borderId="8" xfId="3" applyFont="1" applyFill="1" applyBorder="1" applyAlignment="1">
      <alignment vertical="center"/>
    </xf>
    <xf numFmtId="3" fontId="6" fillId="7" borderId="8" xfId="3" applyNumberFormat="1" applyFont="1" applyFill="1" applyBorder="1" applyAlignment="1">
      <alignment horizontal="right" vertical="center"/>
    </xf>
    <xf numFmtId="0" fontId="10" fillId="7" borderId="9" xfId="3" applyFont="1" applyFill="1" applyBorder="1" applyAlignment="1">
      <alignment vertical="center"/>
    </xf>
    <xf numFmtId="0" fontId="10" fillId="7" borderId="10" xfId="3" applyFont="1" applyFill="1" applyBorder="1" applyAlignment="1">
      <alignment vertical="center"/>
    </xf>
    <xf numFmtId="0" fontId="10" fillId="7" borderId="11" xfId="3" applyFont="1" applyFill="1" applyBorder="1" applyAlignment="1">
      <alignment vertical="center"/>
    </xf>
    <xf numFmtId="3" fontId="11" fillId="8" borderId="12" xfId="3" applyNumberFormat="1" applyFont="1" applyFill="1" applyBorder="1" applyAlignment="1">
      <alignment horizontal="right" vertical="center"/>
    </xf>
    <xf numFmtId="3" fontId="16" fillId="11" borderId="12" xfId="3" applyNumberFormat="1" applyFont="1" applyFill="1" applyBorder="1" applyAlignment="1">
      <alignment horizontal="right" vertical="center"/>
    </xf>
    <xf numFmtId="3" fontId="17" fillId="0" borderId="7" xfId="3" applyNumberFormat="1" applyFont="1" applyBorder="1" applyAlignment="1">
      <alignment vertical="center"/>
    </xf>
    <xf numFmtId="0" fontId="17" fillId="0" borderId="7" xfId="3" applyFont="1" applyBorder="1" applyAlignment="1">
      <alignment vertical="center"/>
    </xf>
    <xf numFmtId="3" fontId="17" fillId="0" borderId="7" xfId="3" applyNumberFormat="1" applyFont="1" applyBorder="1" applyAlignment="1">
      <alignment horizontal="right" vertical="center"/>
    </xf>
    <xf numFmtId="10" fontId="15" fillId="8" borderId="8" xfId="0" applyNumberFormat="1" applyFont="1" applyFill="1" applyBorder="1" applyAlignment="1">
      <alignment horizontal="right" vertical="center"/>
    </xf>
    <xf numFmtId="3" fontId="0" fillId="0" borderId="0" xfId="0" applyNumberFormat="1"/>
    <xf numFmtId="165" fontId="15" fillId="8" borderId="8" xfId="0" applyNumberFormat="1" applyFont="1" applyFill="1" applyBorder="1" applyAlignment="1">
      <alignment horizontal="right" vertical="center"/>
    </xf>
    <xf numFmtId="172" fontId="0" fillId="0" borderId="0" xfId="2" applyNumberFormat="1" applyFont="1"/>
    <xf numFmtId="3" fontId="16" fillId="12" borderId="12" xfId="3" applyNumberFormat="1" applyFont="1" applyFill="1" applyBorder="1" applyAlignment="1">
      <alignment horizontal="right" vertical="center"/>
    </xf>
    <xf numFmtId="0" fontId="21" fillId="0" borderId="0" xfId="0" applyFont="1"/>
    <xf numFmtId="0" fontId="3" fillId="2" borderId="0" xfId="0" applyFont="1" applyFill="1" applyAlignment="1">
      <alignment horizontal="center"/>
    </xf>
    <xf numFmtId="0" fontId="0" fillId="3" borderId="0" xfId="0" applyFill="1" applyAlignment="1">
      <alignment horizontal="center"/>
    </xf>
    <xf numFmtId="0" fontId="6" fillId="4" borderId="8" xfId="3" applyFont="1" applyFill="1" applyBorder="1" applyAlignment="1">
      <alignment horizontal="center" vertical="center"/>
    </xf>
    <xf numFmtId="0" fontId="7" fillId="5" borderId="8" xfId="3" applyFont="1" applyFill="1" applyBorder="1" applyAlignment="1">
      <alignment horizontal="center" vertical="center"/>
    </xf>
    <xf numFmtId="0" fontId="19" fillId="8" borderId="8" xfId="0" applyFont="1" applyFill="1" applyBorder="1" applyAlignment="1">
      <alignment horizontal="center" vertical="center"/>
    </xf>
    <xf numFmtId="0" fontId="10" fillId="7" borderId="13" xfId="3" applyFont="1" applyFill="1" applyBorder="1" applyAlignment="1">
      <alignment horizontal="center" vertical="center"/>
    </xf>
    <xf numFmtId="0" fontId="10" fillId="7" borderId="0" xfId="3" applyFont="1" applyFill="1" applyAlignment="1">
      <alignment horizontal="center" vertical="center"/>
    </xf>
    <xf numFmtId="0" fontId="10" fillId="7" borderId="14" xfId="3" applyFont="1" applyFill="1" applyBorder="1" applyAlignment="1">
      <alignment horizontal="center" vertical="center"/>
    </xf>
    <xf numFmtId="0" fontId="0" fillId="13" borderId="0" xfId="0" applyFill="1" applyAlignment="1">
      <alignment horizontal="center"/>
    </xf>
    <xf numFmtId="0" fontId="0" fillId="14" borderId="0" xfId="0" applyFill="1" applyAlignment="1">
      <alignment horizontal="center"/>
    </xf>
    <xf numFmtId="0" fontId="2" fillId="0" borderId="0" xfId="0" applyFont="1" applyFill="1" applyBorder="1"/>
  </cellXfs>
  <cellStyles count="6">
    <cellStyle name="Millares" xfId="1" builtinId="3"/>
    <cellStyle name="Millares 2" xfId="4" xr:uid="{EB16A9E7-19E4-4C1E-98A8-00B567E8AD70}"/>
    <cellStyle name="Normal" xfId="0" builtinId="0"/>
    <cellStyle name="Normal 2" xfId="3" xr:uid="{E2752369-5BBA-4757-AAC6-837BB4C414DE}"/>
    <cellStyle name="Porcentaje" xfId="2" builtinId="5"/>
    <cellStyle name="Porcentaje 2" xfId="5" xr:uid="{70FC458D-141D-4DD9-9B27-9E1BC7A635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823A5-D11A-4968-B386-9AD98FEBBAB4}">
  <dimension ref="C3:D20"/>
  <sheetViews>
    <sheetView showGridLines="0" workbookViewId="0">
      <selection activeCell="K6" sqref="K6"/>
    </sheetView>
  </sheetViews>
  <sheetFormatPr baseColWidth="10" defaultRowHeight="15" x14ac:dyDescent="0.25"/>
  <sheetData>
    <row r="3" spans="3:4" ht="18.75" x14ac:dyDescent="0.3">
      <c r="C3" s="4" t="s">
        <v>33</v>
      </c>
    </row>
    <row r="4" spans="3:4" x14ac:dyDescent="0.25">
      <c r="C4">
        <v>1</v>
      </c>
      <c r="D4" t="s">
        <v>103</v>
      </c>
    </row>
    <row r="5" spans="3:4" x14ac:dyDescent="0.25">
      <c r="C5">
        <f>+C4+1</f>
        <v>2</v>
      </c>
      <c r="D5" t="s">
        <v>104</v>
      </c>
    </row>
    <row r="6" spans="3:4" x14ac:dyDescent="0.25">
      <c r="C6">
        <f t="shared" ref="C6:C10" si="0">+C5+1</f>
        <v>3</v>
      </c>
      <c r="D6" t="s">
        <v>105</v>
      </c>
    </row>
    <row r="7" spans="3:4" x14ac:dyDescent="0.25">
      <c r="C7">
        <f t="shared" si="0"/>
        <v>4</v>
      </c>
      <c r="D7" t="s">
        <v>106</v>
      </c>
    </row>
    <row r="8" spans="3:4" x14ac:dyDescent="0.25">
      <c r="C8">
        <f t="shared" si="0"/>
        <v>5</v>
      </c>
      <c r="D8" t="s">
        <v>107</v>
      </c>
    </row>
    <row r="9" spans="3:4" x14ac:dyDescent="0.25">
      <c r="C9">
        <f t="shared" si="0"/>
        <v>6</v>
      </c>
      <c r="D9" t="s">
        <v>108</v>
      </c>
    </row>
    <row r="10" spans="3:4" x14ac:dyDescent="0.25">
      <c r="C10">
        <f t="shared" si="0"/>
        <v>7</v>
      </c>
      <c r="D10" t="s">
        <v>109</v>
      </c>
    </row>
    <row r="14" spans="3:4" ht="16.5" x14ac:dyDescent="0.3">
      <c r="D14" s="48"/>
    </row>
    <row r="15" spans="3:4" ht="16.5" x14ac:dyDescent="0.3">
      <c r="D15" s="48"/>
    </row>
    <row r="16" spans="3:4" ht="16.5" x14ac:dyDescent="0.3">
      <c r="D16" s="48"/>
    </row>
    <row r="17" spans="4:4" ht="16.5" x14ac:dyDescent="0.3">
      <c r="D17" s="48"/>
    </row>
    <row r="18" spans="4:4" ht="16.5" x14ac:dyDescent="0.3">
      <c r="D18" s="48"/>
    </row>
    <row r="19" spans="4:4" ht="16.5" x14ac:dyDescent="0.3">
      <c r="D19" s="48"/>
    </row>
    <row r="20" spans="4:4" ht="16.5" x14ac:dyDescent="0.3">
      <c r="D20" s="4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89B4-2C61-49EE-AE85-9BA3B66AAD9B}">
  <dimension ref="A2:AD99"/>
  <sheetViews>
    <sheetView showGridLines="0" tabSelected="1" topLeftCell="J71" zoomScale="70" zoomScaleNormal="70" workbookViewId="0">
      <selection activeCell="X88" sqref="X88"/>
    </sheetView>
  </sheetViews>
  <sheetFormatPr baseColWidth="10" defaultColWidth="8.85546875" defaultRowHeight="15" x14ac:dyDescent="0.25"/>
  <cols>
    <col min="3" max="3" width="12.140625" customWidth="1"/>
    <col min="4" max="4" width="20.140625" customWidth="1"/>
    <col min="5" max="5" width="16.42578125" bestFit="1" customWidth="1"/>
    <col min="6" max="6" width="18.85546875" bestFit="1" customWidth="1"/>
    <col min="7" max="7" width="15.42578125" bestFit="1" customWidth="1"/>
    <col min="8" max="8" width="13.140625" bestFit="1" customWidth="1"/>
    <col min="9" max="10" width="14.140625" bestFit="1" customWidth="1"/>
    <col min="11" max="11" width="14.85546875" bestFit="1" customWidth="1"/>
    <col min="12" max="27" width="13.140625" bestFit="1" customWidth="1"/>
  </cols>
  <sheetData>
    <row r="2" spans="3:27" x14ac:dyDescent="0.25">
      <c r="C2" t="s">
        <v>0</v>
      </c>
      <c r="D2" s="1"/>
      <c r="E2" s="1"/>
      <c r="F2" s="1"/>
      <c r="G2" s="1"/>
      <c r="H2" s="1"/>
      <c r="I2" s="1"/>
      <c r="J2" s="1"/>
      <c r="K2" s="1"/>
      <c r="L2" s="1"/>
      <c r="M2" s="1"/>
      <c r="N2" s="1"/>
      <c r="O2" s="1"/>
      <c r="P2" s="1"/>
      <c r="Q2" s="1"/>
      <c r="R2" s="1"/>
      <c r="S2" s="1"/>
      <c r="T2" s="1"/>
      <c r="U2" s="1"/>
      <c r="V2" s="1"/>
      <c r="W2" s="1"/>
      <c r="X2" s="1"/>
      <c r="Y2" s="1"/>
      <c r="Z2" s="1"/>
      <c r="AA2" s="1"/>
    </row>
    <row r="3" spans="3:27" x14ac:dyDescent="0.25">
      <c r="D3" s="1" t="s">
        <v>1</v>
      </c>
      <c r="E3" s="1"/>
      <c r="F3" s="1"/>
      <c r="G3" s="1"/>
      <c r="H3" s="1"/>
      <c r="I3" s="1"/>
      <c r="J3" s="1"/>
      <c r="K3" s="1"/>
      <c r="L3" s="1"/>
      <c r="M3" s="1"/>
      <c r="N3" s="1"/>
      <c r="O3" s="1"/>
      <c r="P3" s="1"/>
      <c r="Q3" s="1"/>
      <c r="R3" s="1"/>
      <c r="S3" s="1"/>
      <c r="T3" s="1"/>
      <c r="U3" s="1"/>
      <c r="V3" s="1"/>
      <c r="W3" s="1"/>
      <c r="X3" s="1"/>
      <c r="Y3" s="1"/>
      <c r="Z3" s="1"/>
      <c r="AA3" s="1"/>
    </row>
    <row r="4" spans="3:27" x14ac:dyDescent="0.25">
      <c r="D4" s="1" t="s">
        <v>97</v>
      </c>
      <c r="E4" s="46">
        <v>0.06</v>
      </c>
      <c r="F4" s="1"/>
      <c r="G4" s="1"/>
      <c r="H4" s="1"/>
      <c r="I4" s="1"/>
      <c r="J4" s="1"/>
      <c r="K4" s="1"/>
      <c r="L4" s="1"/>
      <c r="M4" s="1"/>
      <c r="N4" s="1"/>
      <c r="O4" s="1"/>
      <c r="P4" s="1"/>
      <c r="Q4" s="1"/>
      <c r="R4" s="1"/>
      <c r="S4" s="1"/>
      <c r="T4" s="1"/>
      <c r="U4" s="1"/>
      <c r="V4" s="1"/>
      <c r="W4" s="1"/>
      <c r="X4" s="1"/>
      <c r="Y4" s="1"/>
      <c r="Z4" s="1"/>
      <c r="AA4" s="1"/>
    </row>
    <row r="5" spans="3:27" x14ac:dyDescent="0.25">
      <c r="E5" s="1"/>
      <c r="F5" s="1"/>
      <c r="G5" s="1"/>
      <c r="H5" s="1"/>
      <c r="I5" s="1"/>
      <c r="J5" s="1"/>
      <c r="K5" s="1"/>
      <c r="L5" s="1"/>
      <c r="M5" s="1"/>
      <c r="N5" s="1"/>
      <c r="O5" s="1"/>
      <c r="P5" s="1"/>
      <c r="Q5" s="1"/>
      <c r="R5" s="1"/>
      <c r="S5" s="1"/>
      <c r="T5" s="1"/>
      <c r="U5" s="1"/>
      <c r="V5" s="1"/>
      <c r="W5" s="1"/>
      <c r="X5" s="1"/>
      <c r="Y5" s="1"/>
      <c r="Z5" s="1"/>
      <c r="AA5" s="1"/>
    </row>
    <row r="6" spans="3:27" x14ac:dyDescent="0.25">
      <c r="D6" s="1"/>
      <c r="E6" s="1"/>
      <c r="F6" s="1"/>
      <c r="G6" s="1"/>
      <c r="H6" s="1"/>
      <c r="I6" s="1"/>
      <c r="J6" s="1"/>
      <c r="K6" s="1"/>
      <c r="L6" s="1"/>
      <c r="M6" s="1"/>
      <c r="N6" s="1"/>
      <c r="O6" s="1"/>
      <c r="P6" s="1"/>
      <c r="Q6" s="1"/>
      <c r="R6" s="1"/>
      <c r="S6" s="1"/>
      <c r="T6" s="1"/>
      <c r="U6" s="1"/>
      <c r="V6" s="1"/>
      <c r="W6" s="1"/>
      <c r="X6" s="1"/>
      <c r="Y6" s="1"/>
      <c r="Z6" s="1"/>
      <c r="AA6" s="1"/>
    </row>
    <row r="7" spans="3:27" x14ac:dyDescent="0.25">
      <c r="C7" t="s">
        <v>2</v>
      </c>
      <c r="D7" s="1"/>
      <c r="E7" s="1"/>
      <c r="F7" s="1"/>
      <c r="G7" s="1"/>
      <c r="H7" s="1"/>
      <c r="I7" s="1"/>
      <c r="J7" s="1"/>
      <c r="K7" s="1"/>
      <c r="L7" s="1"/>
      <c r="M7" s="1"/>
      <c r="N7" s="1"/>
      <c r="O7" s="1"/>
      <c r="P7" s="1"/>
      <c r="Q7" s="1"/>
      <c r="R7" s="1"/>
      <c r="S7" s="1"/>
      <c r="T7" s="1"/>
      <c r="U7" s="1"/>
      <c r="V7" s="1"/>
      <c r="W7" s="1"/>
      <c r="X7" s="1"/>
      <c r="Y7" s="1"/>
      <c r="Z7" s="1"/>
      <c r="AA7" s="1"/>
    </row>
    <row r="8" spans="3:27" x14ac:dyDescent="0.25">
      <c r="D8" s="1" t="s">
        <v>3</v>
      </c>
      <c r="G8" t="s">
        <v>99</v>
      </c>
    </row>
    <row r="9" spans="3:27" x14ac:dyDescent="0.25">
      <c r="D9" s="1" t="s">
        <v>4</v>
      </c>
      <c r="G9" t="s">
        <v>100</v>
      </c>
    </row>
    <row r="10" spans="3:27" x14ac:dyDescent="0.25">
      <c r="D10" s="1" t="s">
        <v>5</v>
      </c>
      <c r="G10" t="s">
        <v>102</v>
      </c>
    </row>
    <row r="11" spans="3:27" x14ac:dyDescent="0.25">
      <c r="D11" s="1" t="s">
        <v>6</v>
      </c>
      <c r="G11" t="s">
        <v>101</v>
      </c>
    </row>
    <row r="13" spans="3:27" ht="26.25" x14ac:dyDescent="0.4">
      <c r="C13" s="49" t="s">
        <v>34</v>
      </c>
      <c r="D13" s="49"/>
      <c r="E13" s="49"/>
      <c r="F13" s="49"/>
      <c r="G13" s="49"/>
      <c r="H13" s="49"/>
      <c r="I13" s="49"/>
      <c r="J13" s="49"/>
      <c r="K13" s="49"/>
      <c r="L13" s="49"/>
      <c r="M13" s="49"/>
      <c r="N13" s="49"/>
      <c r="O13" s="49"/>
      <c r="P13" s="49"/>
      <c r="Q13" s="49"/>
      <c r="R13" s="49"/>
      <c r="S13" s="49"/>
      <c r="T13" s="49"/>
      <c r="U13" s="49"/>
      <c r="V13" s="49"/>
      <c r="W13" s="49"/>
      <c r="X13" s="49"/>
      <c r="Y13" s="49"/>
      <c r="Z13" s="49"/>
      <c r="AA13" s="49"/>
    </row>
    <row r="15" spans="3:27" x14ac:dyDescent="0.25">
      <c r="D15" s="5">
        <v>1</v>
      </c>
      <c r="E15" s="5">
        <f>+D15+1</f>
        <v>2</v>
      </c>
      <c r="F15" s="5">
        <f t="shared" ref="F15:AA15" si="0">+E15+1</f>
        <v>3</v>
      </c>
      <c r="G15" s="5">
        <f t="shared" si="0"/>
        <v>4</v>
      </c>
      <c r="H15" s="5">
        <f t="shared" si="0"/>
        <v>5</v>
      </c>
      <c r="I15" s="5">
        <f t="shared" si="0"/>
        <v>6</v>
      </c>
      <c r="J15" s="5">
        <f t="shared" si="0"/>
        <v>7</v>
      </c>
      <c r="K15" s="5">
        <f t="shared" si="0"/>
        <v>8</v>
      </c>
      <c r="L15" s="5">
        <f t="shared" si="0"/>
        <v>9</v>
      </c>
      <c r="M15" s="5">
        <f t="shared" si="0"/>
        <v>10</v>
      </c>
      <c r="N15" s="5">
        <f t="shared" si="0"/>
        <v>11</v>
      </c>
      <c r="O15" s="5">
        <f t="shared" si="0"/>
        <v>12</v>
      </c>
      <c r="P15" s="5">
        <f t="shared" si="0"/>
        <v>13</v>
      </c>
      <c r="Q15" s="5">
        <f t="shared" si="0"/>
        <v>14</v>
      </c>
      <c r="R15" s="5">
        <f t="shared" si="0"/>
        <v>15</v>
      </c>
      <c r="S15" s="5">
        <f t="shared" si="0"/>
        <v>16</v>
      </c>
      <c r="T15" s="5">
        <f t="shared" si="0"/>
        <v>17</v>
      </c>
      <c r="U15" s="5">
        <f t="shared" si="0"/>
        <v>18</v>
      </c>
      <c r="V15" s="5">
        <f t="shared" si="0"/>
        <v>19</v>
      </c>
      <c r="W15" s="5">
        <f t="shared" si="0"/>
        <v>20</v>
      </c>
      <c r="X15" s="5">
        <f t="shared" si="0"/>
        <v>21</v>
      </c>
      <c r="Y15" s="5">
        <f t="shared" si="0"/>
        <v>22</v>
      </c>
      <c r="Z15" s="5">
        <f t="shared" si="0"/>
        <v>23</v>
      </c>
      <c r="AA15" s="5">
        <f t="shared" si="0"/>
        <v>24</v>
      </c>
    </row>
    <row r="16" spans="3:27" x14ac:dyDescent="0.25">
      <c r="C16" s="3" t="s">
        <v>7</v>
      </c>
      <c r="D16" s="2">
        <v>6418198</v>
      </c>
      <c r="E16" s="2">
        <v>8351947</v>
      </c>
      <c r="F16" s="2">
        <v>9393090</v>
      </c>
      <c r="G16" s="2">
        <v>11183194</v>
      </c>
      <c r="H16" s="2">
        <v>12100800</v>
      </c>
      <c r="I16" s="2">
        <v>12721118</v>
      </c>
      <c r="J16" s="2">
        <v>13073728</v>
      </c>
      <c r="K16" s="2">
        <v>13548698</v>
      </c>
      <c r="L16" s="2">
        <v>13729852</v>
      </c>
      <c r="M16" s="2">
        <v>14178002</v>
      </c>
      <c r="N16" s="2">
        <v>14403018</v>
      </c>
      <c r="O16" s="2">
        <v>14589694</v>
      </c>
      <c r="P16" s="2">
        <v>14666170</v>
      </c>
      <c r="Q16" s="2">
        <v>14699145</v>
      </c>
      <c r="R16" s="2">
        <v>14709918</v>
      </c>
      <c r="S16" s="2">
        <v>14721902</v>
      </c>
      <c r="T16" s="2">
        <v>14723975</v>
      </c>
      <c r="U16" s="2">
        <v>14724778</v>
      </c>
      <c r="V16" s="2">
        <v>14725216</v>
      </c>
      <c r="W16" s="2">
        <v>14725343</v>
      </c>
      <c r="X16" s="2">
        <v>14725356</v>
      </c>
      <c r="Y16" s="2">
        <v>14725361</v>
      </c>
      <c r="Z16" s="2">
        <v>14725369</v>
      </c>
      <c r="AA16" s="2">
        <v>14725385</v>
      </c>
    </row>
    <row r="17" spans="3:27" x14ac:dyDescent="0.25">
      <c r="C17" s="3" t="s">
        <v>8</v>
      </c>
      <c r="D17" s="2">
        <v>7475822</v>
      </c>
      <c r="E17" s="2">
        <v>10450029</v>
      </c>
      <c r="F17" s="2">
        <v>12515657</v>
      </c>
      <c r="G17" s="2">
        <v>13149304</v>
      </c>
      <c r="H17" s="2">
        <v>14417681</v>
      </c>
      <c r="I17" s="2">
        <v>15145227</v>
      </c>
      <c r="J17" s="2">
        <v>15971980</v>
      </c>
      <c r="K17" s="2">
        <v>16442175</v>
      </c>
      <c r="L17" s="2">
        <v>16761977</v>
      </c>
      <c r="M17" s="2">
        <v>17230340</v>
      </c>
      <c r="N17" s="2">
        <v>17479823</v>
      </c>
      <c r="O17" s="2">
        <v>17658472</v>
      </c>
      <c r="P17" s="2">
        <v>17691106</v>
      </c>
      <c r="Q17" s="2">
        <v>17707511</v>
      </c>
      <c r="R17" s="2">
        <v>17727251</v>
      </c>
      <c r="S17" s="2">
        <v>17731572</v>
      </c>
      <c r="T17" s="2">
        <v>17733454</v>
      </c>
      <c r="U17" s="2">
        <v>17734435</v>
      </c>
      <c r="V17" s="2">
        <v>17734974</v>
      </c>
      <c r="W17" s="2">
        <v>17735197</v>
      </c>
      <c r="X17" s="2">
        <v>17735258</v>
      </c>
      <c r="Y17" s="2">
        <v>17735268</v>
      </c>
      <c r="Z17" s="2">
        <v>17735279</v>
      </c>
      <c r="AA17" s="2" t="s">
        <v>9</v>
      </c>
    </row>
    <row r="18" spans="3:27" x14ac:dyDescent="0.25">
      <c r="C18" s="3" t="s">
        <v>10</v>
      </c>
      <c r="D18" s="2">
        <v>4944676</v>
      </c>
      <c r="E18" s="2">
        <v>5651989</v>
      </c>
      <c r="F18" s="2">
        <v>6603749</v>
      </c>
      <c r="G18" s="2">
        <v>7627857</v>
      </c>
      <c r="H18" s="2">
        <v>8503366</v>
      </c>
      <c r="I18" s="2">
        <v>9687265</v>
      </c>
      <c r="J18" s="2">
        <v>10329156</v>
      </c>
      <c r="K18" s="2">
        <v>10705380</v>
      </c>
      <c r="L18" s="2">
        <v>11007279</v>
      </c>
      <c r="M18" s="2">
        <v>11432174</v>
      </c>
      <c r="N18" s="2">
        <v>11644639</v>
      </c>
      <c r="O18" s="2">
        <v>11802250</v>
      </c>
      <c r="P18" s="2">
        <v>11840837</v>
      </c>
      <c r="Q18" s="2">
        <v>11864201</v>
      </c>
      <c r="R18" s="2">
        <v>11873586</v>
      </c>
      <c r="S18" s="2">
        <v>11878223</v>
      </c>
      <c r="T18" s="2">
        <v>11880065</v>
      </c>
      <c r="U18" s="2">
        <v>11880905</v>
      </c>
      <c r="V18" s="2">
        <v>11881492</v>
      </c>
      <c r="W18" s="2">
        <v>11881607</v>
      </c>
      <c r="X18" s="2">
        <v>11881725</v>
      </c>
      <c r="Y18" s="2">
        <v>11881761</v>
      </c>
      <c r="Z18" s="2" t="s">
        <v>9</v>
      </c>
      <c r="AA18" s="2" t="s">
        <v>9</v>
      </c>
    </row>
    <row r="19" spans="3:27" x14ac:dyDescent="0.25">
      <c r="C19" s="3" t="s">
        <v>11</v>
      </c>
      <c r="D19" s="2">
        <v>5990844</v>
      </c>
      <c r="E19" s="2">
        <v>12990844</v>
      </c>
      <c r="F19" s="2">
        <v>14795084</v>
      </c>
      <c r="G19" s="2">
        <v>15558421</v>
      </c>
      <c r="H19" s="2">
        <v>16698078</v>
      </c>
      <c r="I19" s="2">
        <v>17591115</v>
      </c>
      <c r="J19" s="2">
        <v>17858613</v>
      </c>
      <c r="K19" s="2">
        <v>18161498</v>
      </c>
      <c r="L19" s="2">
        <v>18751439</v>
      </c>
      <c r="M19" s="2">
        <v>18855100</v>
      </c>
      <c r="N19" s="2">
        <v>19152179</v>
      </c>
      <c r="O19" s="2">
        <v>19349458</v>
      </c>
      <c r="P19" s="2">
        <v>19426010</v>
      </c>
      <c r="Q19" s="2">
        <v>19444545</v>
      </c>
      <c r="R19" s="2">
        <v>19453256</v>
      </c>
      <c r="S19" s="2">
        <v>19457999</v>
      </c>
      <c r="T19" s="2">
        <v>19459976</v>
      </c>
      <c r="U19" s="2">
        <v>19461146</v>
      </c>
      <c r="V19" s="2">
        <v>19461559</v>
      </c>
      <c r="W19" s="2">
        <v>19461649</v>
      </c>
      <c r="X19" s="2">
        <v>19461650</v>
      </c>
      <c r="Y19" s="2" t="s">
        <v>9</v>
      </c>
      <c r="Z19" s="2" t="s">
        <v>9</v>
      </c>
      <c r="AA19" s="2" t="s">
        <v>9</v>
      </c>
    </row>
    <row r="20" spans="3:27" x14ac:dyDescent="0.25">
      <c r="C20" s="3" t="s">
        <v>12</v>
      </c>
      <c r="D20" s="2">
        <v>6106533</v>
      </c>
      <c r="E20" s="2">
        <v>7227067</v>
      </c>
      <c r="F20" s="2">
        <v>8316481</v>
      </c>
      <c r="G20" s="2">
        <v>8778769</v>
      </c>
      <c r="H20" s="2">
        <v>9616196</v>
      </c>
      <c r="I20" s="2">
        <v>9944940</v>
      </c>
      <c r="J20" s="2">
        <v>10596973</v>
      </c>
      <c r="K20" s="2">
        <v>10938865</v>
      </c>
      <c r="L20" s="2">
        <v>11091033</v>
      </c>
      <c r="M20" s="2">
        <v>11574757</v>
      </c>
      <c r="N20" s="2">
        <v>11660948</v>
      </c>
      <c r="O20" s="2">
        <v>11754449</v>
      </c>
      <c r="P20" s="2">
        <v>11785976</v>
      </c>
      <c r="Q20" s="2">
        <v>11801623</v>
      </c>
      <c r="R20" s="2">
        <v>11808422</v>
      </c>
      <c r="S20" s="2">
        <v>11812430</v>
      </c>
      <c r="T20" s="2">
        <v>11814677</v>
      </c>
      <c r="U20" s="2">
        <v>11815553</v>
      </c>
      <c r="V20" s="2">
        <v>11815994</v>
      </c>
      <c r="W20" s="2">
        <v>11816173</v>
      </c>
      <c r="X20" s="2" t="s">
        <v>9</v>
      </c>
      <c r="Y20" s="2" t="s">
        <v>9</v>
      </c>
      <c r="Z20" s="2" t="s">
        <v>9</v>
      </c>
      <c r="AA20" s="2" t="s">
        <v>9</v>
      </c>
    </row>
    <row r="21" spans="3:27" x14ac:dyDescent="0.25">
      <c r="C21" s="3" t="s">
        <v>13</v>
      </c>
      <c r="D21" s="2">
        <v>3511339</v>
      </c>
      <c r="E21" s="2">
        <v>5097855</v>
      </c>
      <c r="F21" s="2">
        <v>6037374</v>
      </c>
      <c r="G21" s="2">
        <v>6436248</v>
      </c>
      <c r="H21" s="2">
        <v>7366573</v>
      </c>
      <c r="I21" s="2">
        <v>8575992</v>
      </c>
      <c r="J21" s="2">
        <v>9082448</v>
      </c>
      <c r="K21" s="2">
        <v>12082448</v>
      </c>
      <c r="L21" s="2">
        <v>12687409</v>
      </c>
      <c r="M21" s="2">
        <v>12838372</v>
      </c>
      <c r="N21" s="2">
        <v>12930641</v>
      </c>
      <c r="O21" s="2">
        <v>12990612</v>
      </c>
      <c r="P21" s="2">
        <v>13017211</v>
      </c>
      <c r="Q21" s="2">
        <v>13032985</v>
      </c>
      <c r="R21" s="2">
        <v>13041104</v>
      </c>
      <c r="S21" s="2">
        <v>13045224</v>
      </c>
      <c r="T21" s="2">
        <v>13046906</v>
      </c>
      <c r="U21" s="2">
        <v>13047997</v>
      </c>
      <c r="V21" s="2">
        <v>13048471</v>
      </c>
      <c r="W21" s="2" t="s">
        <v>9</v>
      </c>
      <c r="X21" s="2" t="s">
        <v>9</v>
      </c>
      <c r="Y21" s="2" t="s">
        <v>9</v>
      </c>
      <c r="Z21" s="2" t="s">
        <v>9</v>
      </c>
      <c r="AA21" s="2" t="s">
        <v>9</v>
      </c>
    </row>
    <row r="22" spans="3:27" x14ac:dyDescent="0.25">
      <c r="C22" s="3" t="s">
        <v>14</v>
      </c>
      <c r="D22" s="2">
        <v>4141271</v>
      </c>
      <c r="E22" s="2">
        <v>5675304</v>
      </c>
      <c r="F22" s="2">
        <v>6514051</v>
      </c>
      <c r="G22" s="2">
        <v>7799341</v>
      </c>
      <c r="H22" s="2">
        <v>8118940</v>
      </c>
      <c r="I22" s="2">
        <v>8328067</v>
      </c>
      <c r="J22" s="2">
        <v>9073367</v>
      </c>
      <c r="K22" s="2">
        <v>9580777</v>
      </c>
      <c r="L22" s="2">
        <v>10084545</v>
      </c>
      <c r="M22" s="2">
        <v>10574369</v>
      </c>
      <c r="N22" s="2">
        <v>10704764</v>
      </c>
      <c r="O22" s="2">
        <v>10779530</v>
      </c>
      <c r="P22" s="2">
        <v>10810916</v>
      </c>
      <c r="Q22" s="2">
        <v>10825407</v>
      </c>
      <c r="R22" s="2">
        <v>10831969</v>
      </c>
      <c r="S22" s="2">
        <v>10836654</v>
      </c>
      <c r="T22" s="2">
        <v>10839043</v>
      </c>
      <c r="U22" s="2">
        <v>10840140</v>
      </c>
      <c r="V22" s="2" t="s">
        <v>9</v>
      </c>
      <c r="W22" s="2" t="s">
        <v>9</v>
      </c>
      <c r="X22" s="2" t="s">
        <v>9</v>
      </c>
      <c r="Y22" s="2" t="s">
        <v>9</v>
      </c>
      <c r="Z22" s="2" t="s">
        <v>9</v>
      </c>
      <c r="AA22" s="2" t="s">
        <v>9</v>
      </c>
    </row>
    <row r="23" spans="3:27" x14ac:dyDescent="0.25">
      <c r="C23" s="3" t="s">
        <v>15</v>
      </c>
      <c r="D23" s="2">
        <v>6591656</v>
      </c>
      <c r="E23" s="2">
        <v>9149839</v>
      </c>
      <c r="F23" s="2">
        <v>9876574</v>
      </c>
      <c r="G23" s="2">
        <v>11324778</v>
      </c>
      <c r="H23" s="2">
        <v>11791969</v>
      </c>
      <c r="I23" s="2">
        <v>12446387</v>
      </c>
      <c r="J23" s="2">
        <v>12820241</v>
      </c>
      <c r="K23" s="2">
        <v>13419392</v>
      </c>
      <c r="L23" s="2">
        <v>13586619</v>
      </c>
      <c r="M23" s="2">
        <v>13861205</v>
      </c>
      <c r="N23" s="2">
        <v>13987078</v>
      </c>
      <c r="O23" s="2">
        <v>14043493</v>
      </c>
      <c r="P23" s="2">
        <v>14079323</v>
      </c>
      <c r="Q23" s="2">
        <v>14095393</v>
      </c>
      <c r="R23" s="2">
        <v>14104571</v>
      </c>
      <c r="S23" s="2">
        <v>14109322</v>
      </c>
      <c r="T23" s="2">
        <v>14111136</v>
      </c>
      <c r="U23" s="2" t="s">
        <v>9</v>
      </c>
      <c r="V23" s="2" t="s">
        <v>9</v>
      </c>
      <c r="W23" s="2" t="s">
        <v>9</v>
      </c>
      <c r="X23" s="2" t="s">
        <v>9</v>
      </c>
      <c r="Y23" s="2" t="s">
        <v>9</v>
      </c>
      <c r="Z23" s="2" t="s">
        <v>9</v>
      </c>
      <c r="AA23" s="2" t="s">
        <v>9</v>
      </c>
    </row>
    <row r="24" spans="3:27" x14ac:dyDescent="0.25">
      <c r="C24" s="3" t="s">
        <v>16</v>
      </c>
      <c r="D24" s="2">
        <v>6289704</v>
      </c>
      <c r="E24" s="2">
        <v>9074583</v>
      </c>
      <c r="F24" s="2">
        <v>11031640</v>
      </c>
      <c r="G24" s="2">
        <v>12328713</v>
      </c>
      <c r="H24" s="2">
        <v>12743016</v>
      </c>
      <c r="I24" s="2">
        <v>13716063</v>
      </c>
      <c r="J24" s="2">
        <v>13936735</v>
      </c>
      <c r="K24" s="2">
        <v>14684360</v>
      </c>
      <c r="L24" s="2">
        <v>15224487</v>
      </c>
      <c r="M24" s="2">
        <v>15505624</v>
      </c>
      <c r="N24" s="2">
        <v>15616491</v>
      </c>
      <c r="O24" s="2">
        <v>15669883</v>
      </c>
      <c r="P24" s="2">
        <v>15701026</v>
      </c>
      <c r="Q24" s="2">
        <v>15717007</v>
      </c>
      <c r="R24" s="2">
        <v>15725357</v>
      </c>
      <c r="S24" s="2">
        <v>15729334</v>
      </c>
      <c r="T24" s="2" t="s">
        <v>9</v>
      </c>
      <c r="U24" s="2" t="s">
        <v>9</v>
      </c>
      <c r="V24" s="2" t="s">
        <v>9</v>
      </c>
      <c r="W24" s="2" t="s">
        <v>9</v>
      </c>
      <c r="X24" s="2" t="s">
        <v>9</v>
      </c>
      <c r="Y24" s="2" t="s">
        <v>9</v>
      </c>
      <c r="Z24" s="2" t="s">
        <v>9</v>
      </c>
      <c r="AA24" s="2" t="s">
        <v>9</v>
      </c>
    </row>
    <row r="25" spans="3:27" x14ac:dyDescent="0.25">
      <c r="C25" s="3" t="s">
        <v>17</v>
      </c>
      <c r="D25" s="2">
        <v>4959185</v>
      </c>
      <c r="E25" s="2">
        <v>7332815</v>
      </c>
      <c r="F25" s="2">
        <v>8942057</v>
      </c>
      <c r="G25" s="2">
        <v>10413724</v>
      </c>
      <c r="H25" s="2">
        <v>11109326</v>
      </c>
      <c r="I25" s="2">
        <v>11743877</v>
      </c>
      <c r="J25" s="2">
        <v>12264947</v>
      </c>
      <c r="K25" s="2">
        <v>13331758</v>
      </c>
      <c r="L25" s="2">
        <v>13881470</v>
      </c>
      <c r="M25" s="2">
        <v>14105853</v>
      </c>
      <c r="N25" s="2">
        <v>14231236</v>
      </c>
      <c r="O25" s="2">
        <v>14285043</v>
      </c>
      <c r="P25" s="2">
        <v>14317196</v>
      </c>
      <c r="Q25" s="2">
        <v>14335249</v>
      </c>
      <c r="R25" s="2">
        <v>14343596</v>
      </c>
      <c r="S25" s="2" t="s">
        <v>9</v>
      </c>
      <c r="T25" s="2" t="s">
        <v>9</v>
      </c>
      <c r="U25" s="2" t="s">
        <v>9</v>
      </c>
      <c r="V25" s="2" t="s">
        <v>9</v>
      </c>
      <c r="W25" s="2" t="s">
        <v>9</v>
      </c>
      <c r="X25" s="2" t="s">
        <v>9</v>
      </c>
      <c r="Y25" s="2" t="s">
        <v>9</v>
      </c>
      <c r="Z25" s="2" t="s">
        <v>9</v>
      </c>
      <c r="AA25" s="2" t="s">
        <v>9</v>
      </c>
    </row>
    <row r="26" spans="3:27" x14ac:dyDescent="0.25">
      <c r="C26" s="3" t="s">
        <v>18</v>
      </c>
      <c r="D26" s="2">
        <v>6194048</v>
      </c>
      <c r="E26" s="2">
        <v>7741218</v>
      </c>
      <c r="F26" s="2">
        <v>9386858</v>
      </c>
      <c r="G26" s="2">
        <v>9734366</v>
      </c>
      <c r="H26" s="2">
        <v>10964336</v>
      </c>
      <c r="I26" s="2">
        <v>11346897</v>
      </c>
      <c r="J26" s="2">
        <v>13064544</v>
      </c>
      <c r="K26" s="2">
        <v>14121948</v>
      </c>
      <c r="L26" s="2">
        <v>14605429</v>
      </c>
      <c r="M26" s="2">
        <v>14862271</v>
      </c>
      <c r="N26" s="2">
        <v>15012968</v>
      </c>
      <c r="O26" s="2">
        <v>15074585</v>
      </c>
      <c r="P26" s="2">
        <v>15104696</v>
      </c>
      <c r="Q26" s="2">
        <v>15119935</v>
      </c>
      <c r="R26" s="2" t="s">
        <v>9</v>
      </c>
      <c r="S26" s="2" t="s">
        <v>9</v>
      </c>
      <c r="T26" s="2" t="s">
        <v>9</v>
      </c>
      <c r="U26" s="2" t="s">
        <v>9</v>
      </c>
      <c r="V26" s="2" t="s">
        <v>9</v>
      </c>
      <c r="W26" s="2" t="s">
        <v>9</v>
      </c>
      <c r="X26" s="2" t="s">
        <v>9</v>
      </c>
      <c r="Y26" s="2" t="s">
        <v>9</v>
      </c>
      <c r="Z26" s="2" t="s">
        <v>9</v>
      </c>
      <c r="AA26" s="2" t="s">
        <v>9</v>
      </c>
    </row>
    <row r="27" spans="3:27" x14ac:dyDescent="0.25">
      <c r="C27" s="3" t="s">
        <v>19</v>
      </c>
      <c r="D27" s="2">
        <v>6500694</v>
      </c>
      <c r="E27" s="2">
        <v>9436157</v>
      </c>
      <c r="F27" s="2">
        <v>11552953</v>
      </c>
      <c r="G27" s="2">
        <v>12130358</v>
      </c>
      <c r="H27" s="2">
        <v>13369514</v>
      </c>
      <c r="I27" s="2">
        <v>15030308</v>
      </c>
      <c r="J27" s="2">
        <v>16697100</v>
      </c>
      <c r="K27" s="2">
        <v>17828453</v>
      </c>
      <c r="L27" s="2">
        <v>18294564</v>
      </c>
      <c r="M27" s="2">
        <v>18522862</v>
      </c>
      <c r="N27" s="2">
        <v>18641988</v>
      </c>
      <c r="O27" s="2">
        <v>18693587</v>
      </c>
      <c r="P27" s="2">
        <v>18730024</v>
      </c>
      <c r="Q27" s="2" t="s">
        <v>9</v>
      </c>
      <c r="R27" s="2" t="s">
        <v>9</v>
      </c>
      <c r="S27" s="2" t="s">
        <v>9</v>
      </c>
      <c r="T27" s="2" t="s">
        <v>9</v>
      </c>
      <c r="U27" s="2" t="s">
        <v>9</v>
      </c>
      <c r="V27" s="2" t="s">
        <v>9</v>
      </c>
      <c r="W27" s="2" t="s">
        <v>9</v>
      </c>
      <c r="X27" s="2" t="s">
        <v>9</v>
      </c>
      <c r="Y27" s="2" t="s">
        <v>9</v>
      </c>
      <c r="Z27" s="2" t="s">
        <v>9</v>
      </c>
      <c r="AA27" s="2" t="s">
        <v>9</v>
      </c>
    </row>
    <row r="28" spans="3:27" x14ac:dyDescent="0.25">
      <c r="C28" s="3" t="s">
        <v>20</v>
      </c>
      <c r="D28" s="2">
        <v>5205434</v>
      </c>
      <c r="E28" s="2">
        <v>7752400</v>
      </c>
      <c r="F28" s="2">
        <v>9411446</v>
      </c>
      <c r="G28" s="2">
        <v>10805763</v>
      </c>
      <c r="H28" s="2">
        <v>13284336</v>
      </c>
      <c r="I28" s="2">
        <v>15384835</v>
      </c>
      <c r="J28" s="2">
        <v>17438864</v>
      </c>
      <c r="K28" s="2">
        <v>18514044</v>
      </c>
      <c r="L28" s="2">
        <v>19125680</v>
      </c>
      <c r="M28" s="2">
        <v>19431036</v>
      </c>
      <c r="N28" s="2">
        <v>19572822</v>
      </c>
      <c r="O28" s="2">
        <v>19627354</v>
      </c>
      <c r="P28" s="2" t="s">
        <v>9</v>
      </c>
      <c r="Q28" s="2" t="s">
        <v>9</v>
      </c>
      <c r="R28" s="2" t="s">
        <v>9</v>
      </c>
      <c r="S28" s="2" t="s">
        <v>9</v>
      </c>
      <c r="T28" s="2" t="s">
        <v>9</v>
      </c>
      <c r="U28" s="2" t="s">
        <v>9</v>
      </c>
      <c r="V28" s="2" t="s">
        <v>9</v>
      </c>
      <c r="W28" s="2" t="s">
        <v>9</v>
      </c>
      <c r="X28" s="2" t="s">
        <v>9</v>
      </c>
      <c r="Y28" s="2" t="s">
        <v>9</v>
      </c>
      <c r="Z28" s="2" t="s">
        <v>9</v>
      </c>
      <c r="AA28" s="2" t="s">
        <v>9</v>
      </c>
    </row>
    <row r="29" spans="3:27" x14ac:dyDescent="0.25">
      <c r="C29" s="3" t="s">
        <v>21</v>
      </c>
      <c r="D29" s="2">
        <v>5184519</v>
      </c>
      <c r="E29" s="2">
        <v>7275135</v>
      </c>
      <c r="F29" s="2">
        <v>7974797</v>
      </c>
      <c r="G29" s="2">
        <v>11597296</v>
      </c>
      <c r="H29" s="2">
        <v>14585912</v>
      </c>
      <c r="I29" s="2">
        <v>16285147</v>
      </c>
      <c r="J29" s="2">
        <v>18338971</v>
      </c>
      <c r="K29" s="2">
        <v>19214501</v>
      </c>
      <c r="L29" s="2">
        <v>19700684</v>
      </c>
      <c r="M29" s="2">
        <v>19926910</v>
      </c>
      <c r="N29" s="2">
        <v>20049671</v>
      </c>
      <c r="O29" s="2" t="s">
        <v>9</v>
      </c>
      <c r="P29" s="2" t="s">
        <v>9</v>
      </c>
      <c r="Q29" s="2" t="s">
        <v>9</v>
      </c>
      <c r="R29" s="2" t="s">
        <v>9</v>
      </c>
      <c r="S29" s="2" t="s">
        <v>9</v>
      </c>
      <c r="T29" s="2" t="s">
        <v>9</v>
      </c>
      <c r="U29" s="2" t="s">
        <v>9</v>
      </c>
      <c r="V29" s="2" t="s">
        <v>9</v>
      </c>
      <c r="W29" s="2" t="s">
        <v>9</v>
      </c>
      <c r="X29" s="2" t="s">
        <v>9</v>
      </c>
      <c r="Y29" s="2" t="s">
        <v>9</v>
      </c>
      <c r="Z29" s="2" t="s">
        <v>9</v>
      </c>
      <c r="AA29" s="2" t="s">
        <v>9</v>
      </c>
    </row>
    <row r="30" spans="3:27" x14ac:dyDescent="0.25">
      <c r="C30" s="3" t="s">
        <v>22</v>
      </c>
      <c r="D30" s="2">
        <v>3419011</v>
      </c>
      <c r="E30" s="2">
        <v>4773306</v>
      </c>
      <c r="F30" s="2">
        <v>8697825</v>
      </c>
      <c r="G30" s="2">
        <v>12220494</v>
      </c>
      <c r="H30" s="2">
        <v>14462971</v>
      </c>
      <c r="I30" s="2">
        <v>16656668</v>
      </c>
      <c r="J30" s="2">
        <v>19017438</v>
      </c>
      <c r="K30" s="2">
        <v>19939378</v>
      </c>
      <c r="L30" s="2">
        <v>20384099</v>
      </c>
      <c r="M30" s="2">
        <v>20688336</v>
      </c>
      <c r="N30" s="2" t="s">
        <v>9</v>
      </c>
      <c r="O30" s="2" t="s">
        <v>9</v>
      </c>
      <c r="P30" s="2" t="s">
        <v>9</v>
      </c>
      <c r="Q30" s="2" t="s">
        <v>9</v>
      </c>
      <c r="R30" s="2" t="s">
        <v>9</v>
      </c>
      <c r="S30" s="2" t="s">
        <v>9</v>
      </c>
      <c r="T30" s="2" t="s">
        <v>9</v>
      </c>
      <c r="U30" s="2" t="s">
        <v>9</v>
      </c>
      <c r="V30" s="2" t="s">
        <v>9</v>
      </c>
      <c r="W30" s="2" t="s">
        <v>9</v>
      </c>
      <c r="X30" s="2" t="s">
        <v>9</v>
      </c>
      <c r="Y30" s="2" t="s">
        <v>9</v>
      </c>
      <c r="Z30" s="2" t="s">
        <v>9</v>
      </c>
      <c r="AA30" s="2" t="s">
        <v>9</v>
      </c>
    </row>
    <row r="31" spans="3:27" x14ac:dyDescent="0.25">
      <c r="C31" s="3" t="s">
        <v>23</v>
      </c>
      <c r="D31" s="2">
        <v>5498188</v>
      </c>
      <c r="E31" s="2">
        <v>10669557</v>
      </c>
      <c r="F31" s="2">
        <v>14420577</v>
      </c>
      <c r="G31" s="2">
        <v>17838126</v>
      </c>
      <c r="H31" s="2">
        <v>20243242</v>
      </c>
      <c r="I31" s="2">
        <v>22179116</v>
      </c>
      <c r="J31" s="2">
        <v>24155749</v>
      </c>
      <c r="K31" s="2">
        <v>25145296</v>
      </c>
      <c r="L31" s="2">
        <v>25647723</v>
      </c>
      <c r="M31" s="2" t="s">
        <v>9</v>
      </c>
      <c r="N31" s="2" t="s">
        <v>9</v>
      </c>
      <c r="O31" s="2" t="s">
        <v>9</v>
      </c>
      <c r="P31" s="2" t="s">
        <v>9</v>
      </c>
      <c r="Q31" s="2" t="s">
        <v>9</v>
      </c>
      <c r="R31" s="2" t="s">
        <v>9</v>
      </c>
      <c r="S31" s="2" t="s">
        <v>9</v>
      </c>
      <c r="T31" s="2" t="s">
        <v>9</v>
      </c>
      <c r="U31" s="2" t="s">
        <v>9</v>
      </c>
      <c r="V31" s="2" t="s">
        <v>9</v>
      </c>
      <c r="W31" s="2" t="s">
        <v>9</v>
      </c>
      <c r="X31" s="2" t="s">
        <v>9</v>
      </c>
      <c r="Y31" s="2" t="s">
        <v>9</v>
      </c>
      <c r="Z31" s="2" t="s">
        <v>9</v>
      </c>
      <c r="AA31" s="2" t="s">
        <v>9</v>
      </c>
    </row>
    <row r="32" spans="3:27" x14ac:dyDescent="0.25">
      <c r="C32" s="3" t="s">
        <v>24</v>
      </c>
      <c r="D32" s="2">
        <v>6382667</v>
      </c>
      <c r="E32" s="2">
        <v>10460689</v>
      </c>
      <c r="F32" s="2">
        <v>15242265</v>
      </c>
      <c r="G32" s="2">
        <v>19075882</v>
      </c>
      <c r="H32" s="2">
        <v>21908553</v>
      </c>
      <c r="I32" s="2">
        <v>23938666</v>
      </c>
      <c r="J32" s="2">
        <v>25653115</v>
      </c>
      <c r="K32" s="2">
        <v>26811464</v>
      </c>
      <c r="L32" s="2" t="s">
        <v>9</v>
      </c>
      <c r="M32" s="2" t="s">
        <v>9</v>
      </c>
      <c r="N32" s="2" t="s">
        <v>9</v>
      </c>
      <c r="O32" s="2" t="s">
        <v>9</v>
      </c>
      <c r="P32" s="2" t="s">
        <v>9</v>
      </c>
      <c r="Q32" s="2" t="s">
        <v>9</v>
      </c>
      <c r="R32" s="2" t="s">
        <v>9</v>
      </c>
      <c r="S32" s="2" t="s">
        <v>9</v>
      </c>
      <c r="T32" s="2" t="s">
        <v>9</v>
      </c>
      <c r="U32" s="2" t="s">
        <v>9</v>
      </c>
      <c r="V32" s="2" t="s">
        <v>9</v>
      </c>
      <c r="W32" s="2" t="s">
        <v>9</v>
      </c>
      <c r="X32" s="2" t="s">
        <v>9</v>
      </c>
      <c r="Y32" s="2" t="s">
        <v>9</v>
      </c>
      <c r="Z32" s="2" t="s">
        <v>9</v>
      </c>
      <c r="AA32" s="2" t="s">
        <v>9</v>
      </c>
    </row>
    <row r="33" spans="1:27" x14ac:dyDescent="0.25">
      <c r="C33" s="3" t="s">
        <v>25</v>
      </c>
      <c r="D33" s="2">
        <v>3022770</v>
      </c>
      <c r="E33" s="2">
        <v>7899209</v>
      </c>
      <c r="F33" s="2">
        <v>11259161</v>
      </c>
      <c r="G33" s="2">
        <v>14497513</v>
      </c>
      <c r="H33" s="2">
        <v>17221120</v>
      </c>
      <c r="I33" s="2">
        <v>19234288</v>
      </c>
      <c r="J33" s="2">
        <v>21399003</v>
      </c>
      <c r="K33" s="2" t="s">
        <v>9</v>
      </c>
      <c r="L33" s="2" t="s">
        <v>9</v>
      </c>
      <c r="M33" s="2" t="s">
        <v>9</v>
      </c>
      <c r="N33" s="2" t="s">
        <v>9</v>
      </c>
      <c r="O33" s="2" t="s">
        <v>9</v>
      </c>
      <c r="P33" s="2" t="s">
        <v>9</v>
      </c>
      <c r="Q33" s="2" t="s">
        <v>9</v>
      </c>
      <c r="R33" s="2" t="s">
        <v>9</v>
      </c>
      <c r="S33" s="2" t="s">
        <v>9</v>
      </c>
      <c r="T33" s="2" t="s">
        <v>9</v>
      </c>
      <c r="U33" s="2" t="s">
        <v>9</v>
      </c>
      <c r="V33" s="2" t="s">
        <v>9</v>
      </c>
      <c r="W33" s="2" t="s">
        <v>9</v>
      </c>
      <c r="X33" s="2" t="s">
        <v>9</v>
      </c>
      <c r="Y33" s="2" t="s">
        <v>9</v>
      </c>
      <c r="Z33" s="2" t="s">
        <v>9</v>
      </c>
      <c r="AA33" s="2" t="s">
        <v>9</v>
      </c>
    </row>
    <row r="34" spans="1:27" x14ac:dyDescent="0.25">
      <c r="C34" s="3" t="s">
        <v>26</v>
      </c>
      <c r="D34" s="2">
        <v>6936281</v>
      </c>
      <c r="E34" s="2">
        <v>21936281</v>
      </c>
      <c r="F34" s="2">
        <v>25150070</v>
      </c>
      <c r="G34" s="2">
        <v>28898330</v>
      </c>
      <c r="H34" s="2">
        <v>31903741</v>
      </c>
      <c r="I34" s="2">
        <v>33589263</v>
      </c>
      <c r="J34" s="2" t="s">
        <v>9</v>
      </c>
      <c r="K34" s="2" t="s">
        <v>9</v>
      </c>
      <c r="L34" s="2" t="s">
        <v>9</v>
      </c>
      <c r="M34" s="2" t="s">
        <v>9</v>
      </c>
      <c r="N34" s="2" t="s">
        <v>9</v>
      </c>
      <c r="O34" s="2" t="s">
        <v>9</v>
      </c>
      <c r="P34" s="2" t="s">
        <v>9</v>
      </c>
      <c r="Q34" s="2" t="s">
        <v>9</v>
      </c>
      <c r="R34" s="2" t="s">
        <v>9</v>
      </c>
      <c r="S34" s="2" t="s">
        <v>9</v>
      </c>
      <c r="T34" s="2" t="s">
        <v>9</v>
      </c>
      <c r="U34" s="2" t="s">
        <v>9</v>
      </c>
      <c r="V34" s="2" t="s">
        <v>9</v>
      </c>
      <c r="W34" s="2" t="s">
        <v>9</v>
      </c>
      <c r="X34" s="2" t="s">
        <v>9</v>
      </c>
      <c r="Y34" s="2" t="s">
        <v>9</v>
      </c>
      <c r="Z34" s="2" t="s">
        <v>9</v>
      </c>
      <c r="AA34" s="2" t="s">
        <v>9</v>
      </c>
    </row>
    <row r="35" spans="1:27" x14ac:dyDescent="0.25">
      <c r="C35" s="3" t="s">
        <v>27</v>
      </c>
      <c r="D35" s="2">
        <v>6691248</v>
      </c>
      <c r="E35" s="2">
        <v>11756013</v>
      </c>
      <c r="F35" s="2">
        <v>15391294</v>
      </c>
      <c r="G35" s="2">
        <v>18736499</v>
      </c>
      <c r="H35" s="2">
        <v>21705785</v>
      </c>
      <c r="I35" s="2" t="s">
        <v>9</v>
      </c>
      <c r="J35" s="2" t="s">
        <v>9</v>
      </c>
      <c r="K35" s="2" t="s">
        <v>9</v>
      </c>
      <c r="L35" s="2" t="s">
        <v>9</v>
      </c>
      <c r="M35" s="2" t="s">
        <v>9</v>
      </c>
      <c r="N35" s="2" t="s">
        <v>9</v>
      </c>
      <c r="O35" s="2" t="s">
        <v>9</v>
      </c>
      <c r="P35" s="2" t="s">
        <v>9</v>
      </c>
      <c r="Q35" s="2" t="s">
        <v>9</v>
      </c>
      <c r="R35" s="2" t="s">
        <v>9</v>
      </c>
      <c r="S35" s="2" t="s">
        <v>9</v>
      </c>
      <c r="T35" s="2" t="s">
        <v>9</v>
      </c>
      <c r="U35" s="2" t="s">
        <v>9</v>
      </c>
      <c r="V35" s="2" t="s">
        <v>9</v>
      </c>
      <c r="W35" s="2" t="s">
        <v>9</v>
      </c>
      <c r="X35" s="2" t="s">
        <v>9</v>
      </c>
      <c r="Y35" s="2" t="s">
        <v>9</v>
      </c>
      <c r="Z35" s="2" t="s">
        <v>9</v>
      </c>
      <c r="AA35" s="2" t="s">
        <v>9</v>
      </c>
    </row>
    <row r="36" spans="1:27" x14ac:dyDescent="0.25">
      <c r="C36" s="3" t="s">
        <v>28</v>
      </c>
      <c r="D36" s="2">
        <v>4191817</v>
      </c>
      <c r="E36" s="2">
        <v>9775450</v>
      </c>
      <c r="F36" s="2">
        <v>14374440</v>
      </c>
      <c r="G36" s="2">
        <v>17306094</v>
      </c>
      <c r="H36" s="2" t="s">
        <v>9</v>
      </c>
      <c r="I36" s="2" t="s">
        <v>9</v>
      </c>
      <c r="J36" s="2" t="s">
        <v>9</v>
      </c>
      <c r="K36" s="2" t="s">
        <v>9</v>
      </c>
      <c r="L36" s="2" t="s">
        <v>9</v>
      </c>
      <c r="M36" s="2" t="s">
        <v>9</v>
      </c>
      <c r="N36" s="2" t="s">
        <v>9</v>
      </c>
      <c r="O36" s="2" t="s">
        <v>9</v>
      </c>
      <c r="P36" s="2" t="s">
        <v>9</v>
      </c>
      <c r="Q36" s="2" t="s">
        <v>9</v>
      </c>
      <c r="R36" s="2" t="s">
        <v>9</v>
      </c>
      <c r="S36" s="2" t="s">
        <v>9</v>
      </c>
      <c r="T36" s="2" t="s">
        <v>9</v>
      </c>
      <c r="U36" s="2" t="s">
        <v>9</v>
      </c>
      <c r="V36" s="2" t="s">
        <v>9</v>
      </c>
      <c r="W36" s="2" t="s">
        <v>9</v>
      </c>
      <c r="X36" s="2" t="s">
        <v>9</v>
      </c>
      <c r="Y36" s="2" t="s">
        <v>9</v>
      </c>
      <c r="Z36" s="2" t="s">
        <v>9</v>
      </c>
      <c r="AA36" s="2" t="s">
        <v>9</v>
      </c>
    </row>
    <row r="37" spans="1:27" x14ac:dyDescent="0.25">
      <c r="C37" s="3" t="s">
        <v>29</v>
      </c>
      <c r="D37" s="2">
        <v>5916671</v>
      </c>
      <c r="E37" s="2">
        <v>11716355</v>
      </c>
      <c r="F37" s="2">
        <v>15374462</v>
      </c>
      <c r="G37" s="2" t="s">
        <v>9</v>
      </c>
      <c r="H37" s="2" t="s">
        <v>9</v>
      </c>
      <c r="I37" s="2" t="s">
        <v>9</v>
      </c>
      <c r="J37" s="2" t="s">
        <v>9</v>
      </c>
      <c r="K37" s="2" t="s">
        <v>9</v>
      </c>
      <c r="L37" s="2" t="s">
        <v>9</v>
      </c>
      <c r="M37" s="2" t="s">
        <v>9</v>
      </c>
      <c r="N37" s="2" t="s">
        <v>9</v>
      </c>
      <c r="O37" s="2" t="s">
        <v>9</v>
      </c>
      <c r="P37" s="2" t="s">
        <v>9</v>
      </c>
      <c r="Q37" s="2" t="s">
        <v>9</v>
      </c>
      <c r="R37" s="2" t="s">
        <v>9</v>
      </c>
      <c r="S37" s="2" t="s">
        <v>9</v>
      </c>
      <c r="T37" s="2" t="s">
        <v>9</v>
      </c>
      <c r="U37" s="2" t="s">
        <v>9</v>
      </c>
      <c r="V37" s="2" t="s">
        <v>9</v>
      </c>
      <c r="W37" s="2" t="s">
        <v>9</v>
      </c>
      <c r="X37" s="2" t="s">
        <v>9</v>
      </c>
      <c r="Y37" s="2" t="s">
        <v>9</v>
      </c>
      <c r="Z37" s="2" t="s">
        <v>9</v>
      </c>
      <c r="AA37" s="2" t="s">
        <v>9</v>
      </c>
    </row>
    <row r="38" spans="1:27" x14ac:dyDescent="0.25">
      <c r="C38" s="3" t="s">
        <v>30</v>
      </c>
      <c r="D38" s="2">
        <v>4926500</v>
      </c>
      <c r="E38" s="2">
        <v>9321834</v>
      </c>
      <c r="F38" s="2" t="s">
        <v>9</v>
      </c>
      <c r="G38" s="2" t="s">
        <v>9</v>
      </c>
      <c r="H38" s="2" t="s">
        <v>9</v>
      </c>
      <c r="I38" s="2" t="s">
        <v>9</v>
      </c>
      <c r="J38" s="2" t="s">
        <v>9</v>
      </c>
      <c r="K38" s="2" t="s">
        <v>9</v>
      </c>
      <c r="L38" s="2" t="s">
        <v>9</v>
      </c>
      <c r="M38" s="2" t="s">
        <v>9</v>
      </c>
      <c r="N38" s="2" t="s">
        <v>9</v>
      </c>
      <c r="O38" s="2" t="s">
        <v>9</v>
      </c>
      <c r="P38" s="2" t="s">
        <v>9</v>
      </c>
      <c r="Q38" s="2" t="s">
        <v>9</v>
      </c>
      <c r="R38" s="2" t="s">
        <v>9</v>
      </c>
      <c r="S38" s="2" t="s">
        <v>9</v>
      </c>
      <c r="T38" s="2" t="s">
        <v>9</v>
      </c>
      <c r="U38" s="2" t="s">
        <v>9</v>
      </c>
      <c r="V38" s="2" t="s">
        <v>9</v>
      </c>
      <c r="W38" s="2" t="s">
        <v>9</v>
      </c>
      <c r="X38" s="2" t="s">
        <v>9</v>
      </c>
      <c r="Y38" s="2" t="s">
        <v>9</v>
      </c>
      <c r="Z38" s="2" t="s">
        <v>9</v>
      </c>
      <c r="AA38" s="2" t="s">
        <v>9</v>
      </c>
    </row>
    <row r="39" spans="1:27" x14ac:dyDescent="0.25">
      <c r="C39" s="3" t="s">
        <v>31</v>
      </c>
      <c r="D39" s="2">
        <v>5149958</v>
      </c>
      <c r="E39" s="2"/>
      <c r="F39" s="2" t="s">
        <v>9</v>
      </c>
      <c r="G39" s="2" t="s">
        <v>9</v>
      </c>
      <c r="H39" s="2" t="s">
        <v>9</v>
      </c>
      <c r="I39" s="2" t="s">
        <v>9</v>
      </c>
      <c r="J39" s="2" t="s">
        <v>9</v>
      </c>
      <c r="K39" s="2" t="s">
        <v>9</v>
      </c>
      <c r="L39" s="2" t="s">
        <v>9</v>
      </c>
      <c r="M39" s="2" t="s">
        <v>9</v>
      </c>
      <c r="N39" s="2" t="s">
        <v>9</v>
      </c>
      <c r="O39" s="2" t="s">
        <v>9</v>
      </c>
      <c r="P39" s="2" t="s">
        <v>9</v>
      </c>
      <c r="Q39" s="2" t="s">
        <v>9</v>
      </c>
      <c r="R39" s="2" t="s">
        <v>9</v>
      </c>
      <c r="S39" s="2" t="s">
        <v>9</v>
      </c>
      <c r="T39" s="2" t="s">
        <v>9</v>
      </c>
      <c r="U39" s="2" t="s">
        <v>9</v>
      </c>
      <c r="V39" s="2" t="s">
        <v>9</v>
      </c>
      <c r="W39" s="2" t="s">
        <v>9</v>
      </c>
      <c r="X39" s="2" t="s">
        <v>9</v>
      </c>
      <c r="Y39" s="2" t="s">
        <v>9</v>
      </c>
      <c r="Z39" s="2" t="s">
        <v>9</v>
      </c>
      <c r="AA39" s="2" t="s">
        <v>9</v>
      </c>
    </row>
    <row r="40" spans="1:27" x14ac:dyDescent="0.25">
      <c r="D40" s="2"/>
      <c r="E40" s="2"/>
      <c r="F40" s="2"/>
      <c r="G40" s="2"/>
      <c r="H40" s="2"/>
      <c r="I40" s="2"/>
      <c r="J40" s="2"/>
      <c r="K40" s="2"/>
      <c r="L40" s="2"/>
      <c r="M40" s="2"/>
      <c r="N40" s="2"/>
      <c r="O40" s="2"/>
      <c r="P40" s="2"/>
      <c r="Q40" s="2"/>
      <c r="R40" s="2"/>
      <c r="S40" s="2"/>
      <c r="T40" s="2"/>
      <c r="U40" s="2"/>
      <c r="V40" s="2"/>
      <c r="W40" s="2"/>
      <c r="X40" s="2"/>
      <c r="Y40" s="2"/>
      <c r="Z40" s="2"/>
      <c r="AA40" s="2"/>
    </row>
    <row r="41" spans="1:27" ht="26.25" x14ac:dyDescent="0.4">
      <c r="A41" s="6"/>
      <c r="B41" s="6"/>
      <c r="C41" s="49" t="s">
        <v>35</v>
      </c>
      <c r="D41" s="49"/>
      <c r="E41" s="49"/>
      <c r="F41" s="49"/>
      <c r="G41" s="49"/>
      <c r="H41" s="49"/>
      <c r="I41" s="49"/>
      <c r="J41" s="49"/>
      <c r="K41" s="49"/>
      <c r="L41" s="49"/>
      <c r="M41" s="49"/>
      <c r="N41" s="49"/>
      <c r="O41" s="49"/>
      <c r="P41" s="49"/>
      <c r="Q41" s="49"/>
      <c r="R41" s="49"/>
      <c r="S41" s="49"/>
      <c r="T41" s="49"/>
      <c r="U41" s="49"/>
      <c r="V41" s="49"/>
      <c r="W41" s="49"/>
      <c r="X41" s="49"/>
      <c r="Y41" s="49"/>
      <c r="Z41" s="49"/>
      <c r="AA41" s="49"/>
    </row>
    <row r="43" spans="1:27" ht="15.75" thickBot="1" x14ac:dyDescent="0.3">
      <c r="D43" s="5">
        <v>1</v>
      </c>
      <c r="E43" s="5">
        <f>+D43+1</f>
        <v>2</v>
      </c>
      <c r="F43" s="5">
        <f t="shared" ref="F43" si="1">+E43+1</f>
        <v>3</v>
      </c>
      <c r="G43" s="5">
        <f t="shared" ref="G43" si="2">+F43+1</f>
        <v>4</v>
      </c>
      <c r="H43" s="5">
        <f t="shared" ref="H43" si="3">+G43+1</f>
        <v>5</v>
      </c>
      <c r="I43" s="5">
        <f t="shared" ref="I43" si="4">+H43+1</f>
        <v>6</v>
      </c>
      <c r="J43" s="5">
        <f t="shared" ref="J43" si="5">+I43+1</f>
        <v>7</v>
      </c>
      <c r="K43" s="5">
        <f t="shared" ref="K43" si="6">+J43+1</f>
        <v>8</v>
      </c>
      <c r="L43" s="5">
        <f t="shared" ref="L43" si="7">+K43+1</f>
        <v>9</v>
      </c>
      <c r="M43" s="5">
        <f t="shared" ref="M43" si="8">+L43+1</f>
        <v>10</v>
      </c>
      <c r="N43" s="5">
        <f t="shared" ref="N43" si="9">+M43+1</f>
        <v>11</v>
      </c>
      <c r="O43" s="5">
        <f t="shared" ref="O43" si="10">+N43+1</f>
        <v>12</v>
      </c>
      <c r="P43" s="5">
        <f t="shared" ref="P43" si="11">+O43+1</f>
        <v>13</v>
      </c>
      <c r="Q43" s="5">
        <f t="shared" ref="Q43" si="12">+P43+1</f>
        <v>14</v>
      </c>
      <c r="R43" s="5">
        <f t="shared" ref="R43" si="13">+Q43+1</f>
        <v>15</v>
      </c>
      <c r="S43" s="5">
        <f t="shared" ref="S43" si="14">+R43+1</f>
        <v>16</v>
      </c>
      <c r="T43" s="5">
        <f t="shared" ref="T43" si="15">+S43+1</f>
        <v>17</v>
      </c>
      <c r="U43" s="5">
        <f t="shared" ref="U43" si="16">+T43+1</f>
        <v>18</v>
      </c>
      <c r="V43" s="5">
        <f t="shared" ref="V43" si="17">+U43+1</f>
        <v>19</v>
      </c>
      <c r="W43" s="5">
        <f t="shared" ref="W43" si="18">+V43+1</f>
        <v>20</v>
      </c>
      <c r="X43" s="5">
        <f t="shared" ref="X43" si="19">+W43+1</f>
        <v>21</v>
      </c>
      <c r="Y43" s="5">
        <f t="shared" ref="Y43" si="20">+X43+1</f>
        <v>22</v>
      </c>
      <c r="Z43" s="5">
        <f t="shared" ref="Z43" si="21">+Y43+1</f>
        <v>23</v>
      </c>
      <c r="AA43" s="5">
        <f t="shared" ref="AA43" si="22">+Z43+1</f>
        <v>24</v>
      </c>
    </row>
    <row r="44" spans="1:27" ht="15.75" thickBot="1" x14ac:dyDescent="0.3">
      <c r="C44" s="3" t="s">
        <v>7</v>
      </c>
      <c r="D44" s="7">
        <f>E16/D16</f>
        <v>1.3012915774801588</v>
      </c>
      <c r="E44" s="7">
        <f t="shared" ref="E44:Z55" si="23">F16/E16</f>
        <v>1.1246587173026841</v>
      </c>
      <c r="F44" s="7">
        <f t="shared" si="23"/>
        <v>1.190576689885863</v>
      </c>
      <c r="G44" s="7">
        <f t="shared" si="23"/>
        <v>1.0820522294435739</v>
      </c>
      <c r="H44" s="7">
        <f t="shared" si="23"/>
        <v>1.0512625611529816</v>
      </c>
      <c r="I44" s="7">
        <f t="shared" si="23"/>
        <v>1.0277184756874356</v>
      </c>
      <c r="J44" s="7">
        <f t="shared" si="23"/>
        <v>1.0363301118089652</v>
      </c>
      <c r="K44" s="7">
        <f t="shared" si="23"/>
        <v>1.0133705836531304</v>
      </c>
      <c r="L44" s="7">
        <f t="shared" si="23"/>
        <v>1.032640555775838</v>
      </c>
      <c r="M44" s="7">
        <f t="shared" si="23"/>
        <v>1.0158707834855716</v>
      </c>
      <c r="N44" s="7">
        <f t="shared" si="23"/>
        <v>1.012960894723592</v>
      </c>
      <c r="O44" s="7">
        <f t="shared" si="23"/>
        <v>1.0052417823156539</v>
      </c>
      <c r="P44" s="7">
        <f t="shared" si="23"/>
        <v>1.0022483715925834</v>
      </c>
      <c r="Q44" s="7">
        <f t="shared" si="23"/>
        <v>1.000732899770701</v>
      </c>
      <c r="R44" s="7">
        <f t="shared" si="23"/>
        <v>1.0008146884299423</v>
      </c>
      <c r="S44" s="11">
        <f t="shared" si="23"/>
        <v>1.0001408106099334</v>
      </c>
      <c r="T44" s="11">
        <f t="shared" si="23"/>
        <v>1.0000545369032479</v>
      </c>
      <c r="U44" s="11">
        <f t="shared" si="23"/>
        <v>1.0000297457795289</v>
      </c>
      <c r="V44" s="11">
        <f t="shared" si="23"/>
        <v>1.0000086246612614</v>
      </c>
      <c r="W44" s="11">
        <f t="shared" si="23"/>
        <v>1.0000008828317275</v>
      </c>
      <c r="X44" s="11">
        <f t="shared" si="23"/>
        <v>1.0000003395503647</v>
      </c>
      <c r="Y44" s="11">
        <f t="shared" si="23"/>
        <v>1.0000005432803991</v>
      </c>
      <c r="Z44" s="16">
        <f t="shared" si="23"/>
        <v>1.0000010865602078</v>
      </c>
      <c r="AA44" s="7"/>
    </row>
    <row r="45" spans="1:27" ht="15.75" thickBot="1" x14ac:dyDescent="0.3">
      <c r="C45" s="3" t="s">
        <v>8</v>
      </c>
      <c r="D45" s="7">
        <f t="shared" ref="D45:S65" si="24">E17/D17</f>
        <v>1.397843474603863</v>
      </c>
      <c r="E45" s="7">
        <f t="shared" si="24"/>
        <v>1.1976672026460404</v>
      </c>
      <c r="F45" s="7">
        <f t="shared" si="24"/>
        <v>1.0506283449602367</v>
      </c>
      <c r="G45" s="7">
        <f t="shared" si="24"/>
        <v>1.096459630106658</v>
      </c>
      <c r="H45" s="7">
        <f t="shared" si="24"/>
        <v>1.0504620680676733</v>
      </c>
      <c r="I45" s="7">
        <f t="shared" si="24"/>
        <v>1.0545883531491473</v>
      </c>
      <c r="J45" s="7">
        <f t="shared" si="24"/>
        <v>1.0294387420970976</v>
      </c>
      <c r="K45" s="7">
        <f t="shared" si="24"/>
        <v>1.0194501031645753</v>
      </c>
      <c r="L45" s="7">
        <f t="shared" si="24"/>
        <v>1.0279419903750018</v>
      </c>
      <c r="M45" s="7">
        <f t="shared" si="24"/>
        <v>1.0144792847964694</v>
      </c>
      <c r="N45" s="7">
        <f t="shared" si="24"/>
        <v>1.0102202979972967</v>
      </c>
      <c r="O45" s="7">
        <f t="shared" si="24"/>
        <v>1.0018480647702701</v>
      </c>
      <c r="P45" s="7">
        <f t="shared" si="24"/>
        <v>1.0009273021144072</v>
      </c>
      <c r="Q45" s="7">
        <f t="shared" si="24"/>
        <v>1.0011147811795797</v>
      </c>
      <c r="R45" s="14">
        <f t="shared" si="24"/>
        <v>1.0002437490166975</v>
      </c>
      <c r="S45" s="12">
        <f t="shared" si="24"/>
        <v>1.0001061383615621</v>
      </c>
      <c r="T45" s="12">
        <f t="shared" si="23"/>
        <v>1.0000553191724522</v>
      </c>
      <c r="U45" s="12">
        <f t="shared" si="23"/>
        <v>1.0000303928487149</v>
      </c>
      <c r="V45" s="12">
        <f t="shared" si="23"/>
        <v>1.0000125740246364</v>
      </c>
      <c r="W45" s="12">
        <f t="shared" si="23"/>
        <v>1.0000034394881545</v>
      </c>
      <c r="X45" s="12">
        <f t="shared" si="23"/>
        <v>1.0000005638485778</v>
      </c>
      <c r="Y45" s="13">
        <f t="shared" si="23"/>
        <v>1.0000006202330858</v>
      </c>
      <c r="Z45" s="7"/>
      <c r="AA45" s="7"/>
    </row>
    <row r="46" spans="1:27" ht="15.75" thickBot="1" x14ac:dyDescent="0.3">
      <c r="C46" s="3" t="s">
        <v>10</v>
      </c>
      <c r="D46" s="10">
        <f t="shared" si="24"/>
        <v>1.143045368392186</v>
      </c>
      <c r="E46" s="7">
        <f t="shared" si="23"/>
        <v>1.1683938167607899</v>
      </c>
      <c r="F46" s="7">
        <f t="shared" si="23"/>
        <v>1.1550797887684707</v>
      </c>
      <c r="G46" s="7">
        <f t="shared" si="23"/>
        <v>1.1147778465170493</v>
      </c>
      <c r="H46" s="7">
        <f t="shared" si="23"/>
        <v>1.1392271013619784</v>
      </c>
      <c r="I46" s="7">
        <f t="shared" si="23"/>
        <v>1.0662613235004927</v>
      </c>
      <c r="J46" s="7">
        <f t="shared" si="23"/>
        <v>1.0364234986866303</v>
      </c>
      <c r="K46" s="7">
        <f t="shared" si="23"/>
        <v>1.028200680405553</v>
      </c>
      <c r="L46" s="7">
        <f t="shared" si="23"/>
        <v>1.0386012746656099</v>
      </c>
      <c r="M46" s="7">
        <f t="shared" si="23"/>
        <v>1.0185848290972479</v>
      </c>
      <c r="N46" s="7">
        <f t="shared" si="23"/>
        <v>1.0135350696573762</v>
      </c>
      <c r="O46" s="7">
        <f t="shared" si="23"/>
        <v>1.0032694613315258</v>
      </c>
      <c r="P46" s="7">
        <f t="shared" si="23"/>
        <v>1.0019731713222637</v>
      </c>
      <c r="Q46" s="14">
        <f t="shared" si="23"/>
        <v>1.000791035148511</v>
      </c>
      <c r="R46" s="15">
        <f t="shared" si="23"/>
        <v>1.000390530712457</v>
      </c>
      <c r="S46" s="12">
        <f t="shared" si="23"/>
        <v>1.0001550737008389</v>
      </c>
      <c r="T46" s="12">
        <f t="shared" si="23"/>
        <v>1.0000707066838439</v>
      </c>
      <c r="U46" s="12">
        <f t="shared" si="23"/>
        <v>1.0000494070106611</v>
      </c>
      <c r="V46" s="12">
        <f t="shared" si="23"/>
        <v>1.0000096789191122</v>
      </c>
      <c r="W46" s="12">
        <f t="shared" si="23"/>
        <v>1.0000099313165298</v>
      </c>
      <c r="X46" s="13">
        <f t="shared" si="23"/>
        <v>1.000003029863088</v>
      </c>
      <c r="Y46" s="7"/>
      <c r="Z46" s="7"/>
      <c r="AA46" s="7"/>
    </row>
    <row r="47" spans="1:27" ht="15.75" thickBot="1" x14ac:dyDescent="0.3">
      <c r="C47" s="3" t="s">
        <v>11</v>
      </c>
      <c r="D47" s="7">
        <f t="shared" si="24"/>
        <v>2.1684497209408224</v>
      </c>
      <c r="E47" s="7">
        <f t="shared" si="23"/>
        <v>1.138885510441046</v>
      </c>
      <c r="F47" s="7">
        <f t="shared" si="23"/>
        <v>1.0515939618862589</v>
      </c>
      <c r="G47" s="7">
        <f t="shared" si="23"/>
        <v>1.0732501710809856</v>
      </c>
      <c r="H47" s="7">
        <f t="shared" si="23"/>
        <v>1.0534814246286308</v>
      </c>
      <c r="I47" s="7">
        <f t="shared" si="23"/>
        <v>1.0152064266534555</v>
      </c>
      <c r="J47" s="7">
        <f t="shared" si="23"/>
        <v>1.0169601637036425</v>
      </c>
      <c r="K47" s="7">
        <f t="shared" si="23"/>
        <v>1.0324830583908882</v>
      </c>
      <c r="L47" s="7">
        <f t="shared" si="23"/>
        <v>1.0055281623986299</v>
      </c>
      <c r="M47" s="7">
        <f t="shared" si="23"/>
        <v>1.0157558962827034</v>
      </c>
      <c r="N47" s="7">
        <f t="shared" si="23"/>
        <v>1.0103006033934834</v>
      </c>
      <c r="O47" s="7">
        <f t="shared" si="23"/>
        <v>1.0039562865275089</v>
      </c>
      <c r="P47" s="14">
        <f t="shared" si="23"/>
        <v>1.0009541331441711</v>
      </c>
      <c r="Q47" s="15">
        <f t="shared" si="23"/>
        <v>1.0004479919689557</v>
      </c>
      <c r="R47" s="15">
        <f t="shared" si="23"/>
        <v>1.0002438152255848</v>
      </c>
      <c r="S47" s="12">
        <f t="shared" si="23"/>
        <v>1.0001016034588139</v>
      </c>
      <c r="T47" s="12">
        <f t="shared" si="23"/>
        <v>1.0000601234040576</v>
      </c>
      <c r="U47" s="12">
        <f t="shared" si="23"/>
        <v>1.0000212217718318</v>
      </c>
      <c r="V47" s="12">
        <f t="shared" si="23"/>
        <v>1.0000046245010485</v>
      </c>
      <c r="W47" s="13">
        <f t="shared" si="23"/>
        <v>1.0000000513831073</v>
      </c>
      <c r="X47" s="7"/>
      <c r="Y47" s="7"/>
      <c r="Z47" s="7"/>
      <c r="AA47" s="7"/>
    </row>
    <row r="48" spans="1:27" ht="15.75" thickBot="1" x14ac:dyDescent="0.3">
      <c r="C48" s="3" t="s">
        <v>12</v>
      </c>
      <c r="D48" s="7">
        <f t="shared" si="24"/>
        <v>1.1834975754654893</v>
      </c>
      <c r="E48" s="7">
        <f t="shared" si="23"/>
        <v>1.150740819200929</v>
      </c>
      <c r="F48" s="7">
        <f t="shared" si="23"/>
        <v>1.0555869724225908</v>
      </c>
      <c r="G48" s="7">
        <f t="shared" si="23"/>
        <v>1.0953923038640156</v>
      </c>
      <c r="H48" s="7">
        <f t="shared" si="23"/>
        <v>1.0341864912071259</v>
      </c>
      <c r="I48" s="7">
        <f t="shared" si="23"/>
        <v>1.0655642970193888</v>
      </c>
      <c r="J48" s="7">
        <f t="shared" si="23"/>
        <v>1.0322631755313523</v>
      </c>
      <c r="K48" s="7">
        <f t="shared" si="23"/>
        <v>1.013910766793447</v>
      </c>
      <c r="L48" s="7">
        <f t="shared" si="23"/>
        <v>1.0436139717553812</v>
      </c>
      <c r="M48" s="7">
        <f t="shared" si="23"/>
        <v>1.0074464630229387</v>
      </c>
      <c r="N48" s="7">
        <f t="shared" si="23"/>
        <v>1.0080183017710052</v>
      </c>
      <c r="O48" s="14">
        <f t="shared" si="23"/>
        <v>1.0026821333777534</v>
      </c>
      <c r="P48" s="15">
        <f t="shared" si="23"/>
        <v>1.0013275947617746</v>
      </c>
      <c r="Q48" s="15">
        <f t="shared" si="23"/>
        <v>1.0005761072015265</v>
      </c>
      <c r="R48" s="15">
        <f t="shared" si="23"/>
        <v>1.0003394187639973</v>
      </c>
      <c r="S48" s="12">
        <f t="shared" si="23"/>
        <v>1.0001902233494717</v>
      </c>
      <c r="T48" s="12">
        <f t="shared" si="23"/>
        <v>1.0000741450654977</v>
      </c>
      <c r="U48" s="12">
        <f t="shared" si="23"/>
        <v>1.000037323686839</v>
      </c>
      <c r="V48" s="13">
        <f t="shared" si="23"/>
        <v>1.0000151489582678</v>
      </c>
      <c r="W48" s="7"/>
      <c r="X48" s="7"/>
      <c r="Y48" s="7"/>
      <c r="Z48" s="7"/>
      <c r="AA48" s="7"/>
    </row>
    <row r="49" spans="3:27" ht="15.75" thickBot="1" x14ac:dyDescent="0.3">
      <c r="C49" s="3" t="s">
        <v>13</v>
      </c>
      <c r="D49" s="7">
        <f t="shared" si="24"/>
        <v>1.4518264969574284</v>
      </c>
      <c r="E49" s="7">
        <f t="shared" si="23"/>
        <v>1.1842969248831126</v>
      </c>
      <c r="F49" s="7">
        <f t="shared" si="23"/>
        <v>1.0660674657558071</v>
      </c>
      <c r="G49" s="7">
        <f t="shared" si="23"/>
        <v>1.1445446166772939</v>
      </c>
      <c r="H49" s="7">
        <f t="shared" si="23"/>
        <v>1.1641766123813611</v>
      </c>
      <c r="I49" s="7">
        <f t="shared" si="23"/>
        <v>1.0590550924021385</v>
      </c>
      <c r="J49" s="7">
        <f t="shared" si="23"/>
        <v>1.3303074237254098</v>
      </c>
      <c r="K49" s="7">
        <f t="shared" si="23"/>
        <v>1.0500694064646503</v>
      </c>
      <c r="L49" s="7">
        <f t="shared" si="23"/>
        <v>1.0118986469183739</v>
      </c>
      <c r="M49" s="7">
        <f t="shared" si="23"/>
        <v>1.0071869704351923</v>
      </c>
      <c r="N49" s="14">
        <f t="shared" si="23"/>
        <v>1.0046378984614917</v>
      </c>
      <c r="O49" s="15">
        <f t="shared" si="23"/>
        <v>1.0020475555732093</v>
      </c>
      <c r="P49" s="15">
        <f t="shared" si="23"/>
        <v>1.0012117803114662</v>
      </c>
      <c r="Q49" s="15">
        <f t="shared" si="23"/>
        <v>1.000622957825855</v>
      </c>
      <c r="R49" s="15">
        <f t="shared" si="23"/>
        <v>1.0003159241732908</v>
      </c>
      <c r="S49" s="12">
        <f t="shared" si="23"/>
        <v>1.0001289360765289</v>
      </c>
      <c r="T49" s="12">
        <f t="shared" si="23"/>
        <v>1.0000836213581978</v>
      </c>
      <c r="U49" s="13">
        <f t="shared" si="23"/>
        <v>1.0000363274148516</v>
      </c>
      <c r="V49" s="7"/>
      <c r="W49" s="7"/>
      <c r="X49" s="7"/>
      <c r="Y49" s="7"/>
      <c r="Z49" s="7"/>
      <c r="AA49" s="7"/>
    </row>
    <row r="50" spans="3:27" ht="15.75" thickBot="1" x14ac:dyDescent="0.3">
      <c r="C50" s="3" t="s">
        <v>14</v>
      </c>
      <c r="D50" s="7">
        <f t="shared" si="24"/>
        <v>1.3704256495167788</v>
      </c>
      <c r="E50" s="7">
        <f t="shared" si="23"/>
        <v>1.1477889113957596</v>
      </c>
      <c r="F50" s="7">
        <f t="shared" si="23"/>
        <v>1.1973103987058131</v>
      </c>
      <c r="G50" s="7">
        <f t="shared" si="23"/>
        <v>1.0409776928589223</v>
      </c>
      <c r="H50" s="7">
        <f t="shared" si="23"/>
        <v>1.0257579191372272</v>
      </c>
      <c r="I50" s="7">
        <f t="shared" si="23"/>
        <v>1.08949255571551</v>
      </c>
      <c r="J50" s="7">
        <f t="shared" si="23"/>
        <v>1.0559230107191739</v>
      </c>
      <c r="K50" s="7">
        <f t="shared" si="23"/>
        <v>1.0525811215520411</v>
      </c>
      <c r="L50" s="7">
        <f t="shared" si="23"/>
        <v>1.0485717501384544</v>
      </c>
      <c r="M50" s="14">
        <f t="shared" si="23"/>
        <v>1.0123312322465765</v>
      </c>
      <c r="N50" s="15">
        <f t="shared" si="23"/>
        <v>1.0069843669603553</v>
      </c>
      <c r="O50" s="15">
        <f t="shared" si="23"/>
        <v>1.0029116297278267</v>
      </c>
      <c r="P50" s="15">
        <f t="shared" si="23"/>
        <v>1.0013404044578647</v>
      </c>
      <c r="Q50" s="15">
        <f t="shared" si="23"/>
        <v>1.0006061665856998</v>
      </c>
      <c r="R50" s="15">
        <f t="shared" si="23"/>
        <v>1.0004325160088623</v>
      </c>
      <c r="S50" s="12">
        <f t="shared" si="23"/>
        <v>1.0002204555022243</v>
      </c>
      <c r="T50" s="13">
        <f t="shared" si="23"/>
        <v>1.0001012081970706</v>
      </c>
      <c r="U50" s="7"/>
      <c r="V50" s="7"/>
      <c r="W50" s="7"/>
      <c r="X50" s="7"/>
      <c r="Y50" s="7"/>
      <c r="Z50" s="7"/>
      <c r="AA50" s="7"/>
    </row>
    <row r="51" spans="3:27" ht="15.75" thickBot="1" x14ac:dyDescent="0.3">
      <c r="C51" s="3" t="s">
        <v>15</v>
      </c>
      <c r="D51" s="7">
        <f t="shared" si="24"/>
        <v>1.3880941299121192</v>
      </c>
      <c r="E51" s="7">
        <f t="shared" si="23"/>
        <v>1.0794259877141008</v>
      </c>
      <c r="F51" s="7">
        <f t="shared" si="23"/>
        <v>1.1466301978803581</v>
      </c>
      <c r="G51" s="7">
        <f t="shared" si="23"/>
        <v>1.0412538771179445</v>
      </c>
      <c r="H51" s="7">
        <f t="shared" si="23"/>
        <v>1.0554969233721696</v>
      </c>
      <c r="I51" s="7">
        <f t="shared" si="23"/>
        <v>1.0300371505401527</v>
      </c>
      <c r="J51" s="7">
        <f t="shared" si="23"/>
        <v>1.0467347688705695</v>
      </c>
      <c r="K51" s="7">
        <f t="shared" si="23"/>
        <v>1.0124615928948197</v>
      </c>
      <c r="L51" s="14">
        <f t="shared" si="23"/>
        <v>1.0202100316495222</v>
      </c>
      <c r="M51" s="15">
        <f t="shared" si="23"/>
        <v>1.0090809565257854</v>
      </c>
      <c r="N51" s="15">
        <f t="shared" si="23"/>
        <v>1.0040333656536411</v>
      </c>
      <c r="O51" s="15">
        <f t="shared" si="23"/>
        <v>1.0025513595513595</v>
      </c>
      <c r="P51" s="15">
        <f t="shared" si="23"/>
        <v>1.0011413901080328</v>
      </c>
      <c r="Q51" s="15">
        <f t="shared" si="23"/>
        <v>1.0006511347360092</v>
      </c>
      <c r="R51" s="15">
        <f t="shared" si="23"/>
        <v>1.0003368411559628</v>
      </c>
      <c r="S51" s="13">
        <f t="shared" si="23"/>
        <v>1.0001285674818392</v>
      </c>
      <c r="T51" s="7"/>
      <c r="U51" s="7"/>
      <c r="V51" s="7"/>
      <c r="W51" s="7"/>
      <c r="X51" s="7"/>
      <c r="Y51" s="7"/>
      <c r="Z51" s="7"/>
      <c r="AA51" s="7"/>
    </row>
    <row r="52" spans="3:27" ht="15.75" thickBot="1" x14ac:dyDescent="0.3">
      <c r="C52" s="3" t="s">
        <v>16</v>
      </c>
      <c r="D52" s="7">
        <f t="shared" si="24"/>
        <v>1.4427678949597629</v>
      </c>
      <c r="E52" s="7">
        <f t="shared" si="23"/>
        <v>1.2156635737421764</v>
      </c>
      <c r="F52" s="7">
        <f t="shared" si="23"/>
        <v>1.1175775315365621</v>
      </c>
      <c r="G52" s="7">
        <f t="shared" si="23"/>
        <v>1.0336047241914059</v>
      </c>
      <c r="H52" s="7">
        <f t="shared" si="23"/>
        <v>1.0763592386606122</v>
      </c>
      <c r="I52" s="7">
        <f t="shared" si="23"/>
        <v>1.0160885816870338</v>
      </c>
      <c r="J52" s="7">
        <f t="shared" si="23"/>
        <v>1.0536442000224586</v>
      </c>
      <c r="K52" s="14">
        <f t="shared" si="23"/>
        <v>1.0367824678773878</v>
      </c>
      <c r="L52" s="15">
        <f t="shared" si="23"/>
        <v>1.0184661066083869</v>
      </c>
      <c r="M52" s="15">
        <f t="shared" si="23"/>
        <v>1.0071501153387958</v>
      </c>
      <c r="N52" s="15">
        <f t="shared" si="23"/>
        <v>1.0034189498780488</v>
      </c>
      <c r="O52" s="15">
        <f t="shared" si="23"/>
        <v>1.001987443046001</v>
      </c>
      <c r="P52" s="15">
        <f t="shared" si="23"/>
        <v>1.0010178315735545</v>
      </c>
      <c r="Q52" s="15">
        <f t="shared" si="23"/>
        <v>1.0005312716346058</v>
      </c>
      <c r="R52" s="13">
        <f t="shared" si="23"/>
        <v>1.000252903638372</v>
      </c>
      <c r="S52" s="7"/>
      <c r="T52" s="7"/>
      <c r="U52" s="7"/>
      <c r="V52" s="7"/>
      <c r="W52" s="7"/>
      <c r="X52" s="7"/>
      <c r="Y52" s="7"/>
      <c r="Z52" s="7"/>
      <c r="AA52" s="7"/>
    </row>
    <row r="53" spans="3:27" ht="15.75" thickBot="1" x14ac:dyDescent="0.3">
      <c r="C53" s="3" t="s">
        <v>17</v>
      </c>
      <c r="D53" s="7">
        <f t="shared" si="24"/>
        <v>1.4786330818471181</v>
      </c>
      <c r="E53" s="7">
        <f t="shared" si="23"/>
        <v>1.2194576025714545</v>
      </c>
      <c r="F53" s="7">
        <f t="shared" si="23"/>
        <v>1.1645781278289771</v>
      </c>
      <c r="G53" s="7">
        <f t="shared" si="23"/>
        <v>1.0667966617897691</v>
      </c>
      <c r="H53" s="7">
        <f t="shared" si="23"/>
        <v>1.0571187667010582</v>
      </c>
      <c r="I53" s="7">
        <f t="shared" si="23"/>
        <v>1.0443695042105772</v>
      </c>
      <c r="J53" s="14">
        <f t="shared" si="23"/>
        <v>1.0869804818561384</v>
      </c>
      <c r="K53" s="15">
        <f t="shared" si="23"/>
        <v>1.0412332717110526</v>
      </c>
      <c r="L53" s="15">
        <f t="shared" si="23"/>
        <v>1.0161642102745603</v>
      </c>
      <c r="M53" s="15">
        <f t="shared" si="23"/>
        <v>1.0088887215824522</v>
      </c>
      <c r="N53" s="15">
        <f t="shared" si="23"/>
        <v>1.0037809084186362</v>
      </c>
      <c r="O53" s="15">
        <f t="shared" si="23"/>
        <v>1.0022508157658327</v>
      </c>
      <c r="P53" s="15">
        <f t="shared" si="23"/>
        <v>1.0012609312605625</v>
      </c>
      <c r="Q53" s="13">
        <f t="shared" si="23"/>
        <v>1.000582271016011</v>
      </c>
      <c r="R53" s="7"/>
      <c r="S53" s="7"/>
      <c r="T53" s="7"/>
      <c r="U53" s="7"/>
      <c r="V53" s="7"/>
      <c r="W53" s="7"/>
      <c r="X53" s="7"/>
      <c r="Y53" s="7"/>
      <c r="Z53" s="7"/>
      <c r="AA53" s="7"/>
    </row>
    <row r="54" spans="3:27" ht="15.75" thickBot="1" x14ac:dyDescent="0.3">
      <c r="C54" s="3" t="s">
        <v>18</v>
      </c>
      <c r="D54" s="7">
        <f t="shared" si="24"/>
        <v>1.249783340393875</v>
      </c>
      <c r="E54" s="7">
        <f t="shared" si="23"/>
        <v>1.2125815343270272</v>
      </c>
      <c r="F54" s="7">
        <f t="shared" si="23"/>
        <v>1.0370206942514737</v>
      </c>
      <c r="G54" s="7">
        <f t="shared" si="23"/>
        <v>1.1263533752480643</v>
      </c>
      <c r="H54" s="7">
        <f t="shared" si="23"/>
        <v>1.0348913969801727</v>
      </c>
      <c r="I54" s="14">
        <f t="shared" si="23"/>
        <v>1.1513759224217863</v>
      </c>
      <c r="J54" s="15">
        <f t="shared" si="23"/>
        <v>1.0809369236308592</v>
      </c>
      <c r="K54" s="15">
        <f t="shared" si="23"/>
        <v>1.0342361407930407</v>
      </c>
      <c r="L54" s="15">
        <f t="shared" si="23"/>
        <v>1.0175853786971953</v>
      </c>
      <c r="M54" s="15">
        <f t="shared" si="23"/>
        <v>1.0101395674994758</v>
      </c>
      <c r="N54" s="15">
        <f t="shared" si="23"/>
        <v>1.0041042517375645</v>
      </c>
      <c r="O54" s="15">
        <f t="shared" si="23"/>
        <v>1.001997467923661</v>
      </c>
      <c r="P54" s="13">
        <f t="shared" si="23"/>
        <v>1.001008891539426</v>
      </c>
      <c r="Q54" s="7"/>
      <c r="R54" s="7"/>
      <c r="S54" s="7"/>
      <c r="T54" s="7"/>
      <c r="U54" s="7"/>
      <c r="V54" s="7"/>
      <c r="W54" s="7"/>
      <c r="X54" s="7"/>
      <c r="Y54" s="7"/>
      <c r="Z54" s="7"/>
      <c r="AA54" s="7"/>
    </row>
    <row r="55" spans="3:27" ht="15.75" thickBot="1" x14ac:dyDescent="0.3">
      <c r="C55" s="3" t="s">
        <v>19</v>
      </c>
      <c r="D55" s="7">
        <f t="shared" si="24"/>
        <v>1.451561479435888</v>
      </c>
      <c r="E55" s="7">
        <f t="shared" si="23"/>
        <v>1.224328187841724</v>
      </c>
      <c r="F55" s="7">
        <f t="shared" si="23"/>
        <v>1.0499789967119229</v>
      </c>
      <c r="G55" s="7">
        <f t="shared" si="23"/>
        <v>1.1021532917659973</v>
      </c>
      <c r="H55" s="14">
        <f t="shared" si="23"/>
        <v>1.124222466127041</v>
      </c>
      <c r="I55" s="15">
        <f t="shared" si="23"/>
        <v>1.110895398816844</v>
      </c>
      <c r="J55" s="15">
        <f t="shared" si="23"/>
        <v>1.0677574548873756</v>
      </c>
      <c r="K55" s="15">
        <f t="shared" si="23"/>
        <v>1.0261442201406932</v>
      </c>
      <c r="L55" s="15">
        <f t="shared" si="23"/>
        <v>1.0124790074253751</v>
      </c>
      <c r="M55" s="15">
        <f t="shared" si="23"/>
        <v>1.0064312955524908</v>
      </c>
      <c r="N55" s="15">
        <f t="shared" si="23"/>
        <v>1.0027678914931175</v>
      </c>
      <c r="O55" s="13">
        <f t="shared" si="23"/>
        <v>1.0019491711248354</v>
      </c>
      <c r="P55" s="7"/>
      <c r="Q55" s="7"/>
      <c r="R55" s="7"/>
      <c r="S55" s="7"/>
      <c r="T55" s="7"/>
      <c r="U55" s="7"/>
      <c r="V55" s="7"/>
      <c r="W55" s="7"/>
      <c r="X55" s="7"/>
      <c r="Y55" s="7"/>
      <c r="Z55" s="7"/>
      <c r="AA55" s="7"/>
    </row>
    <row r="56" spans="3:27" ht="15.75" thickBot="1" x14ac:dyDescent="0.3">
      <c r="C56" s="3" t="s">
        <v>20</v>
      </c>
      <c r="D56" s="7">
        <f t="shared" si="24"/>
        <v>1.4892898459571287</v>
      </c>
      <c r="E56" s="7">
        <f t="shared" ref="E56:N65" si="25">F28/E28</f>
        <v>1.2140041793509107</v>
      </c>
      <c r="F56" s="7">
        <f t="shared" si="25"/>
        <v>1.148151198019943</v>
      </c>
      <c r="G56" s="14">
        <f t="shared" si="25"/>
        <v>1.2293751028964821</v>
      </c>
      <c r="H56" s="15">
        <f t="shared" si="25"/>
        <v>1.1581184787858423</v>
      </c>
      <c r="I56" s="15">
        <f t="shared" si="25"/>
        <v>1.1335099791450478</v>
      </c>
      <c r="J56" s="15">
        <f t="shared" si="25"/>
        <v>1.0616542453682762</v>
      </c>
      <c r="K56" s="15">
        <f t="shared" si="25"/>
        <v>1.0330363263693227</v>
      </c>
      <c r="L56" s="15">
        <f t="shared" si="25"/>
        <v>1.0159657591259501</v>
      </c>
      <c r="M56" s="15">
        <f t="shared" si="25"/>
        <v>1.0072968831924349</v>
      </c>
      <c r="N56" s="13">
        <f t="shared" si="25"/>
        <v>1.0027861082065734</v>
      </c>
      <c r="O56" s="7"/>
      <c r="P56" s="7"/>
      <c r="Q56" s="7"/>
      <c r="R56" s="7"/>
      <c r="S56" s="7"/>
      <c r="T56" s="7"/>
      <c r="U56" s="7"/>
      <c r="V56" s="7"/>
      <c r="W56" s="7"/>
      <c r="X56" s="7"/>
      <c r="Y56" s="7"/>
      <c r="Z56" s="7"/>
      <c r="AA56" s="7"/>
    </row>
    <row r="57" spans="3:27" ht="15.75" thickBot="1" x14ac:dyDescent="0.3">
      <c r="C57" s="3" t="s">
        <v>21</v>
      </c>
      <c r="D57" s="7">
        <f t="shared" si="24"/>
        <v>1.4032420365322222</v>
      </c>
      <c r="E57" s="7">
        <f t="shared" si="25"/>
        <v>1.0961716861611503</v>
      </c>
      <c r="F57" s="14">
        <f t="shared" si="25"/>
        <v>1.454243412089361</v>
      </c>
      <c r="G57" s="15">
        <f t="shared" si="25"/>
        <v>1.2576993809591477</v>
      </c>
      <c r="H57" s="15">
        <f t="shared" si="25"/>
        <v>1.1164983718536077</v>
      </c>
      <c r="I57" s="15">
        <f t="shared" si="25"/>
        <v>1.1261163930543581</v>
      </c>
      <c r="J57" s="15">
        <f t="shared" si="25"/>
        <v>1.0477415008726498</v>
      </c>
      <c r="K57" s="15">
        <f t="shared" si="25"/>
        <v>1.0253029209553763</v>
      </c>
      <c r="L57" s="15">
        <f t="shared" si="25"/>
        <v>1.0114831545950385</v>
      </c>
      <c r="M57" s="13">
        <f t="shared" si="25"/>
        <v>1.0061605637803352</v>
      </c>
      <c r="N57" s="7"/>
      <c r="O57" s="7"/>
      <c r="P57" s="7"/>
      <c r="Q57" s="7"/>
      <c r="R57" s="7"/>
      <c r="S57" s="7"/>
      <c r="T57" s="7"/>
      <c r="U57" s="7"/>
      <c r="V57" s="7"/>
      <c r="W57" s="7"/>
      <c r="X57" s="7"/>
      <c r="Y57" s="7"/>
      <c r="Z57" s="7"/>
      <c r="AA57" s="7"/>
    </row>
    <row r="58" spans="3:27" ht="15.75" thickBot="1" x14ac:dyDescent="0.3">
      <c r="C58" s="3" t="s">
        <v>22</v>
      </c>
      <c r="D58" s="7">
        <f t="shared" si="24"/>
        <v>1.3961072368588461</v>
      </c>
      <c r="E58" s="14">
        <f t="shared" si="25"/>
        <v>1.8221804761731177</v>
      </c>
      <c r="F58" s="15">
        <f t="shared" si="25"/>
        <v>1.4050057341921687</v>
      </c>
      <c r="G58" s="15">
        <f t="shared" si="25"/>
        <v>1.1835013379982839</v>
      </c>
      <c r="H58" s="15">
        <f t="shared" si="25"/>
        <v>1.1516767889529751</v>
      </c>
      <c r="I58" s="15">
        <f t="shared" si="25"/>
        <v>1.1417312273979405</v>
      </c>
      <c r="J58" s="15">
        <f t="shared" si="25"/>
        <v>1.0484786646865891</v>
      </c>
      <c r="K58" s="15">
        <f t="shared" si="25"/>
        <v>1.0223036546074806</v>
      </c>
      <c r="L58" s="13">
        <f t="shared" si="25"/>
        <v>1.0149252120488621</v>
      </c>
      <c r="M58" s="7"/>
      <c r="N58" s="7"/>
      <c r="O58" s="7"/>
      <c r="P58" s="7"/>
      <c r="Q58" s="7"/>
      <c r="R58" s="7"/>
      <c r="S58" s="7"/>
      <c r="T58" s="7"/>
      <c r="U58" s="7"/>
      <c r="V58" s="7"/>
      <c r="W58" s="7"/>
      <c r="X58" s="7"/>
      <c r="Y58" s="7"/>
      <c r="Z58" s="7"/>
      <c r="AA58" s="7"/>
    </row>
    <row r="59" spans="3:27" ht="15.75" thickBot="1" x14ac:dyDescent="0.3">
      <c r="C59" s="3" t="s">
        <v>23</v>
      </c>
      <c r="D59" s="14">
        <f t="shared" si="24"/>
        <v>1.9405587804563977</v>
      </c>
      <c r="E59" s="15">
        <f t="shared" si="25"/>
        <v>1.3515628624506153</v>
      </c>
      <c r="F59" s="15">
        <f t="shared" si="25"/>
        <v>1.2369911412005219</v>
      </c>
      <c r="G59" s="15">
        <f t="shared" si="25"/>
        <v>1.1348300824873645</v>
      </c>
      <c r="H59" s="15">
        <f t="shared" si="25"/>
        <v>1.0956306307062871</v>
      </c>
      <c r="I59" s="15">
        <f t="shared" si="25"/>
        <v>1.0891213608333172</v>
      </c>
      <c r="J59" s="15">
        <f t="shared" si="25"/>
        <v>1.0409652791143011</v>
      </c>
      <c r="K59" s="13">
        <f t="shared" si="25"/>
        <v>1.019980953892927</v>
      </c>
      <c r="L59" s="7"/>
      <c r="M59" s="7"/>
      <c r="N59" s="7"/>
      <c r="O59" s="7"/>
      <c r="P59" s="7"/>
      <c r="Q59" s="7"/>
      <c r="R59" s="7"/>
      <c r="S59" s="7"/>
      <c r="T59" s="7"/>
      <c r="U59" s="7"/>
      <c r="V59" s="7"/>
      <c r="W59" s="7"/>
      <c r="X59" s="7"/>
      <c r="Y59" s="7"/>
      <c r="Z59" s="7"/>
      <c r="AA59" s="7"/>
    </row>
    <row r="60" spans="3:27" ht="15.75" thickBot="1" x14ac:dyDescent="0.3">
      <c r="C60" s="3" t="s">
        <v>24</v>
      </c>
      <c r="D60" s="15">
        <f t="shared" si="24"/>
        <v>1.638921316120675</v>
      </c>
      <c r="E60" s="15">
        <f t="shared" si="25"/>
        <v>1.4570995275741396</v>
      </c>
      <c r="F60" s="15">
        <f t="shared" si="25"/>
        <v>1.2515122916443193</v>
      </c>
      <c r="G60" s="15">
        <f t="shared" si="25"/>
        <v>1.1484948900396847</v>
      </c>
      <c r="H60" s="15">
        <f t="shared" si="25"/>
        <v>1.0926630343866159</v>
      </c>
      <c r="I60" s="15">
        <f t="shared" si="25"/>
        <v>1.0716184017939847</v>
      </c>
      <c r="J60" s="13">
        <f t="shared" si="25"/>
        <v>1.0451543214147678</v>
      </c>
      <c r="K60" s="7"/>
      <c r="L60" s="7"/>
      <c r="M60" s="7"/>
      <c r="N60" s="7"/>
      <c r="O60" s="7"/>
      <c r="P60" s="7"/>
      <c r="Q60" s="7"/>
      <c r="R60" s="7"/>
      <c r="S60" s="7"/>
      <c r="T60" s="7"/>
      <c r="U60" s="7"/>
      <c r="V60" s="7"/>
      <c r="W60" s="7"/>
      <c r="X60" s="7"/>
      <c r="Y60" s="7"/>
      <c r="Z60" s="7"/>
      <c r="AA60" s="7"/>
    </row>
    <row r="61" spans="3:27" ht="15.75" thickBot="1" x14ac:dyDescent="0.3">
      <c r="C61" s="3" t="s">
        <v>25</v>
      </c>
      <c r="D61" s="15">
        <f t="shared" si="24"/>
        <v>2.6132352114120492</v>
      </c>
      <c r="E61" s="15">
        <f t="shared" si="25"/>
        <v>1.4253529688858719</v>
      </c>
      <c r="F61" s="15">
        <f t="shared" si="25"/>
        <v>1.2876192995197422</v>
      </c>
      <c r="G61" s="15">
        <f t="shared" si="25"/>
        <v>1.1878671879790692</v>
      </c>
      <c r="H61" s="15">
        <f t="shared" si="25"/>
        <v>1.1169011074773301</v>
      </c>
      <c r="I61" s="13">
        <f t="shared" si="25"/>
        <v>1.1125445870416415</v>
      </c>
      <c r="J61" s="7"/>
      <c r="K61" s="7"/>
      <c r="L61" s="7"/>
      <c r="M61" s="7"/>
      <c r="N61" s="7"/>
      <c r="O61" s="7"/>
      <c r="P61" s="7"/>
      <c r="Q61" s="7"/>
      <c r="R61" s="7"/>
      <c r="S61" s="7"/>
      <c r="T61" s="7"/>
      <c r="U61" s="7"/>
      <c r="V61" s="7"/>
      <c r="W61" s="7"/>
      <c r="X61" s="7"/>
      <c r="Y61" s="7"/>
      <c r="Z61" s="7"/>
      <c r="AA61" s="7"/>
    </row>
    <row r="62" spans="3:27" ht="15.75" thickBot="1" x14ac:dyDescent="0.3">
      <c r="C62" s="3" t="s">
        <v>26</v>
      </c>
      <c r="D62" s="15">
        <f t="shared" si="24"/>
        <v>3.1625421461443097</v>
      </c>
      <c r="E62" s="15">
        <f t="shared" si="25"/>
        <v>1.1465056451455924</v>
      </c>
      <c r="F62" s="15">
        <f t="shared" si="25"/>
        <v>1.1490357680913015</v>
      </c>
      <c r="G62" s="15">
        <f t="shared" si="25"/>
        <v>1.1039994698655597</v>
      </c>
      <c r="H62" s="13">
        <f t="shared" si="25"/>
        <v>1.0528314845585036</v>
      </c>
      <c r="I62" s="7"/>
      <c r="J62" s="7"/>
      <c r="K62" s="7"/>
      <c r="L62" s="7"/>
      <c r="M62" s="7"/>
      <c r="N62" s="7"/>
      <c r="O62" s="7"/>
      <c r="P62" s="7"/>
      <c r="Q62" s="7"/>
      <c r="R62" s="7"/>
      <c r="S62" s="7"/>
      <c r="T62" s="7"/>
      <c r="U62" s="7"/>
      <c r="V62" s="7"/>
      <c r="W62" s="7"/>
      <c r="X62" s="7"/>
      <c r="Y62" s="7"/>
      <c r="Z62" s="7"/>
      <c r="AA62" s="7"/>
    </row>
    <row r="63" spans="3:27" ht="15.75" thickBot="1" x14ac:dyDescent="0.3">
      <c r="C63" s="3" t="s">
        <v>27</v>
      </c>
      <c r="D63" s="15">
        <f t="shared" si="24"/>
        <v>1.7569238204890927</v>
      </c>
      <c r="E63" s="15">
        <f t="shared" si="25"/>
        <v>1.3092273715587079</v>
      </c>
      <c r="F63" s="15">
        <f t="shared" si="25"/>
        <v>1.2173439738075305</v>
      </c>
      <c r="G63" s="13">
        <f t="shared" si="25"/>
        <v>1.158476031194515</v>
      </c>
      <c r="H63" s="7"/>
      <c r="I63" s="7"/>
      <c r="J63" s="7"/>
      <c r="K63" s="7"/>
      <c r="L63" s="7"/>
      <c r="M63" s="7"/>
      <c r="N63" s="7"/>
      <c r="O63" s="7"/>
      <c r="P63" s="7"/>
      <c r="Q63" s="7"/>
      <c r="R63" s="7"/>
      <c r="S63" s="7"/>
      <c r="T63" s="7"/>
      <c r="U63" s="7"/>
      <c r="V63" s="7"/>
      <c r="W63" s="7"/>
      <c r="X63" s="7"/>
      <c r="Y63" s="7"/>
      <c r="Z63" s="7"/>
      <c r="AA63" s="7"/>
    </row>
    <row r="64" spans="3:27" ht="15.75" thickBot="1" x14ac:dyDescent="0.3">
      <c r="C64" s="3" t="s">
        <v>28</v>
      </c>
      <c r="D64" s="15">
        <f t="shared" si="24"/>
        <v>2.3320316702756823</v>
      </c>
      <c r="E64" s="15">
        <f t="shared" si="25"/>
        <v>1.4704632523310948</v>
      </c>
      <c r="F64" s="13">
        <f t="shared" si="25"/>
        <v>1.2039490929733609</v>
      </c>
      <c r="G64" s="7"/>
      <c r="H64" s="7"/>
      <c r="I64" s="7"/>
      <c r="J64" s="7"/>
      <c r="K64" s="7"/>
      <c r="L64" s="7"/>
      <c r="M64" s="7"/>
      <c r="N64" s="7"/>
      <c r="O64" s="7"/>
      <c r="P64" s="7"/>
      <c r="Q64" s="7"/>
      <c r="R64" s="7"/>
      <c r="S64" s="7"/>
      <c r="T64" s="7"/>
      <c r="U64" s="7"/>
      <c r="V64" s="7"/>
      <c r="W64" s="7"/>
      <c r="X64" s="7"/>
      <c r="Y64" s="7"/>
      <c r="Z64" s="7"/>
      <c r="AA64" s="7"/>
    </row>
    <row r="65" spans="3:30" ht="15.75" thickBot="1" x14ac:dyDescent="0.3">
      <c r="C65" s="3" t="s">
        <v>29</v>
      </c>
      <c r="D65" s="15">
        <f t="shared" si="24"/>
        <v>1.9802275637769955</v>
      </c>
      <c r="E65" s="13">
        <f t="shared" si="25"/>
        <v>1.3122222739068592</v>
      </c>
      <c r="F65" s="7"/>
      <c r="G65" s="7"/>
      <c r="H65" s="7"/>
      <c r="I65" s="7"/>
      <c r="J65" s="7"/>
      <c r="K65" s="7"/>
      <c r="L65" s="7"/>
      <c r="M65" s="7"/>
      <c r="N65" s="7"/>
      <c r="O65" s="7"/>
      <c r="P65" s="7"/>
      <c r="Q65" s="7"/>
      <c r="R65" s="7"/>
      <c r="S65" s="7"/>
      <c r="T65" s="7"/>
      <c r="U65" s="7"/>
      <c r="V65" s="7"/>
      <c r="W65" s="7"/>
      <c r="X65" s="7"/>
      <c r="Y65" s="7"/>
      <c r="Z65" s="7"/>
      <c r="AA65" s="7"/>
    </row>
    <row r="66" spans="3:30" ht="15.75" thickBot="1" x14ac:dyDescent="0.3">
      <c r="C66" s="3" t="s">
        <v>30</v>
      </c>
      <c r="D66" s="13">
        <f>E38/D38</f>
        <v>1.8921818735410534</v>
      </c>
      <c r="E66" s="7"/>
      <c r="F66" s="7"/>
      <c r="G66" s="7"/>
      <c r="H66" s="7"/>
      <c r="I66" s="7"/>
      <c r="J66" s="7"/>
      <c r="K66" s="7"/>
      <c r="L66" s="7"/>
      <c r="M66" s="7"/>
      <c r="N66" s="7"/>
      <c r="O66" s="7"/>
      <c r="P66" s="7"/>
      <c r="Q66" s="7"/>
      <c r="R66" s="7"/>
      <c r="S66" s="7"/>
      <c r="T66" s="7"/>
      <c r="U66" s="7"/>
      <c r="V66" s="7"/>
      <c r="W66" s="7"/>
      <c r="X66" s="7"/>
      <c r="Y66" s="7"/>
      <c r="Z66" s="7"/>
      <c r="AA66" s="7"/>
    </row>
    <row r="67" spans="3:30" x14ac:dyDescent="0.25">
      <c r="C67" s="3" t="s">
        <v>31</v>
      </c>
      <c r="D67" s="7"/>
      <c r="E67" s="7"/>
      <c r="F67" s="7"/>
      <c r="G67" s="7"/>
      <c r="H67" s="7"/>
      <c r="I67" s="7"/>
      <c r="J67" s="7"/>
      <c r="K67" s="7"/>
      <c r="L67" s="7"/>
      <c r="M67" s="7"/>
      <c r="N67" s="7"/>
      <c r="O67" s="7"/>
      <c r="P67" s="7"/>
      <c r="Q67" s="7"/>
      <c r="R67" s="7"/>
      <c r="S67" s="7"/>
      <c r="T67" s="7"/>
      <c r="U67" s="7"/>
      <c r="V67" s="7"/>
      <c r="W67" s="7"/>
      <c r="X67" s="7"/>
      <c r="Y67" s="7"/>
      <c r="Z67" s="7"/>
      <c r="AA67" s="7"/>
    </row>
    <row r="68" spans="3:30" x14ac:dyDescent="0.25">
      <c r="C68" s="3" t="s">
        <v>36</v>
      </c>
      <c r="D68" s="8">
        <f>MEDIAN(D44:D66)</f>
        <v>1.4518264969574284</v>
      </c>
      <c r="E68" s="8">
        <f t="shared" ref="E68:Z68" si="26">MEDIAN(E44:E66)</f>
        <v>1.2132928568389689</v>
      </c>
      <c r="F68" s="8">
        <f t="shared" si="26"/>
        <v>1.1550797887684707</v>
      </c>
      <c r="G68" s="8">
        <f t="shared" si="26"/>
        <v>1.1093886581913046</v>
      </c>
      <c r="H68" s="8">
        <f t="shared" si="26"/>
        <v>1.0763592386606122</v>
      </c>
      <c r="I68" s="8">
        <f t="shared" si="26"/>
        <v>1.0689398626472388</v>
      </c>
      <c r="J68" s="8">
        <f t="shared" si="26"/>
        <v>1.0477415008726498</v>
      </c>
      <c r="K68" s="8">
        <f t="shared" si="26"/>
        <v>1.027172450273123</v>
      </c>
      <c r="L68" s="8">
        <f t="shared" si="26"/>
        <v>1.0175853786971953</v>
      </c>
      <c r="M68" s="8">
        <f t="shared" si="26"/>
        <v>1.008984839054119</v>
      </c>
      <c r="N68" s="8">
        <f t="shared" si="26"/>
        <v>1.0046378984614917</v>
      </c>
      <c r="O68" s="8">
        <f t="shared" si="26"/>
        <v>1.0024010876585963</v>
      </c>
      <c r="P68" s="8">
        <f t="shared" si="26"/>
        <v>1.0012117803114662</v>
      </c>
      <c r="Q68" s="8">
        <f t="shared" si="26"/>
        <v>1.0006145622057774</v>
      </c>
      <c r="R68" s="8">
        <f t="shared" si="26"/>
        <v>1.0003368411559628</v>
      </c>
      <c r="S68" s="8">
        <f t="shared" si="26"/>
        <v>1.0001348733432311</v>
      </c>
      <c r="T68" s="8">
        <f t="shared" si="26"/>
        <v>1.0000707066838439</v>
      </c>
      <c r="U68" s="8">
        <f t="shared" si="26"/>
        <v>1.0000333601317832</v>
      </c>
      <c r="V68" s="8">
        <f t="shared" si="26"/>
        <v>1.0000096789191122</v>
      </c>
      <c r="W68" s="8">
        <f t="shared" si="26"/>
        <v>1.000002161159941</v>
      </c>
      <c r="X68" s="8">
        <f t="shared" si="26"/>
        <v>1.0000005638485778</v>
      </c>
      <c r="Y68" s="8">
        <f t="shared" si="26"/>
        <v>1.0000005817567423</v>
      </c>
      <c r="Z68" s="8">
        <f t="shared" si="26"/>
        <v>1.0000010865602078</v>
      </c>
      <c r="AA68" s="8"/>
    </row>
    <row r="69" spans="3:30" x14ac:dyDescent="0.25">
      <c r="C69" s="3" t="s">
        <v>118</v>
      </c>
      <c r="D69" s="9">
        <f>AVERAGE(D44:D66)</f>
        <v>1.6796730996291283</v>
      </c>
      <c r="E69" s="9">
        <f t="shared" ref="E69:Z69" si="27">AVERAGE(E44:E66)</f>
        <v>1.2576672287438593</v>
      </c>
      <c r="F69" s="9">
        <f t="shared" si="27"/>
        <v>1.1731657658158374</v>
      </c>
      <c r="G69" s="9">
        <f t="shared" si="27"/>
        <v>1.1210929952040893</v>
      </c>
      <c r="H69" s="9">
        <f t="shared" si="27"/>
        <v>1.086892782447326</v>
      </c>
      <c r="I69" s="9">
        <f t="shared" si="27"/>
        <v>1.0780719461705697</v>
      </c>
      <c r="J69" s="9">
        <f t="shared" si="27"/>
        <v>1.0657467039409561</v>
      </c>
      <c r="K69" s="9">
        <f t="shared" si="27"/>
        <v>1.0288467043541492</v>
      </c>
      <c r="L69" s="9">
        <f t="shared" si="27"/>
        <v>1.0224050141634786</v>
      </c>
      <c r="M69" s="9">
        <f t="shared" si="27"/>
        <v>1.0104859687741763</v>
      </c>
      <c r="N69" s="9">
        <f t="shared" si="27"/>
        <v>1.0067345314117064</v>
      </c>
      <c r="O69" s="9">
        <f t="shared" si="27"/>
        <v>1.0027244309196199</v>
      </c>
      <c r="P69" s="9">
        <f t="shared" si="27"/>
        <v>1.0013101638351005</v>
      </c>
      <c r="Q69" s="9">
        <f t="shared" si="27"/>
        <v>1.0006656617067455</v>
      </c>
      <c r="R69" s="9">
        <f t="shared" si="27"/>
        <v>1.000374487458352</v>
      </c>
      <c r="S69" s="9">
        <f t="shared" si="27"/>
        <v>1.0001464760676515</v>
      </c>
      <c r="T69" s="9">
        <f t="shared" si="27"/>
        <v>1.0000713801120527</v>
      </c>
      <c r="U69" s="9">
        <f t="shared" si="27"/>
        <v>1.0000340697520711</v>
      </c>
      <c r="V69" s="9">
        <f t="shared" si="27"/>
        <v>1.0000101302128652</v>
      </c>
      <c r="W69" s="9">
        <f t="shared" si="27"/>
        <v>1.0000035762548798</v>
      </c>
      <c r="X69" s="9">
        <f t="shared" si="27"/>
        <v>1.0000013110873434</v>
      </c>
      <c r="Y69" s="9">
        <f t="shared" si="27"/>
        <v>1.0000005817567423</v>
      </c>
      <c r="Z69" s="9">
        <f t="shared" si="27"/>
        <v>1.0000010865602078</v>
      </c>
      <c r="AA69" s="9">
        <v>1</v>
      </c>
    </row>
    <row r="70" spans="3:30" x14ac:dyDescent="0.25">
      <c r="C70" s="59" t="s">
        <v>119</v>
      </c>
      <c r="D70" s="9">
        <f>AVERAGE(D44:D63)</f>
        <v>1.6214020091938111</v>
      </c>
      <c r="E70" s="9">
        <f>AVERAGE(E44:E63)</f>
        <v>1.2442996753063476</v>
      </c>
      <c r="F70" s="9">
        <f t="shared" ref="E70:AA70" si="28">AVERAGE(F44:F63)</f>
        <v>1.1716265994579613</v>
      </c>
      <c r="G70" s="9">
        <f>AVERAGE(G44:G63)</f>
        <v>1.1210929952040893</v>
      </c>
      <c r="H70" s="9">
        <f>AVERAGE(H44:H63)</f>
        <v>1.086892782447326</v>
      </c>
      <c r="I70" s="9">
        <f t="shared" si="28"/>
        <v>1.0780719461705697</v>
      </c>
      <c r="J70" s="9">
        <f t="shared" si="28"/>
        <v>1.0657467039409561</v>
      </c>
      <c r="K70" s="9">
        <f t="shared" si="28"/>
        <v>1.0288467043541492</v>
      </c>
      <c r="L70" s="9">
        <f t="shared" si="28"/>
        <v>1.0224050141634786</v>
      </c>
      <c r="M70" s="9">
        <f t="shared" si="28"/>
        <v>1.0104859687741763</v>
      </c>
      <c r="N70" s="9">
        <f>AVERAGE(N44:N63)</f>
        <v>1.0067345314117064</v>
      </c>
      <c r="O70" s="9">
        <f t="shared" si="28"/>
        <v>1.0027244309196199</v>
      </c>
      <c r="P70" s="9">
        <f t="shared" si="28"/>
        <v>1.0013101638351005</v>
      </c>
      <c r="Q70" s="9">
        <f t="shared" si="28"/>
        <v>1.0006656617067455</v>
      </c>
      <c r="R70" s="9">
        <f t="shared" si="28"/>
        <v>1.000374487458352</v>
      </c>
      <c r="S70" s="9">
        <f t="shared" si="28"/>
        <v>1.0001464760676515</v>
      </c>
      <c r="T70" s="9">
        <f t="shared" si="28"/>
        <v>1.0000713801120527</v>
      </c>
      <c r="U70" s="9">
        <f t="shared" si="28"/>
        <v>1.0000340697520711</v>
      </c>
      <c r="V70" s="9">
        <f>AVERAGE(V44:V63)</f>
        <v>1.0000101302128652</v>
      </c>
      <c r="W70" s="9">
        <v>1</v>
      </c>
      <c r="X70" s="9"/>
      <c r="Y70" s="9"/>
      <c r="Z70" s="9"/>
      <c r="AA70" s="9"/>
    </row>
    <row r="73" spans="3:30" ht="26.25" x14ac:dyDescent="0.4">
      <c r="D73" s="49" t="s">
        <v>110</v>
      </c>
      <c r="E73" s="49"/>
      <c r="F73" s="49"/>
      <c r="G73" s="49"/>
      <c r="H73" s="49"/>
      <c r="I73" s="49"/>
      <c r="J73" s="49"/>
      <c r="K73" s="49"/>
      <c r="L73" s="49"/>
      <c r="M73" s="49" t="s">
        <v>116</v>
      </c>
      <c r="N73" s="49"/>
      <c r="O73" s="49"/>
      <c r="P73" s="49"/>
      <c r="Q73" s="49"/>
      <c r="R73" s="49"/>
      <c r="S73" s="49"/>
      <c r="T73" s="49"/>
      <c r="U73" s="49"/>
      <c r="V73" s="49" t="s">
        <v>117</v>
      </c>
      <c r="W73" s="49"/>
      <c r="X73" s="49"/>
      <c r="Y73" s="49"/>
      <c r="Z73" s="49"/>
      <c r="AA73" s="49"/>
      <c r="AB73" s="49"/>
      <c r="AC73" s="49"/>
      <c r="AD73" s="49"/>
    </row>
    <row r="74" spans="3:30" x14ac:dyDescent="0.25">
      <c r="D74" s="50" t="s">
        <v>111</v>
      </c>
      <c r="E74" s="50"/>
      <c r="F74" s="50"/>
      <c r="G74" s="57" t="s">
        <v>112</v>
      </c>
      <c r="H74" s="57"/>
      <c r="I74" s="57"/>
      <c r="J74" s="58" t="s">
        <v>32</v>
      </c>
      <c r="K74" s="58"/>
      <c r="L74" s="58"/>
      <c r="M74" s="50" t="s">
        <v>111</v>
      </c>
      <c r="N74" s="50"/>
      <c r="O74" s="50"/>
      <c r="P74" s="57" t="s">
        <v>112</v>
      </c>
      <c r="Q74" s="57"/>
      <c r="R74" s="57"/>
      <c r="S74" s="58" t="s">
        <v>32</v>
      </c>
      <c r="T74" s="58"/>
      <c r="U74" s="58"/>
      <c r="V74" s="50" t="s">
        <v>111</v>
      </c>
      <c r="W74" s="50"/>
      <c r="X74" s="50"/>
      <c r="Y74" s="57" t="s">
        <v>112</v>
      </c>
      <c r="Z74" s="57"/>
      <c r="AA74" s="57"/>
      <c r="AB74" s="58" t="s">
        <v>32</v>
      </c>
      <c r="AC74" s="58"/>
      <c r="AD74" s="58"/>
    </row>
    <row r="75" spans="3:30" x14ac:dyDescent="0.25">
      <c r="D75" t="s">
        <v>113</v>
      </c>
      <c r="E75" t="s">
        <v>114</v>
      </c>
      <c r="F75" t="s">
        <v>115</v>
      </c>
      <c r="G75" t="s">
        <v>113</v>
      </c>
      <c r="H75" t="s">
        <v>114</v>
      </c>
      <c r="I75" t="s">
        <v>115</v>
      </c>
      <c r="J75" t="s">
        <v>113</v>
      </c>
      <c r="K75" t="s">
        <v>114</v>
      </c>
      <c r="L75" t="s">
        <v>115</v>
      </c>
      <c r="M75" t="s">
        <v>113</v>
      </c>
      <c r="N75" t="s">
        <v>114</v>
      </c>
      <c r="O75" t="s">
        <v>115</v>
      </c>
      <c r="P75" t="s">
        <v>113</v>
      </c>
      <c r="Q75" t="s">
        <v>114</v>
      </c>
      <c r="R75" t="s">
        <v>115</v>
      </c>
      <c r="S75" t="s">
        <v>113</v>
      </c>
      <c r="T75" t="s">
        <v>114</v>
      </c>
      <c r="U75" t="s">
        <v>115</v>
      </c>
      <c r="V75" t="s">
        <v>113</v>
      </c>
      <c r="W75" t="s">
        <v>114</v>
      </c>
      <c r="X75" t="s">
        <v>115</v>
      </c>
      <c r="Y75" t="s">
        <v>113</v>
      </c>
      <c r="Z75" t="s">
        <v>114</v>
      </c>
      <c r="AA75" t="s">
        <v>115</v>
      </c>
      <c r="AB75" t="s">
        <v>113</v>
      </c>
      <c r="AC75" t="s">
        <v>114</v>
      </c>
      <c r="AD75" t="s">
        <v>115</v>
      </c>
    </row>
    <row r="76" spans="3:30" x14ac:dyDescent="0.25">
      <c r="C76" s="3" t="s">
        <v>7</v>
      </c>
      <c r="D76" cm="1">
        <f t="array" ref="D76:D99">TRANSPOSE(ultimos8_corte2024_promedio_pro!C30:Z30)</f>
        <v>2.1469743178085405</v>
      </c>
      <c r="E76" cm="1">
        <f t="array" ref="E76:E99">TRANSPOSE(todo_corte2024_promedo_prom!C30:Z30)</f>
        <v>1.6720744742831164</v>
      </c>
      <c r="F76" cm="1">
        <f t="array" ref="F76:F99">TRANSPOSE(todo_corte2024_promedio_simple!C30:Z30)</f>
        <v>1.6796730996291283</v>
      </c>
      <c r="G76" s="44">
        <f>ultimos8_corte2024_promedio_pro!AA4</f>
        <v>14725385</v>
      </c>
      <c r="H76" s="44">
        <f>todo_corte2024_promedo_prom!AA4</f>
        <v>14725385</v>
      </c>
      <c r="I76" s="44">
        <f>todo_corte2024_promedio_simple!AA4</f>
        <v>14725385</v>
      </c>
      <c r="J76" s="44">
        <f>ultimos8_corte2024_promedio_pro!AC4</f>
        <v>0</v>
      </c>
      <c r="K76" s="44">
        <f>todo_corte2024_promedo_prom!AC4</f>
        <v>0</v>
      </c>
      <c r="L76" s="44">
        <f>todo_corte2024_promedio_simple!AC4</f>
        <v>0</v>
      </c>
      <c r="M76" cm="1">
        <f t="array" ref="M76:M95">TRANSPOSE(ultimos8_corte2023_promedio!C26:V26)</f>
        <v>1.9028128974240397</v>
      </c>
      <c r="N76" cm="1">
        <f t="array" ref="N76:N95">TRANSPOSE(todo_corte2023_promedo_prom!C26:V26)</f>
        <v>1.6125001861169364</v>
      </c>
      <c r="O76" cm="1">
        <f t="array" ref="O76:O95">TRANSPOSE(todo_corte2023_promedo_simple!C26:V26)</f>
        <v>1.6214020091938111</v>
      </c>
      <c r="P76" s="44">
        <f>ultimos8_corte2023_promedio!W4</f>
        <v>14725343</v>
      </c>
      <c r="Q76" s="44">
        <f>todo_corte2023_promedo_prom!W4</f>
        <v>14725343</v>
      </c>
      <c r="R76" s="44">
        <f>todo_corte2023_promedo_simple!W4</f>
        <v>14725343</v>
      </c>
      <c r="S76" s="44">
        <f>ultimos8_corte2023_promedio!Y4</f>
        <v>0</v>
      </c>
      <c r="T76" s="44">
        <f>todo_corte2023_promedo_prom!Y4</f>
        <v>0</v>
      </c>
      <c r="U76" s="44">
        <f>todo_corte2023_promedo_simple!Y4</f>
        <v>0</v>
      </c>
    </row>
    <row r="77" spans="3:30" x14ac:dyDescent="0.25">
      <c r="C77" s="3" t="s">
        <v>8</v>
      </c>
      <c r="D77">
        <v>1.3475033729698969</v>
      </c>
      <c r="E77">
        <v>1.2476228404395813</v>
      </c>
      <c r="F77">
        <v>1.2576672287438593</v>
      </c>
      <c r="G77" s="44">
        <f>ultimos8_corte2024_promedio_pro!AA5</f>
        <v>17735298.270448435</v>
      </c>
      <c r="H77" s="44">
        <f>todo_corte2024_promedo_prom!AA5</f>
        <v>17735298.270448435</v>
      </c>
      <c r="I77" s="44">
        <f>todo_corte2024_promedio_simple!AA5</f>
        <v>17735298.270448435</v>
      </c>
      <c r="J77" s="44">
        <f>ultimos8_corte2024_promedio_pro!AC5</f>
        <v>19.270448435097933</v>
      </c>
      <c r="K77" s="44">
        <f>todo_corte2024_promedo_prom!AC5</f>
        <v>19.270448435097933</v>
      </c>
      <c r="L77" s="44">
        <f>todo_corte2024_promedio_simple!AC5</f>
        <v>19.270448435097933</v>
      </c>
      <c r="M77">
        <v>1.332358507240772</v>
      </c>
      <c r="N77">
        <v>1.2378185807472899</v>
      </c>
      <c r="O77">
        <v>1.2442996753063476</v>
      </c>
      <c r="P77" s="44">
        <f>ultimos8_corte2023_promedio!W5</f>
        <v>17735126.958143231</v>
      </c>
      <c r="Q77" s="44">
        <f>todo_corte2023_promedo_prom!W5</f>
        <v>17735126.958143231</v>
      </c>
      <c r="R77" s="44">
        <f>todo_corte2023_promedo_simple!W5</f>
        <v>17735153.659061778</v>
      </c>
      <c r="S77" s="44">
        <f>ultimos8_corte2023_promedio!Y5</f>
        <v>152.95814323052764</v>
      </c>
      <c r="T77" s="44">
        <f>todo_corte2023_promedo_prom!Y5</f>
        <v>152.95814323052764</v>
      </c>
      <c r="U77" s="44">
        <f>todo_corte2023_promedo_simple!Y5</f>
        <v>179.65906177833676</v>
      </c>
    </row>
    <row r="78" spans="3:30" x14ac:dyDescent="0.25">
      <c r="C78" s="3" t="s">
        <v>10</v>
      </c>
      <c r="D78">
        <v>1.245842143220341</v>
      </c>
      <c r="E78">
        <v>1.1711936541946633</v>
      </c>
      <c r="F78">
        <v>1.1731657658158374</v>
      </c>
      <c r="G78" s="44">
        <f>ultimos8_corte2024_promedio_pro!AA6</f>
        <v>11881780.864941547</v>
      </c>
      <c r="H78" s="44">
        <f>todo_corte2024_promedo_prom!AA6</f>
        <v>11881780.864941547</v>
      </c>
      <c r="I78" s="44">
        <f>todo_corte2024_promedio_simple!AA6</f>
        <v>11881780.822550785</v>
      </c>
      <c r="J78" s="44">
        <f>ultimos8_corte2024_promedio_pro!AC6</f>
        <v>19.864941546693444</v>
      </c>
      <c r="K78" s="44">
        <f>todo_corte2024_promedo_prom!AC6</f>
        <v>19.864941546693444</v>
      </c>
      <c r="L78" s="44">
        <f>todo_corte2024_promedio_simple!AC6</f>
        <v>19.822550784796476</v>
      </c>
      <c r="M78">
        <v>1.2123962460377515</v>
      </c>
      <c r="N78">
        <v>1.1598603471739188</v>
      </c>
      <c r="O78">
        <v>1.1716265994579613</v>
      </c>
      <c r="P78" s="44">
        <f>ultimos8_corte2023_promedio!W6</f>
        <v>11881365.078939335</v>
      </c>
      <c r="Q78" s="44">
        <f>todo_corte2023_promedo_prom!W6</f>
        <v>11881365.078939335</v>
      </c>
      <c r="R78" s="44">
        <f>todo_corte2023_promedo_simple!W6</f>
        <v>11881430.139684916</v>
      </c>
      <c r="S78" s="44">
        <f>ultimos8_corte2023_promedio!Y6</f>
        <v>460.07893933542073</v>
      </c>
      <c r="T78" s="44">
        <f>todo_corte2023_promedo_prom!Y6</f>
        <v>460.07893933542073</v>
      </c>
      <c r="U78" s="44">
        <f>todo_corte2023_promedo_simple!Y6</f>
        <v>525.1396849155426</v>
      </c>
    </row>
    <row r="79" spans="3:30" x14ac:dyDescent="0.25">
      <c r="C79" s="3" t="s">
        <v>11</v>
      </c>
      <c r="D79">
        <v>1.1619344109197116</v>
      </c>
      <c r="E79">
        <v>1.1229380204528898</v>
      </c>
      <c r="F79">
        <v>1.1210929952040893</v>
      </c>
      <c r="G79" s="44">
        <f>ultimos8_corte2024_promedio_pro!AA7</f>
        <v>19461704.92135096</v>
      </c>
      <c r="H79" s="44">
        <f>todo_corte2024_promedo_prom!AA7</f>
        <v>19461704.92135096</v>
      </c>
      <c r="I79" s="44">
        <f>todo_corte2024_promedio_simple!AA7</f>
        <v>19461707.984178439</v>
      </c>
      <c r="J79" s="44">
        <f>ultimos8_corte2024_promedio_pro!AC7</f>
        <v>54.921350959688425</v>
      </c>
      <c r="K79" s="44">
        <f>todo_corte2024_promedo_prom!AC7</f>
        <v>54.921350959688425</v>
      </c>
      <c r="L79" s="44">
        <f>todo_corte2024_promedio_simple!AC7</f>
        <v>57.984178438782692</v>
      </c>
      <c r="M79">
        <v>1.1410732115475986</v>
      </c>
      <c r="N79">
        <v>1.1142898072614653</v>
      </c>
      <c r="O79">
        <v>1.1210929952040893</v>
      </c>
      <c r="P79" s="44">
        <f>ultimos8_corte2023_promedio!W7</f>
        <v>19461881.305641357</v>
      </c>
      <c r="Q79" s="44">
        <f>todo_corte2023_promedo_prom!W7</f>
        <v>19461881.305641357</v>
      </c>
      <c r="R79" s="44">
        <f>todo_corte2023_promedo_simple!W7</f>
        <v>19462225.253637258</v>
      </c>
      <c r="S79" s="44">
        <f>ultimos8_corte2023_promedio!Y7</f>
        <v>1905.3056413568556</v>
      </c>
      <c r="T79" s="44">
        <f>todo_corte2023_promedo_prom!Y7</f>
        <v>1905.3056413568556</v>
      </c>
      <c r="U79" s="44">
        <f>todo_corte2023_promedo_simple!Y7</f>
        <v>2249.2536372579634</v>
      </c>
    </row>
    <row r="80" spans="3:30" x14ac:dyDescent="0.25">
      <c r="C80" s="3" t="s">
        <v>12</v>
      </c>
      <c r="D80">
        <v>1.1042248311428209</v>
      </c>
      <c r="E80">
        <v>1.0855574765503024</v>
      </c>
      <c r="F80">
        <v>1.086892782447326</v>
      </c>
      <c r="G80" s="44">
        <f>ultimos8_corte2024_promedio_pro!AA8</f>
        <v>11816242.088412698</v>
      </c>
      <c r="H80" s="44">
        <f>todo_corte2024_promedo_prom!AA8</f>
        <v>11816242.088412698</v>
      </c>
      <c r="I80" s="44">
        <f>todo_corte2024_promedio_simple!AA8</f>
        <v>11816250.462962138</v>
      </c>
      <c r="J80" s="44">
        <f>ultimos8_corte2024_promedio_pro!AC8</f>
        <v>69.088412698358297</v>
      </c>
      <c r="K80" s="44">
        <f>todo_corte2024_promedo_prom!AC8</f>
        <v>69.088412698358297</v>
      </c>
      <c r="L80" s="44">
        <f>todo_corte2024_promedio_simple!AC8</f>
        <v>77.462962137535214</v>
      </c>
      <c r="M80">
        <v>1.1006613536050438</v>
      </c>
      <c r="N80">
        <v>1.0863653865612957</v>
      </c>
      <c r="O80">
        <v>1.086892782447326</v>
      </c>
      <c r="P80" s="44">
        <f>ultimos8_corte2023_promedio!W8</f>
        <v>11815026.25499708</v>
      </c>
      <c r="Q80" s="44">
        <f>todo_corte2023_promedo_prom!W8</f>
        <v>11815026.25499708</v>
      </c>
      <c r="R80" s="44">
        <f>todo_corte2023_promedo_simple!W8</f>
        <v>11815525.761197126</v>
      </c>
      <c r="S80" s="44">
        <f>ultimos8_corte2023_promedio!Y8</f>
        <v>2596.254997080192</v>
      </c>
      <c r="T80" s="44">
        <f>todo_corte2023_promedo_prom!Y8</f>
        <v>2596.254997080192</v>
      </c>
      <c r="U80" s="44">
        <f>todo_corte2023_promedo_simple!Y8</f>
        <v>3095.7611971255392</v>
      </c>
    </row>
    <row r="81" spans="3:21" x14ac:dyDescent="0.25">
      <c r="C81" s="3" t="s">
        <v>13</v>
      </c>
      <c r="D81">
        <v>1.1121613312682059</v>
      </c>
      <c r="E81">
        <v>1.0800789284413297</v>
      </c>
      <c r="F81">
        <v>1.0780719461705697</v>
      </c>
      <c r="G81" s="44">
        <f>ultimos8_corte2024_promedio_pro!AA9</f>
        <v>13048673.949632177</v>
      </c>
      <c r="H81" s="44">
        <f>todo_corte2024_promedo_prom!AA9</f>
        <v>13048673.949632177</v>
      </c>
      <c r="I81" s="44">
        <f>todo_corte2024_promedio_simple!AA9</f>
        <v>13048688.726159779</v>
      </c>
      <c r="J81" s="44">
        <f>ultimos8_corte2024_promedio_pro!AC9</f>
        <v>202.94963217712939</v>
      </c>
      <c r="K81" s="44">
        <f>todo_corte2024_promedo_prom!AC9</f>
        <v>202.94963217712939</v>
      </c>
      <c r="L81" s="44">
        <f>todo_corte2024_promedio_simple!AC9</f>
        <v>217.72615977935493</v>
      </c>
      <c r="M81">
        <v>1.0896916589709165</v>
      </c>
      <c r="N81">
        <v>1.0708099161392997</v>
      </c>
      <c r="O81">
        <v>1.0780719461705697</v>
      </c>
      <c r="P81" s="44">
        <f>ultimos8_corte2023_promedio!W9</f>
        <v>13049095.383314041</v>
      </c>
      <c r="Q81" s="44">
        <f>todo_corte2023_promedo_prom!W9</f>
        <v>13049095.383314041</v>
      </c>
      <c r="R81" s="44">
        <f>todo_corte2023_promedo_simple!W9</f>
        <v>13049406.777673133</v>
      </c>
      <c r="S81" s="44">
        <f>ultimos8_corte2023_promedio!Y9</f>
        <v>7991.3833140414208</v>
      </c>
      <c r="T81" s="44">
        <f>todo_corte2023_promedo_prom!Y9</f>
        <v>7991.3833140414208</v>
      </c>
      <c r="U81" s="44">
        <f>todo_corte2023_promedo_simple!Y9</f>
        <v>8302.7776731327176</v>
      </c>
    </row>
    <row r="82" spans="3:21" x14ac:dyDescent="0.25">
      <c r="C82" s="3" t="s">
        <v>14</v>
      </c>
      <c r="D82">
        <v>1.0564418803131088</v>
      </c>
      <c r="E82">
        <v>1.0582034737649406</v>
      </c>
      <c r="F82">
        <v>1.0657467039409561</v>
      </c>
      <c r="G82" s="44">
        <f>ultimos8_corte2024_promedio_pro!AA10</f>
        <v>10840662.183077399</v>
      </c>
      <c r="H82" s="44">
        <f>todo_corte2024_promedo_prom!AA10</f>
        <v>10840662.183077399</v>
      </c>
      <c r="I82" s="44">
        <f>todo_corte2024_promedio_simple!AA10</f>
        <v>10840690.20509957</v>
      </c>
      <c r="J82" s="44">
        <f>ultimos8_corte2024_promedio_pro!AC10</f>
        <v>522.1830773986876</v>
      </c>
      <c r="K82" s="44">
        <f>todo_corte2024_promedo_prom!AC10</f>
        <v>522.1830773986876</v>
      </c>
      <c r="L82" s="44">
        <f>todo_corte2024_promedio_simple!AC10</f>
        <v>550.2050995696336</v>
      </c>
      <c r="M82">
        <v>1.0879966310221385</v>
      </c>
      <c r="N82">
        <v>1.0647534082715544</v>
      </c>
      <c r="O82">
        <v>1.0657467039409561</v>
      </c>
      <c r="P82" s="44">
        <f>ultimos8_corte2023_promedio!W10</f>
        <v>10839811.694597917</v>
      </c>
      <c r="Q82" s="44">
        <f>todo_corte2023_promedo_prom!W10</f>
        <v>10839811.694597917</v>
      </c>
      <c r="R82" s="44">
        <f>todo_corte2023_promedo_simple!W10</f>
        <v>10839509.773920827</v>
      </c>
      <c r="S82" s="44">
        <f>ultimos8_corte2023_promedio!Y10</f>
        <v>14404.694597916678</v>
      </c>
      <c r="T82" s="44">
        <f>todo_corte2023_promedo_prom!Y10</f>
        <v>14404.694597916678</v>
      </c>
      <c r="U82" s="44">
        <f>todo_corte2023_promedo_simple!Y10</f>
        <v>14102.773920826614</v>
      </c>
    </row>
    <row r="83" spans="3:21" x14ac:dyDescent="0.25">
      <c r="C83" s="3" t="s">
        <v>15</v>
      </c>
      <c r="D83">
        <v>1.0286062858582918</v>
      </c>
      <c r="E83">
        <v>1.0278823657068332</v>
      </c>
      <c r="F83">
        <v>1.0288467043541492</v>
      </c>
      <c r="G83" s="44">
        <f>ultimos8_corte2024_promedio_pro!AA11</f>
        <v>14112788.421233281</v>
      </c>
      <c r="H83" s="44">
        <f>todo_corte2024_promedo_prom!AA11</f>
        <v>14112788.421233281</v>
      </c>
      <c r="I83" s="44">
        <f>todo_corte2024_promedio_simple!AA11</f>
        <v>14112859.534257179</v>
      </c>
      <c r="J83" s="44">
        <f>ultimos8_corte2024_promedio_pro!AC11</f>
        <v>1652.4212332814932</v>
      </c>
      <c r="K83" s="44">
        <f>todo_corte2024_promedo_prom!AC11</f>
        <v>1652.4212332814932</v>
      </c>
      <c r="L83" s="44">
        <f>todo_corte2024_promedio_simple!AC11</f>
        <v>1723.5342571791261</v>
      </c>
      <c r="M83">
        <v>1.0327164864634064</v>
      </c>
      <c r="N83">
        <v>1.0294842356629244</v>
      </c>
      <c r="O83">
        <v>1.0288467043541492</v>
      </c>
      <c r="P83" s="44">
        <f>ultimos8_corte2023_promedio!W11</f>
        <v>14117547.211636791</v>
      </c>
      <c r="Q83" s="44">
        <f>todo_corte2023_promedo_prom!W11</f>
        <v>14117547.211636791</v>
      </c>
      <c r="R83" s="44">
        <f>todo_corte2023_promedo_simple!W11</f>
        <v>14116135.056048226</v>
      </c>
      <c r="S83" s="44">
        <f>ultimos8_corte2023_promedio!Y11</f>
        <v>38224.211636791006</v>
      </c>
      <c r="T83" s="44">
        <f>todo_corte2023_promedo_prom!Y11</f>
        <v>38224.211636791006</v>
      </c>
      <c r="U83" s="44">
        <f>todo_corte2023_promedo_simple!Y11</f>
        <v>36812.056048225611</v>
      </c>
    </row>
    <row r="84" spans="3:21" x14ac:dyDescent="0.25">
      <c r="C84" s="3" t="s">
        <v>16</v>
      </c>
      <c r="D84">
        <v>1.0155861850347698</v>
      </c>
      <c r="E84">
        <v>1.0204032634317954</v>
      </c>
      <c r="F84">
        <v>1.0224050141634786</v>
      </c>
      <c r="G84" s="44">
        <f>ultimos8_corte2024_promedio_pro!AA12</f>
        <v>15733378.684043568</v>
      </c>
      <c r="H84" s="44">
        <f>todo_corte2024_promedo_prom!AA12</f>
        <v>15733378.684043568</v>
      </c>
      <c r="I84" s="44">
        <f>todo_corte2024_promedio_simple!AA12</f>
        <v>15733559.433371203</v>
      </c>
      <c r="J84" s="44">
        <f>ultimos8_corte2024_promedio_pro!AC12</f>
        <v>4044.6840435676277</v>
      </c>
      <c r="K84" s="44">
        <f>todo_corte2024_promedo_prom!AC12</f>
        <v>4044.6840435676277</v>
      </c>
      <c r="L84" s="44">
        <f>todo_corte2024_promedio_simple!AC12</f>
        <v>4225.4333712030202</v>
      </c>
      <c r="M84">
        <v>1.0206084059773002</v>
      </c>
      <c r="N84">
        <v>1.0238193735023062</v>
      </c>
      <c r="O84">
        <v>1.0224050141634786</v>
      </c>
      <c r="P84" s="44">
        <f>ultimos8_corte2023_promedio!W12</f>
        <v>15761049.173567265</v>
      </c>
      <c r="Q84" s="44">
        <f>todo_corte2023_promedo_prom!W12</f>
        <v>15761049.173567265</v>
      </c>
      <c r="R84" s="44">
        <f>todo_corte2023_promedo_simple!W12</f>
        <v>15753656.899152387</v>
      </c>
      <c r="S84" s="44">
        <f>ultimos8_corte2023_promedio!Y12</f>
        <v>91166.173567265272</v>
      </c>
      <c r="T84" s="44">
        <f>todo_corte2023_promedo_prom!Y12</f>
        <v>91166.173567265272</v>
      </c>
      <c r="U84" s="44">
        <f>todo_corte2023_promedo_simple!Y12</f>
        <v>83773.899152386934</v>
      </c>
    </row>
    <row r="85" spans="3:21" x14ac:dyDescent="0.25">
      <c r="C85" s="3" t="s">
        <v>17</v>
      </c>
      <c r="D85">
        <v>1.0080991162324702</v>
      </c>
      <c r="E85">
        <v>1.0102837133357327</v>
      </c>
      <c r="F85">
        <v>1.0104859687741763</v>
      </c>
      <c r="G85" s="44">
        <f>ultimos8_corte2024_promedio_pro!AA13</f>
        <v>14351697.782536028</v>
      </c>
      <c r="H85" s="44">
        <f>todo_corte2024_promedo_prom!AA13</f>
        <v>14352525.601440642</v>
      </c>
      <c r="I85" s="44">
        <f>todo_corte2024_promedio_simple!AA13</f>
        <v>14352822.116852919</v>
      </c>
      <c r="J85" s="44">
        <f>ultimos8_corte2024_promedio_pro!AC13</f>
        <v>8101.782536027953</v>
      </c>
      <c r="K85" s="44">
        <f>todo_corte2024_promedo_prom!AC13</f>
        <v>8929.601440642029</v>
      </c>
      <c r="L85" s="44">
        <f>todo_corte2024_promedio_simple!AC13</f>
        <v>9226.1168529186398</v>
      </c>
      <c r="M85">
        <v>1.0108556288591364</v>
      </c>
      <c r="N85">
        <v>1.0118084378044558</v>
      </c>
      <c r="O85">
        <v>1.0104859687741763</v>
      </c>
      <c r="P85" s="44">
        <f>ultimos8_corte2023_promedio!W13</f>
        <v>14424266.025963293</v>
      </c>
      <c r="Q85" s="44">
        <f>todo_corte2023_promedo_prom!W13</f>
        <v>14432765.716998572</v>
      </c>
      <c r="R85" s="44">
        <f>todo_corte2023_promedo_simple!W13</f>
        <v>14403671.730803926</v>
      </c>
      <c r="S85" s="44">
        <f>ultimos8_corte2023_promedio!Y13</f>
        <v>193030.02596329339</v>
      </c>
      <c r="T85" s="44">
        <f>todo_corte2023_promedo_prom!Y13</f>
        <v>201529.71699857153</v>
      </c>
      <c r="U85" s="44">
        <f>todo_corte2023_promedo_simple!Y13</f>
        <v>172435.73080392554</v>
      </c>
    </row>
    <row r="86" spans="3:21" x14ac:dyDescent="0.25">
      <c r="C86" s="3" t="s">
        <v>18</v>
      </c>
      <c r="D86">
        <v>1.0038616965180895</v>
      </c>
      <c r="E86">
        <v>1.0065618551036015</v>
      </c>
      <c r="F86">
        <v>1.0067345314117064</v>
      </c>
      <c r="G86" s="44">
        <f>ultimos8_corte2024_promedio_pro!AA14</f>
        <v>15137386.426473489</v>
      </c>
      <c r="H86" s="44">
        <f>todo_corte2024_promedo_prom!AA14</f>
        <v>15139463.865120197</v>
      </c>
      <c r="I86" s="44">
        <f>todo_corte2024_promedio_simple!AA14</f>
        <v>15139731.710810332</v>
      </c>
      <c r="J86" s="44">
        <f>ultimos8_corte2024_promedio_pro!AC14</f>
        <v>17451.426473489031</v>
      </c>
      <c r="K86" s="44">
        <f>todo_corte2024_promedo_prom!AC14</f>
        <v>19528.865120196715</v>
      </c>
      <c r="L86" s="44">
        <f>todo_corte2024_promedio_simple!AC14</f>
        <v>19796.710810331628</v>
      </c>
      <c r="M86">
        <v>1.0077010997409419</v>
      </c>
      <c r="N86">
        <v>1.0082949010469002</v>
      </c>
      <c r="O86">
        <v>1.0067345314117064</v>
      </c>
      <c r="P86" s="44">
        <f>ultimos8_corte2023_promedio!W14</f>
        <v>15227387.951999657</v>
      </c>
      <c r="Q86" s="44">
        <f>todo_corte2023_promedo_prom!W14</f>
        <v>15250722.331842663</v>
      </c>
      <c r="R86" s="44">
        <f>todo_corte2023_promedo_simple!W14</f>
        <v>15200086.439350007</v>
      </c>
      <c r="S86" s="44">
        <f>ultimos8_corte2023_promedio!Y14</f>
        <v>365116.95199965686</v>
      </c>
      <c r="T86" s="44">
        <f>todo_corte2023_promedo_prom!Y14</f>
        <v>388451.33184266277</v>
      </c>
      <c r="U86" s="44">
        <f>todo_corte2023_promedo_simple!Y14</f>
        <v>337815.4393500071</v>
      </c>
    </row>
    <row r="87" spans="3:21" x14ac:dyDescent="0.25">
      <c r="C87" s="3" t="s">
        <v>19</v>
      </c>
      <c r="D87">
        <v>1.0022524789263829</v>
      </c>
      <c r="E87">
        <v>1.0027134084251554</v>
      </c>
      <c r="F87">
        <v>1.0027244309196199</v>
      </c>
      <c r="G87" s="44">
        <f>ultimos8_corte2024_promedio_pro!AA15</f>
        <v>18772945.810095321</v>
      </c>
      <c r="H87" s="44">
        <f>todo_corte2024_promedo_prom!AA15</f>
        <v>18778189.106540516</v>
      </c>
      <c r="I87" s="44">
        <f>todo_corte2024_promedio_simple!AA15</f>
        <v>18779118.973099016</v>
      </c>
      <c r="J87" s="44">
        <f>ultimos8_corte2024_promedio_pro!AC15</f>
        <v>42921.810095321387</v>
      </c>
      <c r="K87" s="44">
        <f>todo_corte2024_promedo_prom!AC15</f>
        <v>48165.106540516019</v>
      </c>
      <c r="L87" s="44">
        <f>todo_corte2024_promedio_simple!AC15</f>
        <v>49094.973099015653</v>
      </c>
      <c r="M87">
        <v>1.0030946031617214</v>
      </c>
      <c r="N87">
        <v>1.0030946031617214</v>
      </c>
      <c r="O87">
        <v>1.0027244309196199</v>
      </c>
      <c r="P87" s="44">
        <f>ultimos8_corte2023_promedio!W15</f>
        <v>19130285.047787689</v>
      </c>
      <c r="Q87" s="44">
        <f>todo_corte2023_promedo_prom!W15</f>
        <v>19219878.81737661</v>
      </c>
      <c r="R87" s="44">
        <f>todo_corte2023_promedo_simple!W15</f>
        <v>19129601.194660615</v>
      </c>
      <c r="S87" s="44">
        <f>ultimos8_corte2023_promedio!Y15</f>
        <v>835721.04778768867</v>
      </c>
      <c r="T87" s="44">
        <f>todo_corte2023_promedo_prom!Y15</f>
        <v>925314.81737660989</v>
      </c>
      <c r="U87" s="44">
        <f>todo_corte2023_promedo_simple!Y15</f>
        <v>835037.19466061518</v>
      </c>
    </row>
    <row r="88" spans="3:21" x14ac:dyDescent="0.25">
      <c r="C88" s="3" t="s">
        <v>20</v>
      </c>
      <c r="D88">
        <v>1.0011360935367282</v>
      </c>
      <c r="E88">
        <v>1.0012782971663421</v>
      </c>
      <c r="F88">
        <v>1.0013101638351005</v>
      </c>
      <c r="G88" s="44">
        <f>ultimos8_corte2024_promedio_pro!AA16</f>
        <v>19716643.649264485</v>
      </c>
      <c r="H88" s="44">
        <f>todo_corte2024_promedo_prom!AA16</f>
        <v>19731220.61191969</v>
      </c>
      <c r="I88" s="44">
        <f>todo_corte2024_promedio_simple!AA16</f>
        <v>19732414.580583572</v>
      </c>
      <c r="J88" s="44">
        <f>ultimos8_corte2024_promedio_pro!AC16</f>
        <v>89289.649264484644</v>
      </c>
      <c r="K88" s="44">
        <f>todo_corte2024_promedo_prom!AC16</f>
        <v>103866.61191968992</v>
      </c>
      <c r="L88" s="44">
        <f>todo_corte2024_promedio_simple!AC16</f>
        <v>105060.58058357239</v>
      </c>
      <c r="M88">
        <v>1.0013824410766876</v>
      </c>
      <c r="N88">
        <v>1.0013824410766876</v>
      </c>
      <c r="O88">
        <v>1.0013101638351005</v>
      </c>
      <c r="P88" s="44">
        <f>ultimos8_corte2023_promedio!W16</f>
        <v>19993175.545162514</v>
      </c>
      <c r="Q88" s="44">
        <f>todo_corte2023_promedo_prom!W16</f>
        <v>20023941.766327493</v>
      </c>
      <c r="R88" s="44">
        <f>todo_corte2023_promedo_simple!W16</f>
        <v>19917545.350653473</v>
      </c>
      <c r="S88" s="44">
        <f>ultimos8_corte2023_promedio!Y16</f>
        <v>1479131.5451625139</v>
      </c>
      <c r="T88" s="44">
        <f>todo_corte2023_promedo_prom!Y16</f>
        <v>1509897.7663274929</v>
      </c>
      <c r="U88" s="44">
        <f>todo_corte2023_promedo_simple!Y16</f>
        <v>1403501.3506534733</v>
      </c>
    </row>
    <row r="89" spans="3:21" x14ac:dyDescent="0.25">
      <c r="C89" s="3" t="s">
        <v>21</v>
      </c>
      <c r="D89">
        <v>1.0005890309091159</v>
      </c>
      <c r="E89">
        <v>1.0006686312010642</v>
      </c>
      <c r="F89">
        <v>1.0006656617067455</v>
      </c>
      <c r="G89" s="44">
        <f>ultimos8_corte2024_promedio_pro!AA17</f>
        <v>20218659.846320331</v>
      </c>
      <c r="H89" s="44">
        <f>todo_corte2024_promedo_prom!AA17</f>
        <v>20288031.743078683</v>
      </c>
      <c r="I89" s="44">
        <f>todo_corte2024_promedio_simple!AA17</f>
        <v>20292740.040287223</v>
      </c>
      <c r="J89" s="44">
        <f>ultimos8_corte2024_promedio_pro!AC17</f>
        <v>168988.8463203311</v>
      </c>
      <c r="K89" s="44">
        <f>todo_corte2024_promedo_prom!AC17</f>
        <v>238360.74307868257</v>
      </c>
      <c r="L89" s="44">
        <f>todo_corte2024_promedio_simple!AC17</f>
        <v>243069.04028722271</v>
      </c>
      <c r="M89">
        <v>1.0007174138094395</v>
      </c>
      <c r="N89">
        <v>1.0007174138094395</v>
      </c>
      <c r="O89">
        <v>1.0006656617067455</v>
      </c>
      <c r="P89" s="44">
        <f>ultimos8_corte2023_promedio!W17</f>
        <v>21546810.989773739</v>
      </c>
      <c r="Q89" s="44">
        <f>todo_corte2023_promedo_prom!W17</f>
        <v>21118948.188475065</v>
      </c>
      <c r="R89" s="44">
        <f>todo_corte2023_promedo_simple!W17</f>
        <v>21026330.429305524</v>
      </c>
      <c r="S89" s="44">
        <f>ultimos8_corte2023_promedio!Y17</f>
        <v>3207839.9897737391</v>
      </c>
      <c r="T89" s="44">
        <f>todo_corte2023_promedo_prom!Y17</f>
        <v>2779977.1884750649</v>
      </c>
      <c r="U89" s="44">
        <f>todo_corte2023_promedo_simple!Y17</f>
        <v>2687359.4293055236</v>
      </c>
    </row>
    <row r="90" spans="3:21" x14ac:dyDescent="0.25">
      <c r="C90" s="3" t="s">
        <v>22</v>
      </c>
      <c r="D90">
        <v>1.0003076143784837</v>
      </c>
      <c r="E90">
        <v>1.0003653130261392</v>
      </c>
      <c r="F90">
        <v>1.000374487458352</v>
      </c>
      <c r="G90" s="44">
        <f>ultimos8_corte2024_promedio_pro!AA18</f>
        <v>21031677.336185958</v>
      </c>
      <c r="H90" s="44">
        <f>todo_corte2024_promedo_prom!AA18</f>
        <v>21149571.751541451</v>
      </c>
      <c r="I90" s="44">
        <f>todo_corte2024_promedio_simple!AA18</f>
        <v>21158715.045137335</v>
      </c>
      <c r="J90" s="44">
        <f>ultimos8_corte2024_promedio_pro!AC18</f>
        <v>343341.33618595824</v>
      </c>
      <c r="K90" s="44">
        <f>todo_corte2024_promedo_prom!AC18</f>
        <v>461235.75154145062</v>
      </c>
      <c r="L90" s="44">
        <f>todo_corte2024_promedio_simple!AC18</f>
        <v>470379.04513733461</v>
      </c>
      <c r="M90">
        <v>1.0003929078212952</v>
      </c>
      <c r="N90">
        <v>1.0003929078212952</v>
      </c>
      <c r="O90">
        <v>1.000374487458352</v>
      </c>
      <c r="P90" s="44">
        <f>ultimos8_corte2023_promedio!W18</f>
        <v>21325528.081884515</v>
      </c>
      <c r="Q90" s="44">
        <f>todo_corte2023_promedo_prom!W18</f>
        <v>20539876.819623034</v>
      </c>
      <c r="R90" s="44">
        <f>todo_corte2023_promedo_simple!W18</f>
        <v>20588485.255432803</v>
      </c>
      <c r="S90" s="44">
        <f>ultimos8_corte2023_promedio!Y18</f>
        <v>4668860.0818845145</v>
      </c>
      <c r="T90" s="44">
        <f>todo_corte2023_promedo_prom!Y18</f>
        <v>3883208.8196230344</v>
      </c>
      <c r="U90" s="44">
        <f>todo_corte2023_promedo_simple!Y18</f>
        <v>3931817.2554328032</v>
      </c>
    </row>
    <row r="91" spans="3:21" x14ac:dyDescent="0.25">
      <c r="C91" s="3" t="s">
        <v>23</v>
      </c>
      <c r="D91">
        <v>1.0001400258321513</v>
      </c>
      <c r="E91">
        <v>1.0001400258321513</v>
      </c>
      <c r="F91">
        <v>1.0001464760676515</v>
      </c>
      <c r="G91" s="44">
        <f>ultimos8_corte2024_promedio_pro!AA19</f>
        <v>26479754.140127029</v>
      </c>
      <c r="H91" s="44">
        <f>todo_corte2024_promedo_prom!AA19</f>
        <v>26754489.610132392</v>
      </c>
      <c r="I91" s="44">
        <f>todo_corte2024_promedio_simple!AA19</f>
        <v>26818563.643028982</v>
      </c>
      <c r="J91" s="44">
        <f>ultimos8_corte2024_promedio_pro!AC19</f>
        <v>832031.14012702927</v>
      </c>
      <c r="K91" s="44">
        <f>todo_corte2024_promedo_prom!AC19</f>
        <v>1106766.6101323925</v>
      </c>
      <c r="L91" s="44">
        <f>todo_corte2024_promedio_simple!AC19</f>
        <v>1170840.643028982</v>
      </c>
      <c r="M91">
        <v>1.0001218692122313</v>
      </c>
      <c r="N91">
        <v>1.0001218692122313</v>
      </c>
      <c r="O91">
        <v>1.0001464760676515</v>
      </c>
      <c r="P91" s="44">
        <f>ultimos8_corte2023_promedio!W19</f>
        <v>28526300.29167087</v>
      </c>
      <c r="Q91" s="44">
        <f>todo_corte2023_promedo_prom!W19</f>
        <v>27118501.761004012</v>
      </c>
      <c r="R91" s="44">
        <f>todo_corte2023_promedo_simple!W19</f>
        <v>27195875.101580579</v>
      </c>
      <c r="S91" s="44">
        <f>ultimos8_corte2023_promedio!Y19</f>
        <v>8283058.29167087</v>
      </c>
      <c r="T91" s="44">
        <f>todo_corte2023_promedo_prom!Y19</f>
        <v>6875259.7610040121</v>
      </c>
      <c r="U91" s="44">
        <f>todo_corte2023_promedo_simple!Y19</f>
        <v>6952633.1015805788</v>
      </c>
    </row>
    <row r="92" spans="3:21" x14ac:dyDescent="0.25">
      <c r="C92" s="3" t="s">
        <v>24</v>
      </c>
      <c r="D92">
        <v>1.0000689259420603</v>
      </c>
      <c r="E92">
        <v>1.0000689259420603</v>
      </c>
      <c r="F92">
        <v>1.0000713801120527</v>
      </c>
      <c r="G92" s="44">
        <f>ultimos8_corte2024_promedio_pro!AA20</f>
        <v>28473105.446898881</v>
      </c>
      <c r="H92" s="44">
        <f>todo_corte2024_promedo_prom!AA20</f>
        <v>28748275.616602581</v>
      </c>
      <c r="I92" s="44">
        <f>todo_corte2024_promedio_simple!AA20</f>
        <v>28844160.194726527</v>
      </c>
      <c r="J92" s="44">
        <f>ultimos8_corte2024_promedio_pro!AC20</f>
        <v>1661641.4468988813</v>
      </c>
      <c r="K92" s="44">
        <f>todo_corte2024_promedo_prom!AC20</f>
        <v>1936811.616602581</v>
      </c>
      <c r="L92" s="44">
        <f>todo_corte2024_promedio_simple!AC20</f>
        <v>2032696.1947265267</v>
      </c>
      <c r="M92">
        <v>1.0000591824156773</v>
      </c>
      <c r="N92">
        <v>1.0000591824156773</v>
      </c>
      <c r="O92">
        <v>1.0000713801120527</v>
      </c>
      <c r="P92" s="44">
        <f>ultimos8_corte2023_promedio!W20</f>
        <v>30673513.119517047</v>
      </c>
      <c r="Q92" s="44">
        <f>todo_corte2023_promedo_prom!W20</f>
        <v>28475306.688931242</v>
      </c>
      <c r="R92" s="44">
        <f>todo_corte2023_promedo_simple!W20</f>
        <v>28730900.450283933</v>
      </c>
      <c r="S92" s="44">
        <f>ultimos8_corte2023_promedio!Y20</f>
        <v>11597631.119517047</v>
      </c>
      <c r="T92" s="44">
        <f>todo_corte2023_promedo_prom!Y20</f>
        <v>9399424.6889312416</v>
      </c>
      <c r="U92" s="44">
        <f>todo_corte2023_promedo_simple!Y20</f>
        <v>9655018.4502839334</v>
      </c>
    </row>
    <row r="93" spans="3:21" x14ac:dyDescent="0.25">
      <c r="C93" s="3" t="s">
        <v>25</v>
      </c>
      <c r="D93">
        <v>1.0000326172228817</v>
      </c>
      <c r="E93">
        <v>1.0000326172228817</v>
      </c>
      <c r="F93">
        <v>1.0000340697520711</v>
      </c>
      <c r="G93" s="44">
        <f>ultimos8_corte2024_promedio_pro!AA21</f>
        <v>24007860.39405895</v>
      </c>
      <c r="H93" s="44">
        <f>todo_corte2024_promedo_prom!AA21</f>
        <v>24280296.941465266</v>
      </c>
      <c r="I93" s="44">
        <f>todo_corte2024_promedio_simple!AA21</f>
        <v>24534934.790588439</v>
      </c>
      <c r="J93" s="44">
        <f>ultimos8_corte2024_promedio_pro!AC21</f>
        <v>2608857.3940589502</v>
      </c>
      <c r="K93" s="44">
        <f>todo_corte2024_promedo_prom!AC21</f>
        <v>2881293.941465266</v>
      </c>
      <c r="L93" s="44">
        <f>todo_corte2024_promedio_simple!AC21</f>
        <v>3135931.7905884385</v>
      </c>
      <c r="M93">
        <v>1.0000300993126359</v>
      </c>
      <c r="N93">
        <v>1.0000300993126359</v>
      </c>
      <c r="O93">
        <v>1.0000340697520711</v>
      </c>
      <c r="P93" s="44">
        <f>ultimos8_corte2023_promedio!W21</f>
        <v>21949746.292085718</v>
      </c>
      <c r="Q93" s="44">
        <f>todo_corte2023_promedo_prom!W21</f>
        <v>19493755.450923055</v>
      </c>
      <c r="R93" s="44">
        <f>todo_corte2023_promedo_simple!W21</f>
        <v>19868261.267306618</v>
      </c>
      <c r="S93" s="44">
        <f>ultimos8_corte2023_promedio!Y21</f>
        <v>10690585.292085718</v>
      </c>
      <c r="T93" s="44">
        <f>todo_corte2023_promedo_prom!Y21</f>
        <v>8234594.4509230554</v>
      </c>
      <c r="U93" s="44">
        <f>todo_corte2023_promedo_simple!Y21</f>
        <v>8609100.2673066184</v>
      </c>
    </row>
    <row r="94" spans="3:21" x14ac:dyDescent="0.25">
      <c r="C94" s="3" t="s">
        <v>26</v>
      </c>
      <c r="D94">
        <v>1.0000097065250659</v>
      </c>
      <c r="E94">
        <v>1.0000097065250659</v>
      </c>
      <c r="F94">
        <v>1.0000101302128652</v>
      </c>
      <c r="G94" s="44">
        <f>ultimos8_corte2024_promedio_pro!AA22</f>
        <v>41911015.439681679</v>
      </c>
      <c r="H94" s="44">
        <f>todo_corte2024_promedo_prom!AA22</f>
        <v>41163891.267488971</v>
      </c>
      <c r="I94" s="44">
        <f>todo_corte2024_promedio_simple!AA22</f>
        <v>41518302.436308824</v>
      </c>
      <c r="J94" s="44">
        <f>ultimos8_corte2024_promedio_pro!AC22</f>
        <v>8321752.439681679</v>
      </c>
      <c r="K94" s="44">
        <f>todo_corte2024_promedo_prom!AC22</f>
        <v>7574628.2674889714</v>
      </c>
      <c r="L94" s="44">
        <f>todo_corte2024_promedio_simple!AC22</f>
        <v>7929039.4363088235</v>
      </c>
      <c r="M94">
        <v>1.0000086246612614</v>
      </c>
      <c r="N94">
        <v>1.0000086246612614</v>
      </c>
      <c r="O94">
        <v>1.0000101302128652</v>
      </c>
      <c r="P94" s="44">
        <f>ultimos8_corte2023_promedio!W22</f>
        <v>56978049.13860137</v>
      </c>
      <c r="Q94" s="44">
        <f>todo_corte2023_promedo_prom!W22</f>
        <v>47012081.725009941</v>
      </c>
      <c r="R94" s="44">
        <f>todo_corte2023_promedo_simple!W22</f>
        <v>48166137.540710911</v>
      </c>
      <c r="S94" s="44">
        <f>ultimos8_corte2023_promedio!Y22</f>
        <v>35041768.13860137</v>
      </c>
      <c r="T94" s="44">
        <f>todo_corte2023_promedo_prom!Y22</f>
        <v>25075800.725009941</v>
      </c>
      <c r="U94" s="44">
        <f>todo_corte2023_promedo_simple!Y22</f>
        <v>26229856.540710911</v>
      </c>
    </row>
    <row r="95" spans="3:21" x14ac:dyDescent="0.25">
      <c r="C95" s="3" t="s">
        <v>27</v>
      </c>
      <c r="D95">
        <v>1.0000030248983931</v>
      </c>
      <c r="E95">
        <v>1.0000030248983931</v>
      </c>
      <c r="F95">
        <v>1.0000035762548798</v>
      </c>
      <c r="G95" s="44">
        <f>ultimos8_corte2024_promedio_pro!AA23</f>
        <v>29906164.262282506</v>
      </c>
      <c r="H95" s="44">
        <f>todo_corte2024_promedo_prom!AA23</f>
        <v>28876480.994698312</v>
      </c>
      <c r="I95" s="44">
        <f>todo_corte2024_promedio_simple!AA23</f>
        <v>29160926.283772942</v>
      </c>
      <c r="J95" s="44">
        <f>ultimos8_corte2024_promedio_pro!AC23</f>
        <v>8200379.2622825056</v>
      </c>
      <c r="K95" s="44">
        <f>todo_corte2024_promedo_prom!AC23</f>
        <v>7170695.9946983121</v>
      </c>
      <c r="L95" s="44">
        <f>todo_corte2024_promedio_simple!AC23</f>
        <v>7455141.2837729417</v>
      </c>
      <c r="M95">
        <v>1</v>
      </c>
      <c r="N95">
        <v>1</v>
      </c>
      <c r="O95">
        <v>1</v>
      </c>
      <c r="P95" s="44">
        <f>ultimos8_corte2023_promedio!W23</f>
        <v>33071035.061470196</v>
      </c>
      <c r="Q95" s="44">
        <f>todo_corte2023_promedo_prom!W23</f>
        <v>23123489.974382397</v>
      </c>
      <c r="R95" s="44">
        <f>todo_corte2023_promedo_simple!W23</f>
        <v>23821914.095432289</v>
      </c>
      <c r="S95" s="44">
        <f>ultimos8_corte2023_promedio!Y23</f>
        <v>26379787.061470196</v>
      </c>
      <c r="T95" s="44">
        <f>todo_corte2023_promedo_prom!Y23</f>
        <v>16432241.974382397</v>
      </c>
      <c r="U95" s="44">
        <f>todo_corte2023_promedo_simple!Y23</f>
        <v>17130666.095432289</v>
      </c>
    </row>
    <row r="96" spans="3:21" x14ac:dyDescent="0.25">
      <c r="C96" s="3" t="s">
        <v>28</v>
      </c>
      <c r="D96">
        <v>1.0000011501423054</v>
      </c>
      <c r="E96">
        <v>1.0000011501423054</v>
      </c>
      <c r="F96">
        <v>1.0000013110873434</v>
      </c>
      <c r="G96" s="44">
        <f>ultimos8_corte2024_promedio_pro!AA24</f>
        <v>27705493.436663222</v>
      </c>
      <c r="H96" s="44">
        <f>todo_corte2024_promedo_prom!AA24</f>
        <v>25853754.172087267</v>
      </c>
      <c r="I96" s="44">
        <f>todo_corte2024_promedio_simple!AA24</f>
        <v>26065527.324325372</v>
      </c>
      <c r="J96" s="44">
        <f>ultimos8_corte2024_promedio_pro!AC24</f>
        <v>10399399.436663222</v>
      </c>
      <c r="K96" s="44">
        <f>todo_corte2024_promedo_prom!AC24</f>
        <v>8547660.172087267</v>
      </c>
      <c r="L96" s="44">
        <f>todo_corte2024_promedio_simple!AC24</f>
        <v>8759433.3243253715</v>
      </c>
      <c r="R96" s="44"/>
    </row>
    <row r="97" spans="3:18" x14ac:dyDescent="0.25">
      <c r="C97" s="3" t="s">
        <v>29</v>
      </c>
      <c r="D97">
        <v>1.0000005853244556</v>
      </c>
      <c r="E97">
        <v>1.0000005853244556</v>
      </c>
      <c r="F97">
        <v>1.0000005817567423</v>
      </c>
      <c r="G97" s="44">
        <f>ultimos8_corte2024_promedio_pro!AA25</f>
        <v>30664068.484099515</v>
      </c>
      <c r="H97" s="44">
        <f>todo_corte2024_promedo_prom!AA25</f>
        <v>26900056.65944254</v>
      </c>
      <c r="I97" s="44">
        <f>todo_corte2024_promedio_simple!AA25</f>
        <v>27166066.900664236</v>
      </c>
      <c r="J97" s="44">
        <f>ultimos8_corte2024_promedio_pro!AC25</f>
        <v>15289606.484099515</v>
      </c>
      <c r="K97" s="44">
        <f>todo_corte2024_promedo_prom!AC25</f>
        <v>11525594.65944254</v>
      </c>
      <c r="L97" s="44">
        <f>todo_corte2024_promedio_simple!AC25</f>
        <v>11791604.900664236</v>
      </c>
      <c r="R97" s="44"/>
    </row>
    <row r="98" spans="3:18" x14ac:dyDescent="0.25">
      <c r="C98" s="3" t="s">
        <v>30</v>
      </c>
      <c r="D98">
        <v>1.0000010865602078</v>
      </c>
      <c r="E98">
        <v>1.0000010865602078</v>
      </c>
      <c r="F98">
        <v>1.0000010865602078</v>
      </c>
      <c r="G98" s="44">
        <f>ultimos8_corte2024_promedio_pro!AA26</f>
        <v>25053077.082726397</v>
      </c>
      <c r="H98" s="44">
        <f>todo_corte2024_promedo_prom!AA26</f>
        <v>20348759.976873584</v>
      </c>
      <c r="I98" s="44">
        <f>todo_corte2024_promedio_simple!AA26</f>
        <v>20715429.778732315</v>
      </c>
      <c r="J98" s="44">
        <f>ultimos8_corte2024_promedio_pro!AC26</f>
        <v>15731243.082726397</v>
      </c>
      <c r="K98" s="44">
        <f>todo_corte2024_promedo_prom!AC26</f>
        <v>11026925.976873584</v>
      </c>
      <c r="L98" s="44">
        <f>todo_corte2024_promedio_simple!AC26</f>
        <v>11393595.778732315</v>
      </c>
      <c r="R98" s="44"/>
    </row>
    <row r="99" spans="3:18" x14ac:dyDescent="0.25">
      <c r="C99" s="3" t="s">
        <v>31</v>
      </c>
      <c r="D99">
        <v>1</v>
      </c>
      <c r="E99">
        <v>1</v>
      </c>
      <c r="F99">
        <v>1</v>
      </c>
      <c r="G99" s="44">
        <f>ultimos8_corte2024_promedio_pro!AA27</f>
        <v>29715992.930802129</v>
      </c>
      <c r="H99" s="44">
        <f>todo_corte2024_promedo_prom!AA27</f>
        <v>18797317.99443626</v>
      </c>
      <c r="I99" s="44">
        <f>todo_corte2024_promedio_simple!AA27</f>
        <v>19222994.301190842</v>
      </c>
      <c r="J99" s="44">
        <f>ultimos8_corte2024_promedio_pro!AC27</f>
        <v>24566034.930802129</v>
      </c>
      <c r="K99" s="44">
        <f>todo_corte2024_promedo_prom!AC27</f>
        <v>13647359.99443626</v>
      </c>
      <c r="L99" s="44">
        <f>todo_corte2024_promedio_simple!AC27</f>
        <v>14073036.301190842</v>
      </c>
      <c r="R99" s="44"/>
    </row>
  </sheetData>
  <mergeCells count="14">
    <mergeCell ref="V74:X74"/>
    <mergeCell ref="Y74:AA74"/>
    <mergeCell ref="AB74:AD74"/>
    <mergeCell ref="D74:F74"/>
    <mergeCell ref="G74:I74"/>
    <mergeCell ref="J74:L74"/>
    <mergeCell ref="D73:L73"/>
    <mergeCell ref="M73:U73"/>
    <mergeCell ref="M74:O74"/>
    <mergeCell ref="P74:R74"/>
    <mergeCell ref="S74:U74"/>
    <mergeCell ref="C13:AA13"/>
    <mergeCell ref="C41:AA41"/>
    <mergeCell ref="V73:AD73"/>
  </mergeCells>
  <conditionalFormatting sqref="D44:D66">
    <cfRule type="colorScale" priority="93">
      <colorScale>
        <cfvo type="min"/>
        <cfvo type="percentile" val="50"/>
        <cfvo type="max"/>
        <color rgb="FF63BE7B"/>
        <color rgb="FFFFEB84"/>
        <color rgb="FFF8696B"/>
      </colorScale>
    </cfRule>
  </conditionalFormatting>
  <conditionalFormatting sqref="E44:E66">
    <cfRule type="colorScale" priority="92">
      <colorScale>
        <cfvo type="min"/>
        <cfvo type="percentile" val="50"/>
        <cfvo type="max"/>
        <color rgb="FF63BE7B"/>
        <color rgb="FFFFEB84"/>
        <color rgb="FFF8696B"/>
      </colorScale>
    </cfRule>
  </conditionalFormatting>
  <conditionalFormatting sqref="F44:F66">
    <cfRule type="colorScale" priority="91">
      <colorScale>
        <cfvo type="min"/>
        <cfvo type="percentile" val="50"/>
        <cfvo type="max"/>
        <color rgb="FF63BE7B"/>
        <color rgb="FFFFEB84"/>
        <color rgb="FFF8696B"/>
      </colorScale>
    </cfRule>
  </conditionalFormatting>
  <conditionalFormatting sqref="G44:G66">
    <cfRule type="colorScale" priority="90">
      <colorScale>
        <cfvo type="min"/>
        <cfvo type="percentile" val="50"/>
        <cfvo type="max"/>
        <color rgb="FF63BE7B"/>
        <color rgb="FFFFEB84"/>
        <color rgb="FFF8696B"/>
      </colorScale>
    </cfRule>
  </conditionalFormatting>
  <conditionalFormatting sqref="H44:H66">
    <cfRule type="colorScale" priority="89">
      <colorScale>
        <cfvo type="min"/>
        <cfvo type="percentile" val="50"/>
        <cfvo type="max"/>
        <color rgb="FF63BE7B"/>
        <color rgb="FFFFEB84"/>
        <color rgb="FFF8696B"/>
      </colorScale>
    </cfRule>
  </conditionalFormatting>
  <conditionalFormatting sqref="I44:I66">
    <cfRule type="colorScale" priority="88">
      <colorScale>
        <cfvo type="min"/>
        <cfvo type="percentile" val="50"/>
        <cfvo type="max"/>
        <color rgb="FF63BE7B"/>
        <color rgb="FFFFEB84"/>
        <color rgb="FFF8696B"/>
      </colorScale>
    </cfRule>
  </conditionalFormatting>
  <conditionalFormatting sqref="J44:J61">
    <cfRule type="colorScale" priority="87">
      <colorScale>
        <cfvo type="min"/>
        <cfvo type="percentile" val="50"/>
        <cfvo type="max"/>
        <color rgb="FF63BE7B"/>
        <color rgb="FFFFEB84"/>
        <color rgb="FFF8696B"/>
      </colorScale>
    </cfRule>
  </conditionalFormatting>
  <conditionalFormatting sqref="J62:J66">
    <cfRule type="colorScale" priority="107">
      <colorScale>
        <cfvo type="min"/>
        <cfvo type="percentile" val="50"/>
        <cfvo type="max"/>
        <color rgb="FFF8696B"/>
        <color rgb="FFFFEB84"/>
        <color rgb="FF63BE7B"/>
      </colorScale>
    </cfRule>
  </conditionalFormatting>
  <conditionalFormatting sqref="K44:K61">
    <cfRule type="colorScale" priority="86">
      <colorScale>
        <cfvo type="min"/>
        <cfvo type="percentile" val="50"/>
        <cfvo type="max"/>
        <color rgb="FF63BE7B"/>
        <color rgb="FFFFEB84"/>
        <color rgb="FFF8696B"/>
      </colorScale>
    </cfRule>
  </conditionalFormatting>
  <conditionalFormatting sqref="L44:L61">
    <cfRule type="colorScale" priority="85">
      <colorScale>
        <cfvo type="min"/>
        <cfvo type="percentile" val="50"/>
        <cfvo type="max"/>
        <color rgb="FF63BE7B"/>
        <color rgb="FFFFEB84"/>
        <color rgb="FFF8696B"/>
      </colorScale>
    </cfRule>
  </conditionalFormatting>
  <conditionalFormatting sqref="M44:M61">
    <cfRule type="colorScale" priority="84">
      <colorScale>
        <cfvo type="min"/>
        <cfvo type="percentile" val="50"/>
        <cfvo type="max"/>
        <color rgb="FF63BE7B"/>
        <color rgb="FFFFEB84"/>
        <color rgb="FFF8696B"/>
      </colorScale>
    </cfRule>
  </conditionalFormatting>
  <conditionalFormatting sqref="N44:N61">
    <cfRule type="colorScale" priority="83">
      <colorScale>
        <cfvo type="min"/>
        <cfvo type="percentile" val="50"/>
        <cfvo type="max"/>
        <color rgb="FF63BE7B"/>
        <color rgb="FFFFEB84"/>
        <color rgb="FFF8696B"/>
      </colorScale>
    </cfRule>
  </conditionalFormatting>
  <conditionalFormatting sqref="O44:O61">
    <cfRule type="colorScale" priority="82">
      <colorScale>
        <cfvo type="min"/>
        <cfvo type="percentile" val="50"/>
        <cfvo type="max"/>
        <color rgb="FF63BE7B"/>
        <color rgb="FFFFEB84"/>
        <color rgb="FFF8696B"/>
      </colorScale>
    </cfRule>
  </conditionalFormatting>
  <conditionalFormatting sqref="P44:P61">
    <cfRule type="colorScale" priority="81">
      <colorScale>
        <cfvo type="min"/>
        <cfvo type="percentile" val="50"/>
        <cfvo type="max"/>
        <color rgb="FF63BE7B"/>
        <color rgb="FFFFEB84"/>
        <color rgb="FFF8696B"/>
      </colorScale>
    </cfRule>
  </conditionalFormatting>
  <conditionalFormatting sqref="Q44:Q61">
    <cfRule type="colorScale" priority="80">
      <colorScale>
        <cfvo type="min"/>
        <cfvo type="percentile" val="50"/>
        <cfvo type="max"/>
        <color rgb="FF63BE7B"/>
        <color rgb="FFFFEB84"/>
        <color rgb="FFF8696B"/>
      </colorScale>
    </cfRule>
  </conditionalFormatting>
  <conditionalFormatting sqref="R44:R61">
    <cfRule type="colorScale" priority="79">
      <colorScale>
        <cfvo type="min"/>
        <cfvo type="percentile" val="50"/>
        <cfvo type="max"/>
        <color rgb="FF63BE7B"/>
        <color rgb="FFFFEB84"/>
        <color rgb="FFF8696B"/>
      </colorScale>
    </cfRule>
  </conditionalFormatting>
  <conditionalFormatting sqref="S44:S61">
    <cfRule type="colorScale" priority="78">
      <colorScale>
        <cfvo type="min"/>
        <cfvo type="percentile" val="50"/>
        <cfvo type="max"/>
        <color rgb="FF63BE7B"/>
        <color rgb="FFFFEB84"/>
        <color rgb="FFF8696B"/>
      </colorScale>
    </cfRule>
  </conditionalFormatting>
  <conditionalFormatting sqref="T44:T61">
    <cfRule type="colorScale" priority="77">
      <colorScale>
        <cfvo type="min"/>
        <cfvo type="percentile" val="50"/>
        <cfvo type="max"/>
        <color rgb="FF63BE7B"/>
        <color rgb="FFFFEB84"/>
        <color rgb="FFF8696B"/>
      </colorScale>
    </cfRule>
  </conditionalFormatting>
  <conditionalFormatting sqref="U44:U61">
    <cfRule type="colorScale" priority="76">
      <colorScale>
        <cfvo type="min"/>
        <cfvo type="percentile" val="50"/>
        <cfvo type="max"/>
        <color rgb="FF63BE7B"/>
        <color rgb="FFFFEB84"/>
        <color rgb="FFF8696B"/>
      </colorScale>
    </cfRule>
  </conditionalFormatting>
  <conditionalFormatting sqref="V44:V61">
    <cfRule type="colorScale" priority="75">
      <colorScale>
        <cfvo type="min"/>
        <cfvo type="percentile" val="50"/>
        <cfvo type="max"/>
        <color rgb="FF63BE7B"/>
        <color rgb="FFFFEB84"/>
        <color rgb="FFF8696B"/>
      </colorScale>
    </cfRule>
  </conditionalFormatting>
  <conditionalFormatting sqref="W44:W61">
    <cfRule type="colorScale" priority="74">
      <colorScale>
        <cfvo type="min"/>
        <cfvo type="percentile" val="50"/>
        <cfvo type="max"/>
        <color rgb="FF63BE7B"/>
        <color rgb="FFFFEB84"/>
        <color rgb="FFF8696B"/>
      </colorScale>
    </cfRule>
  </conditionalFormatting>
  <conditionalFormatting sqref="X44:X61">
    <cfRule type="colorScale" priority="73">
      <colorScale>
        <cfvo type="min"/>
        <cfvo type="percentile" val="50"/>
        <cfvo type="max"/>
        <color rgb="FF63BE7B"/>
        <color rgb="FFFFEB84"/>
        <color rgb="FFF8696B"/>
      </colorScale>
    </cfRule>
  </conditionalFormatting>
  <conditionalFormatting sqref="Y44:Y46">
    <cfRule type="colorScale" priority="72">
      <colorScale>
        <cfvo type="min"/>
        <cfvo type="percentile" val="50"/>
        <cfvo type="max"/>
        <color rgb="FF63BE7B"/>
        <color rgb="FFFFEB84"/>
        <color rgb="FFF8696B"/>
      </colorScale>
    </cfRule>
  </conditionalFormatting>
  <conditionalFormatting sqref="Z44:Z46">
    <cfRule type="colorScale" priority="71">
      <colorScale>
        <cfvo type="min"/>
        <cfvo type="percentile" val="50"/>
        <cfvo type="max"/>
        <color rgb="FF63BE7B"/>
        <color rgb="FFFFEB84"/>
        <color rgb="FFF8696B"/>
      </colorScale>
    </cfRule>
  </conditionalFormatting>
  <conditionalFormatting sqref="AA44:AA46">
    <cfRule type="colorScale" priority="70">
      <colorScale>
        <cfvo type="min"/>
        <cfvo type="percentile" val="50"/>
        <cfvo type="max"/>
        <color rgb="FF63BE7B"/>
        <color rgb="FFFFEB84"/>
        <color rgb="FFF8696B"/>
      </colorScale>
    </cfRule>
  </conditionalFormatting>
  <conditionalFormatting sqref="J94:L94">
    <cfRule type="colorScale" priority="45">
      <colorScale>
        <cfvo type="min"/>
        <cfvo type="max"/>
        <color rgb="FF63BE7B"/>
        <color rgb="FFFCFCFF"/>
      </colorScale>
    </cfRule>
  </conditionalFormatting>
  <conditionalFormatting sqref="J93:L93">
    <cfRule type="colorScale" priority="44">
      <colorScale>
        <cfvo type="min"/>
        <cfvo type="max"/>
        <color rgb="FF63BE7B"/>
        <color rgb="FFFCFCFF"/>
      </colorScale>
    </cfRule>
  </conditionalFormatting>
  <conditionalFormatting sqref="J92:L92">
    <cfRule type="colorScale" priority="43">
      <colorScale>
        <cfvo type="min"/>
        <cfvo type="max"/>
        <color rgb="FF63BE7B"/>
        <color rgb="FFFCFCFF"/>
      </colorScale>
    </cfRule>
  </conditionalFormatting>
  <conditionalFormatting sqref="J91:L91">
    <cfRule type="colorScale" priority="42">
      <colorScale>
        <cfvo type="min"/>
        <cfvo type="max"/>
        <color rgb="FF63BE7B"/>
        <color rgb="FFFCFCFF"/>
      </colorScale>
    </cfRule>
  </conditionalFormatting>
  <conditionalFormatting sqref="J90:L90">
    <cfRule type="colorScale" priority="41">
      <colorScale>
        <cfvo type="min"/>
        <cfvo type="max"/>
        <color rgb="FF63BE7B"/>
        <color rgb="FFFCFCFF"/>
      </colorScale>
    </cfRule>
  </conditionalFormatting>
  <conditionalFormatting sqref="J89:L89">
    <cfRule type="colorScale" priority="40">
      <colorScale>
        <cfvo type="min"/>
        <cfvo type="max"/>
        <color rgb="FF63BE7B"/>
        <color rgb="FFFCFCFF"/>
      </colorScale>
    </cfRule>
  </conditionalFormatting>
  <conditionalFormatting sqref="J88:L88">
    <cfRule type="colorScale" priority="39">
      <colorScale>
        <cfvo type="min"/>
        <cfvo type="max"/>
        <color rgb="FF63BE7B"/>
        <color rgb="FFFCFCFF"/>
      </colorScale>
    </cfRule>
  </conditionalFormatting>
  <conditionalFormatting sqref="J87:L87">
    <cfRule type="colorScale" priority="38">
      <colorScale>
        <cfvo type="min"/>
        <cfvo type="max"/>
        <color rgb="FF63BE7B"/>
        <color rgb="FFFCFCFF"/>
      </colorScale>
    </cfRule>
  </conditionalFormatting>
  <conditionalFormatting sqref="J86:L86">
    <cfRule type="colorScale" priority="37">
      <colorScale>
        <cfvo type="min"/>
        <cfvo type="max"/>
        <color rgb="FF63BE7B"/>
        <color rgb="FFFCFCFF"/>
      </colorScale>
    </cfRule>
  </conditionalFormatting>
  <conditionalFormatting sqref="J85:L85">
    <cfRule type="colorScale" priority="36">
      <colorScale>
        <cfvo type="min"/>
        <cfvo type="max"/>
        <color rgb="FF63BE7B"/>
        <color rgb="FFFCFCFF"/>
      </colorScale>
    </cfRule>
  </conditionalFormatting>
  <conditionalFormatting sqref="J84:L84">
    <cfRule type="colorScale" priority="35">
      <colorScale>
        <cfvo type="min"/>
        <cfvo type="max"/>
        <color rgb="FF63BE7B"/>
        <color rgb="FFFCFCFF"/>
      </colorScale>
    </cfRule>
  </conditionalFormatting>
  <conditionalFormatting sqref="J83:L83">
    <cfRule type="colorScale" priority="34">
      <colorScale>
        <cfvo type="min"/>
        <cfvo type="max"/>
        <color rgb="FF63BE7B"/>
        <color rgb="FFFCFCFF"/>
      </colorScale>
    </cfRule>
  </conditionalFormatting>
  <conditionalFormatting sqref="J82:L82">
    <cfRule type="colorScale" priority="33">
      <colorScale>
        <cfvo type="min"/>
        <cfvo type="max"/>
        <color rgb="FF63BE7B"/>
        <color rgb="FFFCFCFF"/>
      </colorScale>
    </cfRule>
  </conditionalFormatting>
  <conditionalFormatting sqref="J81:L81">
    <cfRule type="colorScale" priority="32">
      <colorScale>
        <cfvo type="min"/>
        <cfvo type="max"/>
        <color rgb="FF63BE7B"/>
        <color rgb="FFFCFCFF"/>
      </colorScale>
    </cfRule>
  </conditionalFormatting>
  <conditionalFormatting sqref="J80:L80">
    <cfRule type="colorScale" priority="31">
      <colorScale>
        <cfvo type="min"/>
        <cfvo type="max"/>
        <color rgb="FF63BE7B"/>
        <color rgb="FFFCFCFF"/>
      </colorScale>
    </cfRule>
  </conditionalFormatting>
  <conditionalFormatting sqref="J79:L79">
    <cfRule type="colorScale" priority="30">
      <colorScale>
        <cfvo type="min"/>
        <cfvo type="max"/>
        <color rgb="FF63BE7B"/>
        <color rgb="FFFCFCFF"/>
      </colorScale>
    </cfRule>
  </conditionalFormatting>
  <conditionalFormatting sqref="J78:L78">
    <cfRule type="colorScale" priority="29">
      <colorScale>
        <cfvo type="min"/>
        <cfvo type="max"/>
        <color rgb="FF63BE7B"/>
        <color rgb="FFFCFCFF"/>
      </colorScale>
    </cfRule>
  </conditionalFormatting>
  <conditionalFormatting sqref="J77:K77">
    <cfRule type="colorScale" priority="28">
      <colorScale>
        <cfvo type="min"/>
        <cfvo type="max"/>
        <color rgb="FF63BE7B"/>
        <color rgb="FFFCFCFF"/>
      </colorScale>
    </cfRule>
  </conditionalFormatting>
  <conditionalFormatting sqref="J76:L76">
    <cfRule type="colorScale" priority="27">
      <colorScale>
        <cfvo type="min"/>
        <cfvo type="max"/>
        <color rgb="FF63BE7B"/>
        <color rgb="FFFCFCFF"/>
      </colorScale>
    </cfRule>
  </conditionalFormatting>
  <conditionalFormatting sqref="J95:L95">
    <cfRule type="colorScale" priority="25">
      <colorScale>
        <cfvo type="min"/>
        <cfvo type="max"/>
        <color rgb="FF63BE7B"/>
        <color rgb="FFFCFCFF"/>
      </colorScale>
    </cfRule>
  </conditionalFormatting>
  <conditionalFormatting sqref="J96:L96">
    <cfRule type="colorScale" priority="24">
      <colorScale>
        <cfvo type="min"/>
        <cfvo type="max"/>
        <color rgb="FF63BE7B"/>
        <color rgb="FFFCFCFF"/>
      </colorScale>
    </cfRule>
  </conditionalFormatting>
  <conditionalFormatting sqref="J97:L97">
    <cfRule type="colorScale" priority="23">
      <colorScale>
        <cfvo type="min"/>
        <cfvo type="max"/>
        <color rgb="FF63BE7B"/>
        <color rgb="FFFCFCFF"/>
      </colorScale>
    </cfRule>
  </conditionalFormatting>
  <conditionalFormatting sqref="J98:L98">
    <cfRule type="colorScale" priority="22">
      <colorScale>
        <cfvo type="min"/>
        <cfvo type="max"/>
        <color rgb="FF63BE7B"/>
        <color rgb="FFFCFCFF"/>
      </colorScale>
    </cfRule>
  </conditionalFormatting>
  <conditionalFormatting sqref="J99:L99">
    <cfRule type="colorScale" priority="21">
      <colorScale>
        <cfvo type="min"/>
        <cfvo type="max"/>
        <color rgb="FF63BE7B"/>
        <color rgb="FFFCFCFF"/>
      </colorScale>
    </cfRule>
  </conditionalFormatting>
  <conditionalFormatting sqref="S76:U76">
    <cfRule type="colorScale" priority="20">
      <colorScale>
        <cfvo type="min"/>
        <cfvo type="max"/>
        <color rgb="FF63BE7B"/>
        <color rgb="FFFCFCFF"/>
      </colorScale>
    </cfRule>
  </conditionalFormatting>
  <conditionalFormatting sqref="S77:U77">
    <cfRule type="colorScale" priority="19">
      <colorScale>
        <cfvo type="min"/>
        <cfvo type="max"/>
        <color rgb="FF63BE7B"/>
        <color rgb="FFFCFCFF"/>
      </colorScale>
    </cfRule>
  </conditionalFormatting>
  <conditionalFormatting sqref="S78:U78">
    <cfRule type="colorScale" priority="18">
      <colorScale>
        <cfvo type="min"/>
        <cfvo type="max"/>
        <color rgb="FF63BE7B"/>
        <color rgb="FFFCFCFF"/>
      </colorScale>
    </cfRule>
  </conditionalFormatting>
  <conditionalFormatting sqref="S79:U79">
    <cfRule type="colorScale" priority="17">
      <colorScale>
        <cfvo type="min"/>
        <cfvo type="max"/>
        <color rgb="FF63BE7B"/>
        <color rgb="FFFCFCFF"/>
      </colorScale>
    </cfRule>
  </conditionalFormatting>
  <conditionalFormatting sqref="S80:U80">
    <cfRule type="colorScale" priority="16">
      <colorScale>
        <cfvo type="min"/>
        <cfvo type="max"/>
        <color rgb="FF63BE7B"/>
        <color rgb="FFFCFCFF"/>
      </colorScale>
    </cfRule>
  </conditionalFormatting>
  <conditionalFormatting sqref="S81:U81">
    <cfRule type="colorScale" priority="15">
      <colorScale>
        <cfvo type="min"/>
        <cfvo type="max"/>
        <color rgb="FF63BE7B"/>
        <color rgb="FFFCFCFF"/>
      </colorScale>
    </cfRule>
  </conditionalFormatting>
  <conditionalFormatting sqref="S82:U82">
    <cfRule type="colorScale" priority="14">
      <colorScale>
        <cfvo type="min"/>
        <cfvo type="max"/>
        <color rgb="FF63BE7B"/>
        <color rgb="FFFCFCFF"/>
      </colorScale>
    </cfRule>
  </conditionalFormatting>
  <conditionalFormatting sqref="S83:U83">
    <cfRule type="colorScale" priority="13">
      <colorScale>
        <cfvo type="min"/>
        <cfvo type="max"/>
        <color rgb="FF63BE7B"/>
        <color rgb="FFFCFCFF"/>
      </colorScale>
    </cfRule>
  </conditionalFormatting>
  <conditionalFormatting sqref="S84:U84">
    <cfRule type="colorScale" priority="12">
      <colorScale>
        <cfvo type="min"/>
        <cfvo type="max"/>
        <color rgb="FF63BE7B"/>
        <color rgb="FFFCFCFF"/>
      </colorScale>
    </cfRule>
  </conditionalFormatting>
  <conditionalFormatting sqref="S85:U85">
    <cfRule type="colorScale" priority="11">
      <colorScale>
        <cfvo type="min"/>
        <cfvo type="max"/>
        <color rgb="FF63BE7B"/>
        <color rgb="FFFCFCFF"/>
      </colorScale>
    </cfRule>
  </conditionalFormatting>
  <conditionalFormatting sqref="S86:U86">
    <cfRule type="colorScale" priority="10">
      <colorScale>
        <cfvo type="min"/>
        <cfvo type="max"/>
        <color rgb="FF63BE7B"/>
        <color rgb="FFFCFCFF"/>
      </colorScale>
    </cfRule>
  </conditionalFormatting>
  <conditionalFormatting sqref="S87:U87">
    <cfRule type="colorScale" priority="9">
      <colorScale>
        <cfvo type="min"/>
        <cfvo type="max"/>
        <color rgb="FF63BE7B"/>
        <color rgb="FFFCFCFF"/>
      </colorScale>
    </cfRule>
  </conditionalFormatting>
  <conditionalFormatting sqref="S88:U88">
    <cfRule type="colorScale" priority="8">
      <colorScale>
        <cfvo type="min"/>
        <cfvo type="max"/>
        <color rgb="FF63BE7B"/>
        <color rgb="FFFCFCFF"/>
      </colorScale>
    </cfRule>
  </conditionalFormatting>
  <conditionalFormatting sqref="S89:U89">
    <cfRule type="colorScale" priority="7">
      <colorScale>
        <cfvo type="min"/>
        <cfvo type="max"/>
        <color rgb="FF63BE7B"/>
        <color rgb="FFFCFCFF"/>
      </colorScale>
    </cfRule>
  </conditionalFormatting>
  <conditionalFormatting sqref="S90:U90">
    <cfRule type="colorScale" priority="6">
      <colorScale>
        <cfvo type="min"/>
        <cfvo type="max"/>
        <color rgb="FF63BE7B"/>
        <color rgb="FFFCFCFF"/>
      </colorScale>
    </cfRule>
  </conditionalFormatting>
  <conditionalFormatting sqref="S91:U91">
    <cfRule type="colorScale" priority="5">
      <colorScale>
        <cfvo type="min"/>
        <cfvo type="max"/>
        <color rgb="FF63BE7B"/>
        <color rgb="FFFCFCFF"/>
      </colorScale>
    </cfRule>
  </conditionalFormatting>
  <conditionalFormatting sqref="S92:U92">
    <cfRule type="colorScale" priority="4">
      <colorScale>
        <cfvo type="min"/>
        <cfvo type="max"/>
        <color rgb="FF63BE7B"/>
        <color rgb="FFFCFCFF"/>
      </colorScale>
    </cfRule>
  </conditionalFormatting>
  <conditionalFormatting sqref="S93:U93">
    <cfRule type="colorScale" priority="3">
      <colorScale>
        <cfvo type="min"/>
        <cfvo type="max"/>
        <color rgb="FF63BE7B"/>
        <color rgb="FFFCFCFF"/>
      </colorScale>
    </cfRule>
  </conditionalFormatting>
  <conditionalFormatting sqref="S94:U94">
    <cfRule type="colorScale" priority="2">
      <colorScale>
        <cfvo type="min"/>
        <cfvo type="max"/>
        <color rgb="FF63BE7B"/>
        <color rgb="FFFCFCFF"/>
      </colorScale>
    </cfRule>
  </conditionalFormatting>
  <conditionalFormatting sqref="S95:U95">
    <cfRule type="colorScale" priority="1">
      <colorScale>
        <cfvo type="min"/>
        <cfvo type="max"/>
        <color rgb="FF63BE7B"/>
        <color rgb="FFFCFCFF"/>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70718-36FE-470E-AF0B-9B882F1AE2F6}">
  <dimension ref="A1:AC33"/>
  <sheetViews>
    <sheetView showGridLines="0" zoomScaleNormal="100" workbookViewId="0">
      <pane xSplit="2" ySplit="3" topLeftCell="C4" activePane="bottomRight" state="frozen"/>
      <selection pane="topRight" activeCell="C1" sqref="C1"/>
      <selection pane="bottomLeft" activeCell="A4" sqref="A4"/>
      <selection pane="bottomRight" activeCell="G24" sqref="G24"/>
    </sheetView>
  </sheetViews>
  <sheetFormatPr baseColWidth="10" defaultColWidth="8.7109375" defaultRowHeight="15" x14ac:dyDescent="0.25"/>
  <cols>
    <col min="1" max="2" width="10" style="17" customWidth="1"/>
    <col min="3" max="26" width="12" style="17" customWidth="1"/>
    <col min="27" max="27" width="12.7109375" style="17" bestFit="1" customWidth="1"/>
    <col min="28" max="29" width="12" style="17" customWidth="1"/>
    <col min="30" max="16384" width="8.7109375" style="17"/>
  </cols>
  <sheetData>
    <row r="1" spans="1:29" ht="25.5" customHeight="1" x14ac:dyDescent="0.25">
      <c r="A1" s="51" t="s">
        <v>38</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row>
    <row r="2" spans="1:29" ht="15.75" customHeight="1" x14ac:dyDescent="0.25">
      <c r="A2" s="52" t="s">
        <v>39</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row>
    <row r="3" spans="1:29" ht="31.5" customHeight="1" x14ac:dyDescent="0.25">
      <c r="A3" s="18" t="s">
        <v>40</v>
      </c>
      <c r="B3" s="18" t="s">
        <v>41</v>
      </c>
      <c r="C3" s="19" t="s">
        <v>42</v>
      </c>
      <c r="D3" s="19" t="s">
        <v>43</v>
      </c>
      <c r="E3" s="19" t="s">
        <v>44</v>
      </c>
      <c r="F3" s="19" t="s">
        <v>45</v>
      </c>
      <c r="G3" s="19" t="s">
        <v>46</v>
      </c>
      <c r="H3" s="19" t="s">
        <v>47</v>
      </c>
      <c r="I3" s="19" t="s">
        <v>48</v>
      </c>
      <c r="J3" s="19" t="s">
        <v>49</v>
      </c>
      <c r="K3" s="19" t="s">
        <v>50</v>
      </c>
      <c r="L3" s="19" t="s">
        <v>51</v>
      </c>
      <c r="M3" s="19" t="s">
        <v>52</v>
      </c>
      <c r="N3" s="19" t="s">
        <v>53</v>
      </c>
      <c r="O3" s="19" t="s">
        <v>54</v>
      </c>
      <c r="P3" s="19" t="s">
        <v>55</v>
      </c>
      <c r="Q3" s="19" t="s">
        <v>56</v>
      </c>
      <c r="R3" s="19" t="s">
        <v>57</v>
      </c>
      <c r="S3" s="19" t="s">
        <v>58</v>
      </c>
      <c r="T3" s="19" t="s">
        <v>59</v>
      </c>
      <c r="U3" s="19" t="s">
        <v>60</v>
      </c>
      <c r="V3" s="19" t="s">
        <v>61</v>
      </c>
      <c r="W3" s="19" t="s">
        <v>62</v>
      </c>
      <c r="X3" s="19" t="s">
        <v>63</v>
      </c>
      <c r="Y3" s="19" t="s">
        <v>64</v>
      </c>
      <c r="Z3" s="19" t="s">
        <v>65</v>
      </c>
      <c r="AA3" s="20" t="s">
        <v>66</v>
      </c>
      <c r="AB3" s="21" t="s">
        <v>67</v>
      </c>
      <c r="AC3" s="22" t="s">
        <v>68</v>
      </c>
    </row>
    <row r="4" spans="1:29" ht="15" customHeight="1" x14ac:dyDescent="0.25">
      <c r="A4" s="29" t="s">
        <v>98</v>
      </c>
      <c r="B4" s="30" t="s">
        <v>7</v>
      </c>
      <c r="C4" s="31"/>
      <c r="D4" s="31"/>
      <c r="E4" s="31"/>
      <c r="F4" s="31"/>
      <c r="G4" s="31"/>
      <c r="H4" s="31"/>
      <c r="I4" s="31"/>
      <c r="J4" s="31"/>
      <c r="K4" s="31"/>
      <c r="L4" s="31"/>
      <c r="M4" s="31"/>
      <c r="N4" s="31"/>
      <c r="O4" s="31"/>
      <c r="P4" s="31"/>
      <c r="Q4" s="31"/>
      <c r="R4" s="31">
        <f>IF(Triangulo1!S16=0,"-",Triangulo1!S16)</f>
        <v>14721902</v>
      </c>
      <c r="S4" s="31">
        <f>IF(Triangulo1!T16=0,"-",Triangulo1!T16)</f>
        <v>14723975</v>
      </c>
      <c r="T4" s="31">
        <f>IF(Triangulo1!U16=0,"-",Triangulo1!U16)</f>
        <v>14724778</v>
      </c>
      <c r="U4" s="31">
        <f>IF(Triangulo1!V16=0,"-",Triangulo1!V16)</f>
        <v>14725216</v>
      </c>
      <c r="V4" s="31">
        <f>IF(Triangulo1!W16=0,"-",Triangulo1!W16)</f>
        <v>14725343</v>
      </c>
      <c r="W4" s="31">
        <f>IF(Triangulo1!X16=0,"-",Triangulo1!X16)</f>
        <v>14725356</v>
      </c>
      <c r="X4" s="31">
        <f>IF(Triangulo1!Y16=0,"-",Triangulo1!Y16)</f>
        <v>14725361</v>
      </c>
      <c r="Y4" s="31">
        <f>IF(Triangulo1!Z16=0,"-",Triangulo1!Z16)</f>
        <v>14725369</v>
      </c>
      <c r="Z4" s="26">
        <f>IF(Triangulo1!AA16=0,"-",Triangulo1!AA16)</f>
        <v>14725385</v>
      </c>
      <c r="AA4" s="32">
        <f>+Z4</f>
        <v>14725385</v>
      </c>
      <c r="AB4" s="28">
        <f>+Z4</f>
        <v>14725385</v>
      </c>
      <c r="AC4" s="27">
        <f>AA4-AB4</f>
        <v>0</v>
      </c>
    </row>
    <row r="5" spans="1:29" ht="15" customHeight="1" x14ac:dyDescent="0.25">
      <c r="A5" s="23" t="s">
        <v>69</v>
      </c>
      <c r="B5" s="24" t="s">
        <v>8</v>
      </c>
      <c r="C5" s="25"/>
      <c r="D5" s="25"/>
      <c r="E5" s="25"/>
      <c r="F5" s="25"/>
      <c r="G5" s="25"/>
      <c r="H5" s="25"/>
      <c r="I5" s="25"/>
      <c r="J5" s="25"/>
      <c r="K5" s="25"/>
      <c r="L5" s="25"/>
      <c r="M5" s="25"/>
      <c r="N5" s="25"/>
      <c r="O5" s="25"/>
      <c r="P5" s="25"/>
      <c r="Q5" s="25">
        <f>IF(Triangulo1!R17=0,"-",Triangulo1!R17)</f>
        <v>17727251</v>
      </c>
      <c r="R5" s="25">
        <f>IF(Triangulo1!S17=0,"-",Triangulo1!S17)</f>
        <v>17731572</v>
      </c>
      <c r="S5" s="25">
        <f>IF(Triangulo1!T17=0,"-",Triangulo1!T17)</f>
        <v>17733454</v>
      </c>
      <c r="T5" s="25">
        <f>IF(Triangulo1!U17=0,"-",Triangulo1!U17)</f>
        <v>17734435</v>
      </c>
      <c r="U5" s="25">
        <f>IF(Triangulo1!V17=0,"-",Triangulo1!V17)</f>
        <v>17734974</v>
      </c>
      <c r="V5" s="25">
        <f>IF(Triangulo1!W17=0,"-",Triangulo1!W17)</f>
        <v>17735197</v>
      </c>
      <c r="W5" s="25">
        <f>IF(Triangulo1!X17=0,"-",Triangulo1!X17)</f>
        <v>17735258</v>
      </c>
      <c r="X5" s="25">
        <f>IF(Triangulo1!Y17=0,"-",Triangulo1!Y17)</f>
        <v>17735268</v>
      </c>
      <c r="Y5" s="26">
        <f>IF(Triangulo1!Z17=0,"-",Triangulo1!Z17)</f>
        <v>17735279</v>
      </c>
      <c r="Z5" s="47">
        <f>+Y5*Y$30</f>
        <v>17735298.270448435</v>
      </c>
      <c r="AA5" s="32">
        <f t="shared" ref="AA5:AA27" si="0">+Z5</f>
        <v>17735298.270448435</v>
      </c>
      <c r="AB5" s="28">
        <f>+Y5</f>
        <v>17735279</v>
      </c>
      <c r="AC5" s="27">
        <f t="shared" ref="AC5:AC27" si="1">AA5-AB5</f>
        <v>19.270448435097933</v>
      </c>
    </row>
    <row r="6" spans="1:29" ht="15" customHeight="1" x14ac:dyDescent="0.25">
      <c r="A6" s="29" t="s">
        <v>70</v>
      </c>
      <c r="B6" s="30" t="s">
        <v>10</v>
      </c>
      <c r="C6" s="31"/>
      <c r="D6" s="31"/>
      <c r="E6" s="31"/>
      <c r="F6" s="31"/>
      <c r="G6" s="31"/>
      <c r="H6" s="31"/>
      <c r="I6" s="31"/>
      <c r="J6" s="31"/>
      <c r="K6" s="31"/>
      <c r="L6" s="31"/>
      <c r="M6" s="31"/>
      <c r="N6" s="31"/>
      <c r="O6" s="31"/>
      <c r="P6" s="31">
        <f>IF(Triangulo1!Q18=0,"-",Triangulo1!Q18)</f>
        <v>11864201</v>
      </c>
      <c r="Q6" s="31">
        <f>IF(Triangulo1!R18=0,"-",Triangulo1!R18)</f>
        <v>11873586</v>
      </c>
      <c r="R6" s="31">
        <f>IF(Triangulo1!S18=0,"-",Triangulo1!S18)</f>
        <v>11878223</v>
      </c>
      <c r="S6" s="31">
        <f>IF(Triangulo1!T18=0,"-",Triangulo1!T18)</f>
        <v>11880065</v>
      </c>
      <c r="T6" s="31">
        <f>IF(Triangulo1!U18=0,"-",Triangulo1!U18)</f>
        <v>11880905</v>
      </c>
      <c r="U6" s="31">
        <f>IF(Triangulo1!V18=0,"-",Triangulo1!V18)</f>
        <v>11881492</v>
      </c>
      <c r="V6" s="31">
        <f>IF(Triangulo1!W18=0,"-",Triangulo1!W18)</f>
        <v>11881607</v>
      </c>
      <c r="W6" s="31">
        <f>IF(Triangulo1!X18=0,"-",Triangulo1!X18)</f>
        <v>11881725</v>
      </c>
      <c r="X6" s="26">
        <f>IF(Triangulo1!Y18=0,"-",Triangulo1!Y18)</f>
        <v>11881761</v>
      </c>
      <c r="Y6" s="32">
        <f>+X6*X$30</f>
        <v>11881767.954685289</v>
      </c>
      <c r="Z6" s="47">
        <f t="shared" ref="Z6" si="2">+Y6*Y$30</f>
        <v>11881780.864941547</v>
      </c>
      <c r="AA6" s="32">
        <f t="shared" si="0"/>
        <v>11881780.864941547</v>
      </c>
      <c r="AB6" s="28">
        <f>+X6</f>
        <v>11881761</v>
      </c>
      <c r="AC6" s="27">
        <f t="shared" si="1"/>
        <v>19.864941546693444</v>
      </c>
    </row>
    <row r="7" spans="1:29" ht="15" customHeight="1" x14ac:dyDescent="0.25">
      <c r="A7" s="23" t="s">
        <v>71</v>
      </c>
      <c r="B7" s="24" t="s">
        <v>11</v>
      </c>
      <c r="C7" s="25"/>
      <c r="D7" s="25"/>
      <c r="E7" s="25"/>
      <c r="F7" s="25"/>
      <c r="G7" s="25"/>
      <c r="H7" s="25"/>
      <c r="I7" s="25"/>
      <c r="J7" s="25"/>
      <c r="K7" s="25"/>
      <c r="L7" s="25"/>
      <c r="M7" s="25"/>
      <c r="N7" s="25"/>
      <c r="O7" s="25">
        <f>IF(Triangulo1!P19=0,"-",Triangulo1!P19)</f>
        <v>19426010</v>
      </c>
      <c r="P7" s="25">
        <f>IF(Triangulo1!Q19=0,"-",Triangulo1!Q19)</f>
        <v>19444545</v>
      </c>
      <c r="Q7" s="25">
        <f>IF(Triangulo1!R19=0,"-",Triangulo1!R19)</f>
        <v>19453256</v>
      </c>
      <c r="R7" s="25">
        <f>IF(Triangulo1!S19=0,"-",Triangulo1!S19)</f>
        <v>19457999</v>
      </c>
      <c r="S7" s="25">
        <f>IF(Triangulo1!T19=0,"-",Triangulo1!T19)</f>
        <v>19459976</v>
      </c>
      <c r="T7" s="25">
        <f>IF(Triangulo1!U19=0,"-",Triangulo1!U19)</f>
        <v>19461146</v>
      </c>
      <c r="U7" s="25">
        <f>IF(Triangulo1!V19=0,"-",Triangulo1!V19)</f>
        <v>19461559</v>
      </c>
      <c r="V7" s="25">
        <f>IF(Triangulo1!W19=0,"-",Triangulo1!W19)</f>
        <v>19461649</v>
      </c>
      <c r="W7" s="26">
        <f>IF(Triangulo1!X19=0,"-",Triangulo1!X19)</f>
        <v>19461650</v>
      </c>
      <c r="X7" s="32">
        <f>+W7*W$30</f>
        <v>19461672.383667</v>
      </c>
      <c r="Y7" s="32">
        <f t="shared" ref="Y7:Z7" si="3">+X7*X$30</f>
        <v>19461683.775059793</v>
      </c>
      <c r="Z7" s="47">
        <f t="shared" si="3"/>
        <v>19461704.92135096</v>
      </c>
      <c r="AA7" s="32">
        <f t="shared" si="0"/>
        <v>19461704.92135096</v>
      </c>
      <c r="AB7" s="28">
        <f>+W7</f>
        <v>19461650</v>
      </c>
      <c r="AC7" s="27">
        <f t="shared" si="1"/>
        <v>54.921350959688425</v>
      </c>
    </row>
    <row r="8" spans="1:29" ht="15" customHeight="1" x14ac:dyDescent="0.25">
      <c r="A8" s="29" t="s">
        <v>72</v>
      </c>
      <c r="B8" s="30" t="s">
        <v>12</v>
      </c>
      <c r="C8" s="31"/>
      <c r="D8" s="31"/>
      <c r="E8" s="31"/>
      <c r="F8" s="31"/>
      <c r="G8" s="31"/>
      <c r="H8" s="31"/>
      <c r="I8" s="31"/>
      <c r="J8" s="31"/>
      <c r="K8" s="31"/>
      <c r="L8" s="31"/>
      <c r="M8" s="31"/>
      <c r="N8" s="31">
        <f>IF(Triangulo1!O20=0,"-",Triangulo1!O20)</f>
        <v>11754449</v>
      </c>
      <c r="O8" s="31">
        <f>IF(Triangulo1!P20=0,"-",Triangulo1!P20)</f>
        <v>11785976</v>
      </c>
      <c r="P8" s="31">
        <f>IF(Triangulo1!Q20=0,"-",Triangulo1!Q20)</f>
        <v>11801623</v>
      </c>
      <c r="Q8" s="31">
        <f>IF(Triangulo1!R20=0,"-",Triangulo1!R20)</f>
        <v>11808422</v>
      </c>
      <c r="R8" s="31">
        <f>IF(Triangulo1!S20=0,"-",Triangulo1!S20)</f>
        <v>11812430</v>
      </c>
      <c r="S8" s="31">
        <f>IF(Triangulo1!T20=0,"-",Triangulo1!T20)</f>
        <v>11814677</v>
      </c>
      <c r="T8" s="31">
        <f>IF(Triangulo1!U20=0,"-",Triangulo1!U20)</f>
        <v>11815553</v>
      </c>
      <c r="U8" s="31">
        <f>IF(Triangulo1!V20=0,"-",Triangulo1!V20)</f>
        <v>11815994</v>
      </c>
      <c r="V8" s="26">
        <f>IF(Triangulo1!W20=0,"-",Triangulo1!W20)</f>
        <v>11816173</v>
      </c>
      <c r="W8" s="32">
        <f>+V8*V$30</f>
        <v>11816208.74272272</v>
      </c>
      <c r="X8" s="32">
        <f t="shared" ref="X8:Z8" si="4">+W8*W$30</f>
        <v>11816222.333044285</v>
      </c>
      <c r="Y8" s="32">
        <f t="shared" si="4"/>
        <v>11816229.249368189</v>
      </c>
      <c r="Z8" s="47">
        <f t="shared" si="4"/>
        <v>11816242.088412698</v>
      </c>
      <c r="AA8" s="32">
        <f t="shared" si="0"/>
        <v>11816242.088412698</v>
      </c>
      <c r="AB8" s="28">
        <f>+V8</f>
        <v>11816173</v>
      </c>
      <c r="AC8" s="27">
        <f t="shared" si="1"/>
        <v>69.088412698358297</v>
      </c>
    </row>
    <row r="9" spans="1:29" ht="15" customHeight="1" x14ac:dyDescent="0.25">
      <c r="A9" s="23" t="s">
        <v>73</v>
      </c>
      <c r="B9" s="24" t="s">
        <v>13</v>
      </c>
      <c r="C9" s="25"/>
      <c r="D9" s="25"/>
      <c r="E9" s="25"/>
      <c r="F9" s="25"/>
      <c r="G9" s="25"/>
      <c r="H9" s="25"/>
      <c r="I9" s="25"/>
      <c r="J9" s="25"/>
      <c r="K9" s="25"/>
      <c r="L9" s="25"/>
      <c r="M9" s="25">
        <f>IF(Triangulo1!N21=0,"-",Triangulo1!N21)</f>
        <v>12930641</v>
      </c>
      <c r="N9" s="25">
        <f>IF(Triangulo1!O21=0,"-",Triangulo1!O21)</f>
        <v>12990612</v>
      </c>
      <c r="O9" s="25">
        <f>IF(Triangulo1!P21=0,"-",Triangulo1!P21)</f>
        <v>13017211</v>
      </c>
      <c r="P9" s="25">
        <f>IF(Triangulo1!Q21=0,"-",Triangulo1!Q21)</f>
        <v>13032985</v>
      </c>
      <c r="Q9" s="25">
        <f>IF(Triangulo1!R21=0,"-",Triangulo1!R21)</f>
        <v>13041104</v>
      </c>
      <c r="R9" s="25">
        <f>IF(Triangulo1!S21=0,"-",Triangulo1!S21)</f>
        <v>13045224</v>
      </c>
      <c r="S9" s="25">
        <f>IF(Triangulo1!T21=0,"-",Triangulo1!T21)</f>
        <v>13046906</v>
      </c>
      <c r="T9" s="25">
        <f>IF(Triangulo1!U21=0,"-",Triangulo1!U21)</f>
        <v>13047997</v>
      </c>
      <c r="U9" s="26">
        <f>IF(Triangulo1!V21=0,"-",Triangulo1!V21)</f>
        <v>13048471</v>
      </c>
      <c r="V9" s="32">
        <f>+U9*U$30</f>
        <v>13048597.655310834</v>
      </c>
      <c r="W9" s="32">
        <f t="shared" ref="W9:Z9" si="5">+V9*V$30</f>
        <v>13048637.125992913</v>
      </c>
      <c r="X9" s="32">
        <f t="shared" si="5"/>
        <v>13048652.133782499</v>
      </c>
      <c r="Y9" s="32">
        <f t="shared" si="5"/>
        <v>13048659.771477705</v>
      </c>
      <c r="Z9" s="47">
        <f t="shared" si="5"/>
        <v>13048673.949632177</v>
      </c>
      <c r="AA9" s="32">
        <f t="shared" si="0"/>
        <v>13048673.949632177</v>
      </c>
      <c r="AB9" s="28">
        <f>+U9</f>
        <v>13048471</v>
      </c>
      <c r="AC9" s="27">
        <f t="shared" si="1"/>
        <v>202.94963217712939</v>
      </c>
    </row>
    <row r="10" spans="1:29" ht="15" customHeight="1" x14ac:dyDescent="0.25">
      <c r="A10" s="29" t="s">
        <v>74</v>
      </c>
      <c r="B10" s="30" t="s">
        <v>14</v>
      </c>
      <c r="C10" s="31"/>
      <c r="D10" s="31"/>
      <c r="E10" s="31"/>
      <c r="F10" s="31"/>
      <c r="G10" s="31"/>
      <c r="H10" s="31"/>
      <c r="I10" s="31"/>
      <c r="J10" s="31"/>
      <c r="K10" s="31"/>
      <c r="L10" s="31">
        <f>IF(Triangulo1!M22=0,"-",Triangulo1!M22)</f>
        <v>10574369</v>
      </c>
      <c r="M10" s="31">
        <f>IF(Triangulo1!N22=0,"-",Triangulo1!N22)</f>
        <v>10704764</v>
      </c>
      <c r="N10" s="31">
        <f>IF(Triangulo1!O22=0,"-",Triangulo1!O22)</f>
        <v>10779530</v>
      </c>
      <c r="O10" s="31">
        <f>IF(Triangulo1!P22=0,"-",Triangulo1!P22)</f>
        <v>10810916</v>
      </c>
      <c r="P10" s="31">
        <f>IF(Triangulo1!Q22=0,"-",Triangulo1!Q22)</f>
        <v>10825407</v>
      </c>
      <c r="Q10" s="31">
        <f>IF(Triangulo1!R22=0,"-",Triangulo1!R22)</f>
        <v>10831969</v>
      </c>
      <c r="R10" s="31">
        <f>IF(Triangulo1!S22=0,"-",Triangulo1!S22)</f>
        <v>10836654</v>
      </c>
      <c r="S10" s="31">
        <f>IF(Triangulo1!T22=0,"-",Triangulo1!T22)</f>
        <v>10839043</v>
      </c>
      <c r="T10" s="26">
        <f>IF(Triangulo1!U22=0,"-",Triangulo1!U22)</f>
        <v>10840140</v>
      </c>
      <c r="U10" s="32">
        <f>+T10*T$30</f>
        <v>10840493.57526245</v>
      </c>
      <c r="V10" s="32">
        <f t="shared" ref="V10:Z10" si="6">+U10*U$30</f>
        <v>10840598.798785064</v>
      </c>
      <c r="W10" s="32">
        <f t="shared" si="6"/>
        <v>10840631.590494951</v>
      </c>
      <c r="X10" s="32">
        <f t="shared" si="6"/>
        <v>10840644.05876396</v>
      </c>
      <c r="Y10" s="32">
        <f t="shared" si="6"/>
        <v>10840650.404058043</v>
      </c>
      <c r="Z10" s="47">
        <f t="shared" si="6"/>
        <v>10840662.183077399</v>
      </c>
      <c r="AA10" s="32">
        <f t="shared" si="0"/>
        <v>10840662.183077399</v>
      </c>
      <c r="AB10" s="28">
        <f>+T10</f>
        <v>10840140</v>
      </c>
      <c r="AC10" s="27">
        <f t="shared" si="1"/>
        <v>522.1830773986876</v>
      </c>
    </row>
    <row r="11" spans="1:29" ht="15" customHeight="1" x14ac:dyDescent="0.25">
      <c r="A11" s="23" t="s">
        <v>75</v>
      </c>
      <c r="B11" s="24" t="s">
        <v>15</v>
      </c>
      <c r="C11" s="25"/>
      <c r="D11" s="25"/>
      <c r="E11" s="25"/>
      <c r="F11" s="25"/>
      <c r="G11" s="25"/>
      <c r="H11" s="25"/>
      <c r="I11" s="25"/>
      <c r="J11" s="25"/>
      <c r="K11" s="25">
        <f>IF(Triangulo1!L23=0,"-",Triangulo1!L23)</f>
        <v>13586619</v>
      </c>
      <c r="L11" s="25">
        <f>IF(Triangulo1!M23=0,"-",Triangulo1!M23)</f>
        <v>13861205</v>
      </c>
      <c r="M11" s="25">
        <f>IF(Triangulo1!N23=0,"-",Triangulo1!N23)</f>
        <v>13987078</v>
      </c>
      <c r="N11" s="25">
        <f>IF(Triangulo1!O23=0,"-",Triangulo1!O23)</f>
        <v>14043493</v>
      </c>
      <c r="O11" s="25">
        <f>IF(Triangulo1!P23=0,"-",Triangulo1!P23)</f>
        <v>14079323</v>
      </c>
      <c r="P11" s="25">
        <f>IF(Triangulo1!Q23=0,"-",Triangulo1!Q23)</f>
        <v>14095393</v>
      </c>
      <c r="Q11" s="25">
        <f>IF(Triangulo1!R23=0,"-",Triangulo1!R23)</f>
        <v>14104571</v>
      </c>
      <c r="R11" s="25">
        <f>IF(Triangulo1!S23=0,"-",Triangulo1!S23)</f>
        <v>14109322</v>
      </c>
      <c r="S11" s="26">
        <f>IF(Triangulo1!T23=0,"-",Triangulo1!T23)</f>
        <v>14111136</v>
      </c>
      <c r="T11" s="32">
        <f>+S11*S$30</f>
        <v>14112108.623342341</v>
      </c>
      <c r="U11" s="32">
        <f t="shared" ref="U11:Y11" si="7">+T11*T$30</f>
        <v>14112568.92113464</v>
      </c>
      <c r="V11" s="32">
        <f t="shared" si="7"/>
        <v>14112705.905138617</v>
      </c>
      <c r="W11" s="32">
        <f t="shared" si="7"/>
        <v>14112748.594640031</v>
      </c>
      <c r="X11" s="32">
        <f t="shared" si="7"/>
        <v>14112764.826309236</v>
      </c>
      <c r="Y11" s="32">
        <f t="shared" si="7"/>
        <v>14112773.086855624</v>
      </c>
      <c r="Z11" s="47">
        <f>+Y11*Y$30</f>
        <v>14112788.421233281</v>
      </c>
      <c r="AA11" s="32">
        <f t="shared" si="0"/>
        <v>14112788.421233281</v>
      </c>
      <c r="AB11" s="28">
        <f>+S11</f>
        <v>14111136</v>
      </c>
      <c r="AC11" s="27">
        <f t="shared" si="1"/>
        <v>1652.4212332814932</v>
      </c>
    </row>
    <row r="12" spans="1:29" ht="15" customHeight="1" x14ac:dyDescent="0.25">
      <c r="A12" s="29" t="s">
        <v>76</v>
      </c>
      <c r="B12" s="30" t="s">
        <v>16</v>
      </c>
      <c r="C12" s="31"/>
      <c r="D12" s="31"/>
      <c r="E12" s="31"/>
      <c r="F12" s="31"/>
      <c r="G12" s="31"/>
      <c r="H12" s="31"/>
      <c r="I12" s="31"/>
      <c r="J12" s="31">
        <f>IF(Triangulo1!K24=0,"-",Triangulo1!K24)</f>
        <v>14684360</v>
      </c>
      <c r="K12" s="31">
        <f>IF(Triangulo1!L24=0,"-",Triangulo1!L24)</f>
        <v>15224487</v>
      </c>
      <c r="L12" s="31">
        <f>IF(Triangulo1!M24=0,"-",Triangulo1!M24)</f>
        <v>15505624</v>
      </c>
      <c r="M12" s="31">
        <f>IF(Triangulo1!N24=0,"-",Triangulo1!N24)</f>
        <v>15616491</v>
      </c>
      <c r="N12" s="31">
        <f>IF(Triangulo1!O24=0,"-",Triangulo1!O24)</f>
        <v>15669883</v>
      </c>
      <c r="O12" s="31">
        <f>IF(Triangulo1!P24=0,"-",Triangulo1!P24)</f>
        <v>15701026</v>
      </c>
      <c r="P12" s="31">
        <f>IF(Triangulo1!Q24=0,"-",Triangulo1!Q24)</f>
        <v>15717007</v>
      </c>
      <c r="Q12" s="31">
        <f>IF(Triangulo1!R24=0,"-",Triangulo1!R24)</f>
        <v>15725357</v>
      </c>
      <c r="R12" s="26">
        <f>IF(Triangulo1!S24=0,"-",Triangulo1!S24)</f>
        <v>15729334</v>
      </c>
      <c r="S12" s="32">
        <f>+R12*R30</f>
        <v>15731536.513082536</v>
      </c>
      <c r="T12" s="32">
        <f t="shared" ref="T12:Z12" si="8">+S12*S30</f>
        <v>15732620.824056756</v>
      </c>
      <c r="U12" s="32">
        <f t="shared" si="8"/>
        <v>15733133.978456687</v>
      </c>
      <c r="V12" s="32">
        <f t="shared" si="8"/>
        <v>15733286.692516014</v>
      </c>
      <c r="W12" s="32">
        <f t="shared" si="8"/>
        <v>15733334.284109648</v>
      </c>
      <c r="X12" s="32">
        <f t="shared" si="8"/>
        <v>15733352.379683014</v>
      </c>
      <c r="Y12" s="47">
        <f t="shared" si="8"/>
        <v>15733361.588798931</v>
      </c>
      <c r="Z12" s="32">
        <f t="shared" si="8"/>
        <v>15733378.684043568</v>
      </c>
      <c r="AA12" s="32">
        <f t="shared" si="0"/>
        <v>15733378.684043568</v>
      </c>
      <c r="AB12" s="28">
        <f>+R12</f>
        <v>15729334</v>
      </c>
      <c r="AC12" s="27">
        <f t="shared" si="1"/>
        <v>4044.6840435676277</v>
      </c>
    </row>
    <row r="13" spans="1:29" ht="15" customHeight="1" x14ac:dyDescent="0.25">
      <c r="A13" s="23" t="s">
        <v>77</v>
      </c>
      <c r="B13" s="24" t="s">
        <v>17</v>
      </c>
      <c r="C13" s="25"/>
      <c r="D13" s="25"/>
      <c r="E13" s="25"/>
      <c r="F13" s="25"/>
      <c r="G13" s="25"/>
      <c r="H13" s="25"/>
      <c r="I13" s="25">
        <f>IF(Triangulo1!J25=0,"-",Triangulo1!J25)</f>
        <v>12264947</v>
      </c>
      <c r="J13" s="25">
        <f>IF(Triangulo1!K25=0,"-",Triangulo1!K25)</f>
        <v>13331758</v>
      </c>
      <c r="K13" s="25">
        <f>IF(Triangulo1!L25=0,"-",Triangulo1!L25)</f>
        <v>13881470</v>
      </c>
      <c r="L13" s="25">
        <f>IF(Triangulo1!M25=0,"-",Triangulo1!M25)</f>
        <v>14105853</v>
      </c>
      <c r="M13" s="25">
        <f>IF(Triangulo1!N25=0,"-",Triangulo1!N25)</f>
        <v>14231236</v>
      </c>
      <c r="N13" s="25">
        <f>IF(Triangulo1!O25=0,"-",Triangulo1!O25)</f>
        <v>14285043</v>
      </c>
      <c r="O13" s="25">
        <f>IF(Triangulo1!P25=0,"-",Triangulo1!P25)</f>
        <v>14317196</v>
      </c>
      <c r="P13" s="25">
        <f>IF(Triangulo1!Q25=0,"-",Triangulo1!Q25)</f>
        <v>14335249</v>
      </c>
      <c r="Q13" s="26">
        <f>IF(Triangulo1!R25=0,"-",Triangulo1!R25)</f>
        <v>14343596</v>
      </c>
      <c r="R13" s="32">
        <f>+Q13*Q30</f>
        <v>14348008.296368761</v>
      </c>
      <c r="S13" s="32">
        <f t="shared" ref="S13:Z13" si="9">+R13*R30</f>
        <v>14350017.388170173</v>
      </c>
      <c r="T13" s="32">
        <f t="shared" si="9"/>
        <v>14351006.476637235</v>
      </c>
      <c r="U13" s="32">
        <f t="shared" si="9"/>
        <v>14351474.56661406</v>
      </c>
      <c r="V13" s="32">
        <f t="shared" si="9"/>
        <v>14351613.869561674</v>
      </c>
      <c r="W13" s="32">
        <f t="shared" si="9"/>
        <v>14351657.281735407</v>
      </c>
      <c r="X13" s="47">
        <f t="shared" si="9"/>
        <v>14351673.7881836</v>
      </c>
      <c r="Y13" s="32">
        <f t="shared" si="9"/>
        <v>14351682.188569246</v>
      </c>
      <c r="Z13" s="32">
        <f t="shared" si="9"/>
        <v>14351697.782536028</v>
      </c>
      <c r="AA13" s="32">
        <f t="shared" si="0"/>
        <v>14351697.782536028</v>
      </c>
      <c r="AB13" s="28">
        <f>+Q13</f>
        <v>14343596</v>
      </c>
      <c r="AC13" s="27">
        <f t="shared" si="1"/>
        <v>8101.782536027953</v>
      </c>
    </row>
    <row r="14" spans="1:29" ht="15" customHeight="1" x14ac:dyDescent="0.25">
      <c r="A14" s="29" t="s">
        <v>78</v>
      </c>
      <c r="B14" s="30" t="s">
        <v>18</v>
      </c>
      <c r="C14" s="31"/>
      <c r="D14" s="31"/>
      <c r="E14" s="31"/>
      <c r="F14" s="31"/>
      <c r="G14" s="31"/>
      <c r="H14" s="31">
        <f>IF(Triangulo1!I26=0,"-",Triangulo1!I26)</f>
        <v>11346897</v>
      </c>
      <c r="I14" s="31">
        <f>IF(Triangulo1!J26=0,"-",Triangulo1!J26)</f>
        <v>13064544</v>
      </c>
      <c r="J14" s="31">
        <f>IF(Triangulo1!K26=0,"-",Triangulo1!K26)</f>
        <v>14121948</v>
      </c>
      <c r="K14" s="31">
        <f>IF(Triangulo1!L26=0,"-",Triangulo1!L26)</f>
        <v>14605429</v>
      </c>
      <c r="L14" s="31">
        <f>IF(Triangulo1!M26=0,"-",Triangulo1!M26)</f>
        <v>14862271</v>
      </c>
      <c r="M14" s="31">
        <f>IF(Triangulo1!N26=0,"-",Triangulo1!N26)</f>
        <v>15012968</v>
      </c>
      <c r="N14" s="31">
        <f>IF(Triangulo1!O26=0,"-",Triangulo1!O26)</f>
        <v>15074585</v>
      </c>
      <c r="O14" s="31">
        <f>IF(Triangulo1!P26=0,"-",Triangulo1!P26)</f>
        <v>15104696</v>
      </c>
      <c r="P14" s="26">
        <f>IF(Triangulo1!Q26=0,"-",Triangulo1!Q26)</f>
        <v>15119935</v>
      </c>
      <c r="Q14" s="32">
        <f>+P14*P30</f>
        <v>15128841.109058823</v>
      </c>
      <c r="R14" s="32">
        <f t="shared" ref="R14:Z14" si="10">+Q14*Q30</f>
        <v>15133494.958113765</v>
      </c>
      <c r="S14" s="32">
        <f t="shared" si="10"/>
        <v>15135614.038338633</v>
      </c>
      <c r="T14" s="32">
        <f t="shared" si="10"/>
        <v>15136657.274794888</v>
      </c>
      <c r="U14" s="32">
        <f t="shared" si="10"/>
        <v>15137150.990518903</v>
      </c>
      <c r="V14" s="32">
        <f t="shared" si="10"/>
        <v>15137297.91965442</v>
      </c>
      <c r="W14" s="47">
        <f t="shared" si="10"/>
        <v>15137343.708442573</v>
      </c>
      <c r="X14" s="32">
        <f t="shared" si="10"/>
        <v>15137361.118541963</v>
      </c>
      <c r="Y14" s="32">
        <f t="shared" si="10"/>
        <v>15137369.978809619</v>
      </c>
      <c r="Z14" s="32">
        <f t="shared" si="10"/>
        <v>15137386.426473489</v>
      </c>
      <c r="AA14" s="32">
        <f t="shared" si="0"/>
        <v>15137386.426473489</v>
      </c>
      <c r="AB14" s="28">
        <f>+P14</f>
        <v>15119935</v>
      </c>
      <c r="AC14" s="27">
        <f t="shared" si="1"/>
        <v>17451.426473489031</v>
      </c>
    </row>
    <row r="15" spans="1:29" ht="15" customHeight="1" x14ac:dyDescent="0.25">
      <c r="A15" s="23" t="s">
        <v>79</v>
      </c>
      <c r="B15" s="24" t="s">
        <v>19</v>
      </c>
      <c r="C15" s="25"/>
      <c r="D15" s="25"/>
      <c r="E15" s="25"/>
      <c r="F15" s="25"/>
      <c r="G15" s="25">
        <f>IF(Triangulo1!H27=0,"-",Triangulo1!H27)</f>
        <v>13369514</v>
      </c>
      <c r="H15" s="25">
        <f>IF(Triangulo1!I27=0,"-",Triangulo1!I27)</f>
        <v>15030308</v>
      </c>
      <c r="I15" s="25">
        <f>IF(Triangulo1!J27=0,"-",Triangulo1!J27)</f>
        <v>16697100</v>
      </c>
      <c r="J15" s="25">
        <f>IF(Triangulo1!K27=0,"-",Triangulo1!K27)</f>
        <v>17828453</v>
      </c>
      <c r="K15" s="25">
        <f>IF(Triangulo1!L27=0,"-",Triangulo1!L27)</f>
        <v>18294564</v>
      </c>
      <c r="L15" s="25">
        <f>IF(Triangulo1!M27=0,"-",Triangulo1!M27)</f>
        <v>18522862</v>
      </c>
      <c r="M15" s="25">
        <f>IF(Triangulo1!N27=0,"-",Triangulo1!N27)</f>
        <v>18641988</v>
      </c>
      <c r="N15" s="25">
        <f>IF(Triangulo1!O27=0,"-",Triangulo1!O27)</f>
        <v>18693587</v>
      </c>
      <c r="O15" s="26">
        <f>IF(Triangulo1!P27=0,"-",Triangulo1!P27)</f>
        <v>18730024</v>
      </c>
      <c r="P15" s="32">
        <f>+O15*O30</f>
        <v>18751303.059209164</v>
      </c>
      <c r="Q15" s="32">
        <f t="shared" ref="Q15:Z15" si="11">+P15*P30</f>
        <v>18762348.156297237</v>
      </c>
      <c r="R15" s="32">
        <f t="shared" si="11"/>
        <v>18768119.724364232</v>
      </c>
      <c r="S15" s="32">
        <f t="shared" si="11"/>
        <v>18770747.745946553</v>
      </c>
      <c r="T15" s="32">
        <f t="shared" si="11"/>
        <v>18772041.53741812</v>
      </c>
      <c r="U15" s="32">
        <f t="shared" si="11"/>
        <v>18772653.829280891</v>
      </c>
      <c r="V15" s="47">
        <f t="shared" si="11"/>
        <v>18772836.046515837</v>
      </c>
      <c r="W15" s="32">
        <f t="shared" si="11"/>
        <v>18772892.83243743</v>
      </c>
      <c r="X15" s="32">
        <f t="shared" si="11"/>
        <v>18772914.42393567</v>
      </c>
      <c r="Y15" s="32">
        <f t="shared" si="11"/>
        <v>18772925.412181586</v>
      </c>
      <c r="Z15" s="32">
        <f t="shared" si="11"/>
        <v>18772945.810095321</v>
      </c>
      <c r="AA15" s="32">
        <f t="shared" si="0"/>
        <v>18772945.810095321</v>
      </c>
      <c r="AB15" s="28">
        <f>+O15</f>
        <v>18730024</v>
      </c>
      <c r="AC15" s="27">
        <f t="shared" si="1"/>
        <v>42921.810095321387</v>
      </c>
    </row>
    <row r="16" spans="1:29" ht="15" customHeight="1" x14ac:dyDescent="0.25">
      <c r="A16" s="29" t="s">
        <v>80</v>
      </c>
      <c r="B16" s="30" t="s">
        <v>20</v>
      </c>
      <c r="C16" s="31"/>
      <c r="D16" s="31"/>
      <c r="E16" s="31"/>
      <c r="F16" s="31">
        <f>IF(Triangulo1!G28=0,"-",Triangulo1!G28)</f>
        <v>10805763</v>
      </c>
      <c r="G16" s="31">
        <f>IF(Triangulo1!H28=0,"-",Triangulo1!H28)</f>
        <v>13284336</v>
      </c>
      <c r="H16" s="31">
        <f>IF(Triangulo1!I28=0,"-",Triangulo1!I28)</f>
        <v>15384835</v>
      </c>
      <c r="I16" s="31">
        <f>IF(Triangulo1!J28=0,"-",Triangulo1!J28)</f>
        <v>17438864</v>
      </c>
      <c r="J16" s="31">
        <f>IF(Triangulo1!K28=0,"-",Triangulo1!K28)</f>
        <v>18514044</v>
      </c>
      <c r="K16" s="31">
        <f>IF(Triangulo1!L28=0,"-",Triangulo1!L28)</f>
        <v>19125680</v>
      </c>
      <c r="L16" s="31">
        <f>IF(Triangulo1!M28=0,"-",Triangulo1!M28)</f>
        <v>19431036</v>
      </c>
      <c r="M16" s="31">
        <f>IF(Triangulo1!N28=0,"-",Triangulo1!N28)</f>
        <v>19572822</v>
      </c>
      <c r="N16" s="26">
        <f>IF(Triangulo1!O28=0,"-",Triangulo1!O28)</f>
        <v>19627354</v>
      </c>
      <c r="O16" s="32">
        <f>+N16*N30</f>
        <v>19671564.201265659</v>
      </c>
      <c r="P16" s="32">
        <f t="shared" ref="P16:Z16" si="12">+O16*O30</f>
        <v>19693912.938212052</v>
      </c>
      <c r="Q16" s="32">
        <f t="shared" si="12"/>
        <v>19705513.261654098</v>
      </c>
      <c r="R16" s="32">
        <f t="shared" si="12"/>
        <v>19711574.960868783</v>
      </c>
      <c r="S16" s="32">
        <f t="shared" si="12"/>
        <v>19714335.090555694</v>
      </c>
      <c r="T16" s="32">
        <f t="shared" si="12"/>
        <v>19715693.919673905</v>
      </c>
      <c r="U16" s="47">
        <f t="shared" si="12"/>
        <v>19716336.990856752</v>
      </c>
      <c r="V16" s="32">
        <f t="shared" si="12"/>
        <v>19716528.367975961</v>
      </c>
      <c r="W16" s="32">
        <f t="shared" si="12"/>
        <v>19716588.008470938</v>
      </c>
      <c r="X16" s="32">
        <f t="shared" si="12"/>
        <v>19716610.685352925</v>
      </c>
      <c r="Y16" s="32">
        <f t="shared" si="12"/>
        <v>19716622.22596734</v>
      </c>
      <c r="Z16" s="32">
        <f t="shared" si="12"/>
        <v>19716643.649264485</v>
      </c>
      <c r="AA16" s="32">
        <f t="shared" si="0"/>
        <v>19716643.649264485</v>
      </c>
      <c r="AB16" s="28">
        <f>+N16</f>
        <v>19627354</v>
      </c>
      <c r="AC16" s="27">
        <f t="shared" si="1"/>
        <v>89289.649264484644</v>
      </c>
    </row>
    <row r="17" spans="1:29" ht="15" customHeight="1" x14ac:dyDescent="0.25">
      <c r="A17" s="23" t="s">
        <v>81</v>
      </c>
      <c r="B17" s="24" t="s">
        <v>21</v>
      </c>
      <c r="C17" s="25"/>
      <c r="D17" s="25"/>
      <c r="E17" s="25">
        <f>IF(Triangulo1!F29=0,"-",Triangulo1!F29)</f>
        <v>7974797</v>
      </c>
      <c r="F17" s="25">
        <f>IF(Triangulo1!G29=0,"-",Triangulo1!G29)</f>
        <v>11597296</v>
      </c>
      <c r="G17" s="25">
        <f>IF(Triangulo1!H29=0,"-",Triangulo1!H29)</f>
        <v>14585912</v>
      </c>
      <c r="H17" s="25">
        <f>IF(Triangulo1!I29=0,"-",Triangulo1!I29)</f>
        <v>16285147</v>
      </c>
      <c r="I17" s="25">
        <f>IF(Triangulo1!J29=0,"-",Triangulo1!J29)</f>
        <v>18338971</v>
      </c>
      <c r="J17" s="25">
        <f>IF(Triangulo1!K29=0,"-",Triangulo1!K29)</f>
        <v>19214501</v>
      </c>
      <c r="K17" s="25">
        <f>IF(Triangulo1!L29=0,"-",Triangulo1!L29)</f>
        <v>19700684</v>
      </c>
      <c r="L17" s="25">
        <f>IF(Triangulo1!M29=0,"-",Triangulo1!M29)</f>
        <v>19926910</v>
      </c>
      <c r="M17" s="26">
        <f>IF(Triangulo1!N29=0,"-",Triangulo1!N29)</f>
        <v>20049671</v>
      </c>
      <c r="N17" s="32">
        <f>+M17*M30</f>
        <v>20127096.744689539</v>
      </c>
      <c r="O17" s="32">
        <f t="shared" ref="O17:Z17" si="13">+N17*N30</f>
        <v>20172432.605956223</v>
      </c>
      <c r="P17" s="32">
        <f t="shared" si="13"/>
        <v>20195350.376259934</v>
      </c>
      <c r="Q17" s="32">
        <f t="shared" si="13"/>
        <v>20207246.061851975</v>
      </c>
      <c r="R17" s="32">
        <f t="shared" si="13"/>
        <v>20213462.101290159</v>
      </c>
      <c r="S17" s="32">
        <f t="shared" si="13"/>
        <v>20216292.508141551</v>
      </c>
      <c r="T17" s="47">
        <f t="shared" si="13"/>
        <v>20217685.935147643</v>
      </c>
      <c r="U17" s="32">
        <f t="shared" si="13"/>
        <v>20218345.379915942</v>
      </c>
      <c r="V17" s="32">
        <f t="shared" si="13"/>
        <v>20218541.629792165</v>
      </c>
      <c r="W17" s="32">
        <f t="shared" si="13"/>
        <v>20218602.788826253</v>
      </c>
      <c r="X17" s="32">
        <f t="shared" si="13"/>
        <v>20218626.043096676</v>
      </c>
      <c r="Y17" s="32">
        <f t="shared" si="13"/>
        <v>20218637.877552956</v>
      </c>
      <c r="Z17" s="32">
        <f t="shared" si="13"/>
        <v>20218659.846320331</v>
      </c>
      <c r="AA17" s="32">
        <f t="shared" si="0"/>
        <v>20218659.846320331</v>
      </c>
      <c r="AB17" s="28">
        <f>+M17</f>
        <v>20049671</v>
      </c>
      <c r="AC17" s="27">
        <f t="shared" si="1"/>
        <v>168988.8463203311</v>
      </c>
    </row>
    <row r="18" spans="1:29" ht="15" customHeight="1" x14ac:dyDescent="0.25">
      <c r="A18" s="29" t="s">
        <v>82</v>
      </c>
      <c r="B18" s="30" t="s">
        <v>22</v>
      </c>
      <c r="C18" s="31"/>
      <c r="D18" s="31">
        <f>IF(Triangulo1!E30=0,"-",Triangulo1!E30)</f>
        <v>4773306</v>
      </c>
      <c r="E18" s="31">
        <f>IF(Triangulo1!F30=0,"-",Triangulo1!F30)</f>
        <v>8697825</v>
      </c>
      <c r="F18" s="31">
        <f>IF(Triangulo1!G30=0,"-",Triangulo1!G30)</f>
        <v>12220494</v>
      </c>
      <c r="G18" s="31">
        <f>IF(Triangulo1!H30=0,"-",Triangulo1!H30)</f>
        <v>14462971</v>
      </c>
      <c r="H18" s="31">
        <f>IF(Triangulo1!I30=0,"-",Triangulo1!I30)</f>
        <v>16656668</v>
      </c>
      <c r="I18" s="31">
        <f>IF(Triangulo1!J30=0,"-",Triangulo1!J30)</f>
        <v>19017438</v>
      </c>
      <c r="J18" s="31">
        <f>IF(Triangulo1!K30=0,"-",Triangulo1!K30)</f>
        <v>19939378</v>
      </c>
      <c r="K18" s="31">
        <f>IF(Triangulo1!L30=0,"-",Triangulo1!L30)</f>
        <v>20384099</v>
      </c>
      <c r="L18" s="26">
        <f>IF(Triangulo1!M30=0,"-",Triangulo1!M30)</f>
        <v>20688336</v>
      </c>
      <c r="M18" s="32">
        <f>+L18*L30</f>
        <v>20855893.237920396</v>
      </c>
      <c r="N18" s="32">
        <f t="shared" ref="N18:Y18" si="14">+M18*M30</f>
        <v>20936432.368218921</v>
      </c>
      <c r="O18" s="32">
        <f t="shared" si="14"/>
        <v>20983591.240921974</v>
      </c>
      <c r="P18" s="32">
        <f t="shared" si="14"/>
        <v>21007430.563308131</v>
      </c>
      <c r="Q18" s="32">
        <f t="shared" si="14"/>
        <v>21019804.589231025</v>
      </c>
      <c r="R18" s="32">
        <f t="shared" si="14"/>
        <v>21026270.583355591</v>
      </c>
      <c r="S18" s="47">
        <f t="shared" si="14"/>
        <v>21029214.804391064</v>
      </c>
      <c r="T18" s="32">
        <f t="shared" si="14"/>
        <v>21030664.262832247</v>
      </c>
      <c r="U18" s="32">
        <f t="shared" si="14"/>
        <v>21031350.224695858</v>
      </c>
      <c r="V18" s="32">
        <f t="shared" si="14"/>
        <v>21031554.366023984</v>
      </c>
      <c r="W18" s="32">
        <f t="shared" si="14"/>
        <v>21031617.984338991</v>
      </c>
      <c r="X18" s="32">
        <f t="shared" si="14"/>
        <v>21031642.173692588</v>
      </c>
      <c r="Y18" s="32">
        <f t="shared" si="14"/>
        <v>21031654.484027091</v>
      </c>
      <c r="Z18" s="32">
        <f>+Y18*Y30</f>
        <v>21031677.336185958</v>
      </c>
      <c r="AA18" s="32">
        <f t="shared" si="0"/>
        <v>21031677.336185958</v>
      </c>
      <c r="AB18" s="28">
        <f>+L18</f>
        <v>20688336</v>
      </c>
      <c r="AC18" s="27">
        <f t="shared" si="1"/>
        <v>343341.33618595824</v>
      </c>
    </row>
    <row r="19" spans="1:29" ht="15" customHeight="1" x14ac:dyDescent="0.25">
      <c r="A19" s="23" t="s">
        <v>83</v>
      </c>
      <c r="B19" s="24" t="s">
        <v>23</v>
      </c>
      <c r="C19" s="25">
        <f>IF(Triangulo1!D31=0,"-",Triangulo1!D31)</f>
        <v>5498188</v>
      </c>
      <c r="D19" s="25">
        <f>IF(Triangulo1!E31=0,"-",Triangulo1!E31)</f>
        <v>10669557</v>
      </c>
      <c r="E19" s="25">
        <f>IF(Triangulo1!F31=0,"-",Triangulo1!F31)</f>
        <v>14420577</v>
      </c>
      <c r="F19" s="25">
        <f>IF(Triangulo1!G31=0,"-",Triangulo1!G31)</f>
        <v>17838126</v>
      </c>
      <c r="G19" s="25">
        <f>IF(Triangulo1!H31=0,"-",Triangulo1!H31)</f>
        <v>20243242</v>
      </c>
      <c r="H19" s="25">
        <f>IF(Triangulo1!I31=0,"-",Triangulo1!I31)</f>
        <v>22179116</v>
      </c>
      <c r="I19" s="25">
        <f>IF(Triangulo1!J31=0,"-",Triangulo1!J31)</f>
        <v>24155749</v>
      </c>
      <c r="J19" s="25">
        <f>IF(Triangulo1!K31=0,"-",Triangulo1!K31)</f>
        <v>25145296</v>
      </c>
      <c r="K19" s="26">
        <f>IF(Triangulo1!L31=0,"-",Triangulo1!L31)</f>
        <v>25647723</v>
      </c>
      <c r="L19" s="32">
        <f>+K19*K30</f>
        <v>26047473.156398524</v>
      </c>
      <c r="M19" s="32">
        <f t="shared" ref="M19:Z19" si="15">+L19*L30</f>
        <v>26258434.669054341</v>
      </c>
      <c r="N19" s="32">
        <f t="shared" si="15"/>
        <v>26359836.774786308</v>
      </c>
      <c r="O19" s="32">
        <f t="shared" si="15"/>
        <v>26419211.751624409</v>
      </c>
      <c r="P19" s="32">
        <f t="shared" si="15"/>
        <v>26449226.447340883</v>
      </c>
      <c r="Q19" s="32">
        <f t="shared" si="15"/>
        <v>26464805.859240573</v>
      </c>
      <c r="R19" s="47">
        <f t="shared" si="15"/>
        <v>26472946.814046655</v>
      </c>
      <c r="S19" s="32">
        <f t="shared" si="15"/>
        <v>26476653.71045379</v>
      </c>
      <c r="T19" s="32">
        <f t="shared" si="15"/>
        <v>26478478.638753388</v>
      </c>
      <c r="U19" s="32">
        <f t="shared" si="15"/>
        <v>26479342.293192718</v>
      </c>
      <c r="V19" s="32">
        <f t="shared" si="15"/>
        <v>26479599.315592416</v>
      </c>
      <c r="W19" s="32">
        <f t="shared" si="15"/>
        <v>26479679.413689837</v>
      </c>
      <c r="X19" s="32">
        <f t="shared" si="15"/>
        <v>26479709.869089365</v>
      </c>
      <c r="Y19" s="32">
        <f t="shared" si="15"/>
        <v>26479725.36831113</v>
      </c>
      <c r="Z19" s="32">
        <f t="shared" si="15"/>
        <v>26479754.140127029</v>
      </c>
      <c r="AA19" s="32">
        <f t="shared" si="0"/>
        <v>26479754.140127029</v>
      </c>
      <c r="AB19" s="28">
        <f>+K19</f>
        <v>25647723</v>
      </c>
      <c r="AC19" s="27">
        <f t="shared" si="1"/>
        <v>832031.14012702927</v>
      </c>
    </row>
    <row r="20" spans="1:29" ht="15" customHeight="1" x14ac:dyDescent="0.25">
      <c r="A20" s="29" t="s">
        <v>84</v>
      </c>
      <c r="B20" s="30" t="s">
        <v>24</v>
      </c>
      <c r="C20" s="31">
        <f>IF(Triangulo1!D32=0,"-",Triangulo1!D32)</f>
        <v>6382667</v>
      </c>
      <c r="D20" s="31">
        <f>IF(Triangulo1!E32=0,"-",Triangulo1!E32)</f>
        <v>10460689</v>
      </c>
      <c r="E20" s="31">
        <f>IF(Triangulo1!F32=0,"-",Triangulo1!F32)</f>
        <v>15242265</v>
      </c>
      <c r="F20" s="31">
        <f>IF(Triangulo1!G32=0,"-",Triangulo1!G32)</f>
        <v>19075882</v>
      </c>
      <c r="G20" s="31">
        <f>IF(Triangulo1!H32=0,"-",Triangulo1!H32)</f>
        <v>21908553</v>
      </c>
      <c r="H20" s="31">
        <f>IF(Triangulo1!I32=0,"-",Triangulo1!I32)</f>
        <v>23938666</v>
      </c>
      <c r="I20" s="31">
        <f>IF(Triangulo1!J32=0,"-",Triangulo1!J32)</f>
        <v>25653115</v>
      </c>
      <c r="J20" s="26">
        <f>IF(Triangulo1!K32=0,"-",Triangulo1!K32)</f>
        <v>26811464</v>
      </c>
      <c r="K20" s="32">
        <f>+J20*J30</f>
        <v>27578440.4034633</v>
      </c>
      <c r="L20" s="32">
        <f t="shared" ref="L20:Z20" si="16">+K20*K30</f>
        <v>28008283.078562051</v>
      </c>
      <c r="M20" s="32">
        <f t="shared" si="16"/>
        <v>28235125.418687254</v>
      </c>
      <c r="N20" s="32">
        <f t="shared" si="16"/>
        <v>28344160.904204421</v>
      </c>
      <c r="O20" s="32">
        <f t="shared" si="16"/>
        <v>28408005.529327147</v>
      </c>
      <c r="P20" s="32">
        <f t="shared" si="16"/>
        <v>28440279.680800352</v>
      </c>
      <c r="Q20" s="47">
        <f t="shared" si="16"/>
        <v>28457031.884596244</v>
      </c>
      <c r="R20" s="32">
        <f t="shared" si="16"/>
        <v>28465785.676772915</v>
      </c>
      <c r="S20" s="32">
        <f t="shared" si="16"/>
        <v>28469771.622100148</v>
      </c>
      <c r="T20" s="32">
        <f t="shared" si="16"/>
        <v>28471733.927929442</v>
      </c>
      <c r="U20" s="32">
        <f t="shared" si="16"/>
        <v>28472662.596820798</v>
      </c>
      <c r="V20" s="32">
        <f t="shared" si="16"/>
        <v>28472938.967433989</v>
      </c>
      <c r="W20" s="32">
        <f t="shared" si="16"/>
        <v>28473025.09518132</v>
      </c>
      <c r="X20" s="32">
        <f t="shared" si="16"/>
        <v>28473057.843212046</v>
      </c>
      <c r="Y20" s="32">
        <f t="shared" si="16"/>
        <v>28473074.509189125</v>
      </c>
      <c r="Z20" s="32">
        <f t="shared" si="16"/>
        <v>28473105.446898881</v>
      </c>
      <c r="AA20" s="32">
        <f t="shared" si="0"/>
        <v>28473105.446898881</v>
      </c>
      <c r="AB20" s="28">
        <f>+J20</f>
        <v>26811464</v>
      </c>
      <c r="AC20" s="27">
        <f t="shared" si="1"/>
        <v>1661641.4468988813</v>
      </c>
    </row>
    <row r="21" spans="1:29" ht="15" customHeight="1" x14ac:dyDescent="0.25">
      <c r="A21" s="23" t="s">
        <v>85</v>
      </c>
      <c r="B21" s="24" t="s">
        <v>25</v>
      </c>
      <c r="C21" s="25">
        <f>IF(Triangulo1!D33=0,"-",Triangulo1!D33)</f>
        <v>3022770</v>
      </c>
      <c r="D21" s="25">
        <f>IF(Triangulo1!E33=0,"-",Triangulo1!E33)</f>
        <v>7899209</v>
      </c>
      <c r="E21" s="25">
        <f>IF(Triangulo1!F33=0,"-",Triangulo1!F33)</f>
        <v>11259161</v>
      </c>
      <c r="F21" s="25">
        <f>IF(Triangulo1!G33=0,"-",Triangulo1!G33)</f>
        <v>14497513</v>
      </c>
      <c r="G21" s="25">
        <f>IF(Triangulo1!H33=0,"-",Triangulo1!H33)</f>
        <v>17221120</v>
      </c>
      <c r="H21" s="25">
        <f>IF(Triangulo1!I33=0,"-",Triangulo1!I33)</f>
        <v>19234288</v>
      </c>
      <c r="I21" s="26">
        <f>IF(Triangulo1!J33=0,"-",Triangulo1!J33)</f>
        <v>21399003</v>
      </c>
      <c r="J21" s="32">
        <f>+I21*I30</f>
        <v>22606802.966145858</v>
      </c>
      <c r="K21" s="32">
        <f t="shared" ref="K21:Z21" si="17">+J21*J30</f>
        <v>23253499.634137508</v>
      </c>
      <c r="L21" s="32">
        <f t="shared" si="17"/>
        <v>23615932.982141126</v>
      </c>
      <c r="M21" s="32">
        <f t="shared" si="17"/>
        <v>23807201.168301713</v>
      </c>
      <c r="N21" s="32">
        <f t="shared" si="17"/>
        <v>23899137.3541588</v>
      </c>
      <c r="O21" s="32">
        <f t="shared" si="17"/>
        <v>23952969.657407772</v>
      </c>
      <c r="P21" s="47">
        <f t="shared" si="17"/>
        <v>23980182.471421</v>
      </c>
      <c r="Q21" s="32">
        <f t="shared" si="17"/>
        <v>23994307.540102907</v>
      </c>
      <c r="R21" s="32">
        <f t="shared" si="17"/>
        <v>24001688.534104001</v>
      </c>
      <c r="S21" s="32">
        <f t="shared" si="17"/>
        <v>24005049.390514027</v>
      </c>
      <c r="T21" s="32">
        <f t="shared" si="17"/>
        <v>24006703.961157475</v>
      </c>
      <c r="U21" s="32">
        <f t="shared" si="17"/>
        <v>24007486.99317123</v>
      </c>
      <c r="V21" s="32">
        <f t="shared" si="17"/>
        <v>24007720.0224455</v>
      </c>
      <c r="W21" s="32">
        <f t="shared" si="17"/>
        <v>24007792.643359218</v>
      </c>
      <c r="X21" s="32">
        <f t="shared" si="17"/>
        <v>24007820.255737197</v>
      </c>
      <c r="Y21" s="32">
        <f t="shared" si="17"/>
        <v>24007834.308101516</v>
      </c>
      <c r="Z21" s="32">
        <f t="shared" si="17"/>
        <v>24007860.39405895</v>
      </c>
      <c r="AA21" s="32">
        <f t="shared" si="0"/>
        <v>24007860.39405895</v>
      </c>
      <c r="AB21" s="28">
        <f>+I21</f>
        <v>21399003</v>
      </c>
      <c r="AC21" s="27">
        <f>AA21-AB21</f>
        <v>2608857.3940589502</v>
      </c>
    </row>
    <row r="22" spans="1:29" ht="15" customHeight="1" x14ac:dyDescent="0.25">
      <c r="A22" s="29" t="s">
        <v>86</v>
      </c>
      <c r="B22" s="30" t="s">
        <v>26</v>
      </c>
      <c r="C22" s="31">
        <f>IF(Triangulo1!D34=0,"-",Triangulo1!D34)</f>
        <v>6936281</v>
      </c>
      <c r="D22" s="31">
        <f>IF(Triangulo1!E34=0,"-",Triangulo1!E34)</f>
        <v>21936281</v>
      </c>
      <c r="E22" s="31">
        <f>IF(Triangulo1!F34=0,"-",Triangulo1!F34)</f>
        <v>25150070</v>
      </c>
      <c r="F22" s="31">
        <f>IF(Triangulo1!G34=0,"-",Triangulo1!G34)</f>
        <v>28898330</v>
      </c>
      <c r="G22" s="31">
        <f>IF(Triangulo1!H34=0,"-",Triangulo1!H34)</f>
        <v>31903741</v>
      </c>
      <c r="H22" s="26">
        <f>IF(Triangulo1!I34=0,"-",Triangulo1!I34)</f>
        <v>33589263</v>
      </c>
      <c r="I22" s="32">
        <f>H30*H22</f>
        <v>37356679.454397894</v>
      </c>
      <c r="J22" s="32">
        <f t="shared" ref="J22:Z22" si="18">I30*I22</f>
        <v>39465160.685058191</v>
      </c>
      <c r="K22" s="32">
        <f t="shared" si="18"/>
        <v>40594112.353058383</v>
      </c>
      <c r="L22" s="32">
        <f t="shared" si="18"/>
        <v>41226819.699515387</v>
      </c>
      <c r="M22" s="32">
        <f t="shared" si="18"/>
        <v>41560720.50415685</v>
      </c>
      <c r="N22" s="32">
        <f t="shared" si="18"/>
        <v>41721215.393817045</v>
      </c>
      <c r="O22" s="47">
        <f t="shared" si="18"/>
        <v>41815191.552274697</v>
      </c>
      <c r="P22" s="32">
        <f t="shared" si="18"/>
        <v>41862697.521134287</v>
      </c>
      <c r="Q22" s="32">
        <f t="shared" si="18"/>
        <v>41887355.943913206</v>
      </c>
      <c r="R22" s="32">
        <f t="shared" si="18"/>
        <v>41900241.096878216</v>
      </c>
      <c r="S22" s="32">
        <f t="shared" si="18"/>
        <v>41906108.213005148</v>
      </c>
      <c r="T22" s="32">
        <f t="shared" si="18"/>
        <v>41908996.630991809</v>
      </c>
      <c r="U22" s="32">
        <f t="shared" si="18"/>
        <v>41910363.586075671</v>
      </c>
      <c r="V22" s="32">
        <f t="shared" si="18"/>
        <v>41910770.390070342</v>
      </c>
      <c r="W22" s="32">
        <f t="shared" si="18"/>
        <v>41910897.165892348</v>
      </c>
      <c r="X22" s="32">
        <f t="shared" si="18"/>
        <v>41910945.369388238</v>
      </c>
      <c r="Y22" s="32">
        <f t="shared" si="18"/>
        <v>41910969.900889516</v>
      </c>
      <c r="Z22" s="32">
        <f t="shared" si="18"/>
        <v>41911015.439681679</v>
      </c>
      <c r="AA22" s="32">
        <f t="shared" si="0"/>
        <v>41911015.439681679</v>
      </c>
      <c r="AB22" s="28">
        <f>+H22</f>
        <v>33589263</v>
      </c>
      <c r="AC22" s="27">
        <f t="shared" si="1"/>
        <v>8321752.439681679</v>
      </c>
    </row>
    <row r="23" spans="1:29" ht="15" customHeight="1" x14ac:dyDescent="0.25">
      <c r="A23" s="23" t="s">
        <v>87</v>
      </c>
      <c r="B23" s="24" t="s">
        <v>27</v>
      </c>
      <c r="C23" s="25">
        <f>IF(Triangulo1!D35=0,"-",Triangulo1!D35)</f>
        <v>6691248</v>
      </c>
      <c r="D23" s="25">
        <f>IF(Triangulo1!E35=0,"-",Triangulo1!E35)</f>
        <v>11756013</v>
      </c>
      <c r="E23" s="25">
        <f>IF(Triangulo1!F35=0,"-",Triangulo1!F35)</f>
        <v>15391294</v>
      </c>
      <c r="F23" s="25">
        <f>IF(Triangulo1!G35=0,"-",Triangulo1!G35)</f>
        <v>18736499</v>
      </c>
      <c r="G23" s="26">
        <f>IF(Triangulo1!H35=0,"-",Triangulo1!H35)</f>
        <v>21705785</v>
      </c>
      <c r="H23" s="32">
        <f>G30*G23</f>
        <v>23968066.776447374</v>
      </c>
      <c r="I23" s="32">
        <f t="shared" ref="I23:Z23" si="19">H30*H23</f>
        <v>26656357.054018971</v>
      </c>
      <c r="J23" s="32">
        <f t="shared" si="19"/>
        <v>28160891.968445402</v>
      </c>
      <c r="K23" s="32">
        <f t="shared" si="19"/>
        <v>28966470.494119227</v>
      </c>
      <c r="L23" s="32">
        <f t="shared" si="19"/>
        <v>29417947.263044771</v>
      </c>
      <c r="M23" s="32">
        <f t="shared" si="19"/>
        <v>29656206.637248848</v>
      </c>
      <c r="N23" s="47">
        <f t="shared" si="19"/>
        <v>29770729.907159656</v>
      </c>
      <c r="O23" s="32">
        <f t="shared" si="19"/>
        <v>29837787.848898571</v>
      </c>
      <c r="P23" s="32">
        <f t="shared" si="19"/>
        <v>29871686.366823971</v>
      </c>
      <c r="Q23" s="32">
        <f t="shared" si="19"/>
        <v>29889281.713401448</v>
      </c>
      <c r="R23" s="32">
        <f t="shared" si="19"/>
        <v>29898476.086219039</v>
      </c>
      <c r="S23" s="32">
        <f t="shared" si="19"/>
        <v>29902662.645213068</v>
      </c>
      <c r="T23" s="32">
        <f t="shared" si="19"/>
        <v>29904723.714406002</v>
      </c>
      <c r="U23" s="32">
        <f t="shared" si="19"/>
        <v>29905699.123444613</v>
      </c>
      <c r="V23" s="32">
        <f t="shared" si="19"/>
        <v>29905989.403862771</v>
      </c>
      <c r="W23" s="32">
        <f t="shared" si="19"/>
        <v>29906079.866442062</v>
      </c>
      <c r="X23" s="32">
        <f t="shared" si="19"/>
        <v>29906114.262689706</v>
      </c>
      <c r="Y23" s="32">
        <f t="shared" si="19"/>
        <v>29906131.767469756</v>
      </c>
      <c r="Z23" s="32">
        <f t="shared" si="19"/>
        <v>29906164.262282506</v>
      </c>
      <c r="AA23" s="32">
        <f t="shared" si="0"/>
        <v>29906164.262282506</v>
      </c>
      <c r="AB23" s="28">
        <f>+G23</f>
        <v>21705785</v>
      </c>
      <c r="AC23" s="27">
        <f t="shared" si="1"/>
        <v>8200379.2622825056</v>
      </c>
    </row>
    <row r="24" spans="1:29" ht="15" customHeight="1" x14ac:dyDescent="0.25">
      <c r="A24" s="29" t="s">
        <v>88</v>
      </c>
      <c r="B24" s="30" t="s">
        <v>28</v>
      </c>
      <c r="C24" s="31">
        <f>IF(Triangulo1!D36=0,"-",Triangulo1!D36)</f>
        <v>4191817</v>
      </c>
      <c r="D24" s="31">
        <f>IF(Triangulo1!E36=0,"-",Triangulo1!E36)</f>
        <v>9775450</v>
      </c>
      <c r="E24" s="31">
        <f>IF(Triangulo1!F36=0,"-",Triangulo1!F36)</f>
        <v>14374440</v>
      </c>
      <c r="F24" s="26">
        <f>IF(Triangulo1!G36=0,"-",Triangulo1!G36)</f>
        <v>17306094</v>
      </c>
      <c r="G24" s="32">
        <f>F30*F24</f>
        <v>20108546.137211155</v>
      </c>
      <c r="H24" s="32">
        <f t="shared" ref="H24:Z24" si="20">G30*G24</f>
        <v>22204355.962889612</v>
      </c>
      <c r="I24" s="32">
        <f t="shared" si="20"/>
        <v>24694826.087640438</v>
      </c>
      <c r="J24" s="32">
        <f t="shared" si="20"/>
        <v>26088648.506032076</v>
      </c>
      <c r="K24" s="32">
        <f t="shared" si="20"/>
        <v>26834947.842852127</v>
      </c>
      <c r="L24" s="32">
        <f t="shared" si="20"/>
        <v>27253202.305329219</v>
      </c>
      <c r="M24" s="47">
        <f t="shared" si="20"/>
        <v>27473929.158507105</v>
      </c>
      <c r="N24" s="32">
        <f t="shared" si="20"/>
        <v>27580025.13507675</v>
      </c>
      <c r="O24" s="32">
        <f t="shared" si="20"/>
        <v>27642148.560482621</v>
      </c>
      <c r="P24" s="32">
        <f t="shared" si="20"/>
        <v>27673552.626803465</v>
      </c>
      <c r="Q24" s="32">
        <f t="shared" si="20"/>
        <v>27689853.204665698</v>
      </c>
      <c r="R24" s="32">
        <f t="shared" si="20"/>
        <v>27698371.001649555</v>
      </c>
      <c r="S24" s="32">
        <f t="shared" si="20"/>
        <v>27702249.489098296</v>
      </c>
      <c r="T24" s="32">
        <f t="shared" si="20"/>
        <v>27704158.89274152</v>
      </c>
      <c r="U24" s="32">
        <f t="shared" si="20"/>
        <v>27705062.525466874</v>
      </c>
      <c r="V24" s="32">
        <f t="shared" si="20"/>
        <v>27705331.445350733</v>
      </c>
      <c r="W24" s="32">
        <f t="shared" si="20"/>
        <v>27705415.251163304</v>
      </c>
      <c r="X24" s="32">
        <f t="shared" si="20"/>
        <v>27705447.116333473</v>
      </c>
      <c r="Y24" s="32">
        <f t="shared" si="20"/>
        <v>27705463.333009224</v>
      </c>
      <c r="Z24" s="32">
        <f t="shared" si="20"/>
        <v>27705493.436663222</v>
      </c>
      <c r="AA24" s="32">
        <f t="shared" si="0"/>
        <v>27705493.436663222</v>
      </c>
      <c r="AB24" s="28">
        <f>+F24</f>
        <v>17306094</v>
      </c>
      <c r="AC24" s="27">
        <f t="shared" si="1"/>
        <v>10399399.436663222</v>
      </c>
    </row>
    <row r="25" spans="1:29" ht="15" customHeight="1" x14ac:dyDescent="0.25">
      <c r="A25" s="23" t="s">
        <v>89</v>
      </c>
      <c r="B25" s="24" t="s">
        <v>29</v>
      </c>
      <c r="C25" s="25">
        <f>IF(Triangulo1!D37=0,"-",Triangulo1!D37)</f>
        <v>5916671</v>
      </c>
      <c r="D25" s="25">
        <f>IF(Triangulo1!E37=0,"-",Triangulo1!E37)</f>
        <v>11716355</v>
      </c>
      <c r="E25" s="26">
        <f>IF(Triangulo1!F37=0,"-",Triangulo1!F37)</f>
        <v>15374462</v>
      </c>
      <c r="F25" s="32">
        <f>E25*E30</f>
        <v>19154152.688939691</v>
      </c>
      <c r="G25" s="32">
        <f t="shared" ref="G25:Z25" si="21">F25*F30</f>
        <v>22255869.12128935</v>
      </c>
      <c r="H25" s="32">
        <f t="shared" si="21"/>
        <v>24575483.322392453</v>
      </c>
      <c r="I25" s="32">
        <f t="shared" si="21"/>
        <v>27331902.248391584</v>
      </c>
      <c r="J25" s="32">
        <f t="shared" si="21"/>
        <v>28874566.203824893</v>
      </c>
      <c r="K25" s="32">
        <f t="shared" si="21"/>
        <v>29700560.298685681</v>
      </c>
      <c r="L25" s="47">
        <f t="shared" si="21"/>
        <v>30163478.727137335</v>
      </c>
      <c r="M25" s="32">
        <f t="shared" si="21"/>
        <v>30407776.247324061</v>
      </c>
      <c r="N25" s="32">
        <f t="shared" si="21"/>
        <v>30525201.850981198</v>
      </c>
      <c r="O25" s="32">
        <f t="shared" si="21"/>
        <v>30593959.224874116</v>
      </c>
      <c r="P25" s="32">
        <f t="shared" si="21"/>
        <v>30628716.824212421</v>
      </c>
      <c r="Q25" s="32">
        <f t="shared" si="21"/>
        <v>30646758.085128438</v>
      </c>
      <c r="R25" s="32">
        <f t="shared" si="21"/>
        <v>30656185.468569335</v>
      </c>
      <c r="S25" s="32">
        <f t="shared" si="21"/>
        <v>30660478.126450155</v>
      </c>
      <c r="T25" s="32">
        <f t="shared" si="21"/>
        <v>30662591.428789042</v>
      </c>
      <c r="U25" s="32">
        <f t="shared" si="21"/>
        <v>30663591.557367805</v>
      </c>
      <c r="V25" s="32">
        <f t="shared" si="21"/>
        <v>30663889.19428787</v>
      </c>
      <c r="W25" s="32">
        <f t="shared" si="21"/>
        <v>30663981.949437018</v>
      </c>
      <c r="X25" s="32">
        <f t="shared" si="21"/>
        <v>30664017.217379909</v>
      </c>
      <c r="Y25" s="32">
        <f t="shared" si="21"/>
        <v>30664035.165779091</v>
      </c>
      <c r="Z25" s="32">
        <f t="shared" si="21"/>
        <v>30664068.484099515</v>
      </c>
      <c r="AA25" s="32">
        <f t="shared" si="0"/>
        <v>30664068.484099515</v>
      </c>
      <c r="AB25" s="28">
        <f>+E25</f>
        <v>15374462</v>
      </c>
      <c r="AC25" s="27">
        <f t="shared" si="1"/>
        <v>15289606.484099515</v>
      </c>
    </row>
    <row r="26" spans="1:29" ht="15" customHeight="1" x14ac:dyDescent="0.25">
      <c r="A26" s="29" t="s">
        <v>90</v>
      </c>
      <c r="B26" s="30" t="s">
        <v>30</v>
      </c>
      <c r="C26" s="31">
        <f>IF(Triangulo1!D38=0,"-",Triangulo1!D38)</f>
        <v>4926500</v>
      </c>
      <c r="D26" s="26">
        <f>IF(Triangulo1!E38=0,"-",Triangulo1!E38)</f>
        <v>9321834</v>
      </c>
      <c r="E26" s="32">
        <f>D26*D30</f>
        <v>12561202.757265465</v>
      </c>
      <c r="F26" s="32">
        <f t="shared" ref="F26:Z26" si="22">E26*E30</f>
        <v>15649275.764536865</v>
      </c>
      <c r="G26" s="32">
        <f t="shared" si="22"/>
        <v>18183432.016787261</v>
      </c>
      <c r="H26" s="32">
        <f t="shared" si="22"/>
        <v>20078597.148333877</v>
      </c>
      <c r="I26" s="32">
        <f t="shared" si="22"/>
        <v>22330639.334489007</v>
      </c>
      <c r="J26" s="32">
        <f t="shared" si="22"/>
        <v>23591022.607121434</v>
      </c>
      <c r="K26" s="47">
        <f t="shared" si="22"/>
        <v>24265874.143510174</v>
      </c>
      <c r="L26" s="32">
        <f t="shared" si="22"/>
        <v>24644086.547941361</v>
      </c>
      <c r="M26" s="32">
        <f t="shared" si="22"/>
        <v>24843681.869336192</v>
      </c>
      <c r="N26" s="32">
        <f t="shared" si="22"/>
        <v>24939620.629107531</v>
      </c>
      <c r="O26" s="32">
        <f t="shared" si="22"/>
        <v>24995796.599006582</v>
      </c>
      <c r="P26" s="32">
        <f t="shared" si="22"/>
        <v>25024194.161968086</v>
      </c>
      <c r="Q26" s="32">
        <f t="shared" si="22"/>
        <v>25038934.185805202</v>
      </c>
      <c r="R26" s="32">
        <f t="shared" si="22"/>
        <v>25046636.521982662</v>
      </c>
      <c r="S26" s="32">
        <f t="shared" si="22"/>
        <v>25050143.698104244</v>
      </c>
      <c r="T26" s="32">
        <f t="shared" si="22"/>
        <v>25051870.30285738</v>
      </c>
      <c r="U26" s="32">
        <f t="shared" si="22"/>
        <v>25052687.425294653</v>
      </c>
      <c r="V26" s="32">
        <f t="shared" si="22"/>
        <v>25052930.599833116</v>
      </c>
      <c r="W26" s="32">
        <f t="shared" si="22"/>
        <v>25053006.382402629</v>
      </c>
      <c r="X26" s="32">
        <f t="shared" si="22"/>
        <v>25053035.196925145</v>
      </c>
      <c r="Y26" s="32">
        <f t="shared" si="22"/>
        <v>25053049.861079331</v>
      </c>
      <c r="Z26" s="32">
        <f t="shared" si="22"/>
        <v>25053077.082726397</v>
      </c>
      <c r="AA26" s="32">
        <f t="shared" si="0"/>
        <v>25053077.082726397</v>
      </c>
      <c r="AB26" s="28">
        <f>+D26</f>
        <v>9321834</v>
      </c>
      <c r="AC26" s="27">
        <f t="shared" si="1"/>
        <v>15731243.082726397</v>
      </c>
    </row>
    <row r="27" spans="1:29" ht="15" customHeight="1" x14ac:dyDescent="0.25">
      <c r="A27" s="23" t="s">
        <v>91</v>
      </c>
      <c r="B27" s="24" t="s">
        <v>31</v>
      </c>
      <c r="C27" s="38">
        <f>IF(Triangulo1!D39=0,"-",Triangulo1!D39)</f>
        <v>5149958</v>
      </c>
      <c r="D27" s="39">
        <f>C27*C30</f>
        <v>11056827.563792637</v>
      </c>
      <c r="E27" s="39">
        <f t="shared" ref="E27:Z27" si="23">D27*D30</f>
        <v>14899112.436557105</v>
      </c>
      <c r="F27" s="39">
        <f t="shared" si="23"/>
        <v>18561942.17004114</v>
      </c>
      <c r="G27" s="39">
        <f t="shared" si="23"/>
        <v>21567759.340872504</v>
      </c>
      <c r="H27" s="39">
        <f t="shared" si="23"/>
        <v>23815655.41630394</v>
      </c>
      <c r="I27" s="39">
        <f t="shared" si="23"/>
        <v>26486851.03282145</v>
      </c>
      <c r="J27" s="47">
        <f t="shared" si="23"/>
        <v>27981818.708687101</v>
      </c>
      <c r="K27" s="39">
        <f t="shared" si="23"/>
        <v>28782274.613502704</v>
      </c>
      <c r="L27" s="39">
        <f t="shared" si="23"/>
        <v>29230880.471350316</v>
      </c>
      <c r="M27" s="39">
        <f t="shared" si="23"/>
        <v>29467624.769865226</v>
      </c>
      <c r="N27" s="39">
        <f t="shared" si="23"/>
        <v>29581419.793835383</v>
      </c>
      <c r="O27" s="39">
        <f t="shared" si="23"/>
        <v>29648051.318533484</v>
      </c>
      <c r="P27" s="39">
        <f t="shared" si="23"/>
        <v>29681734.278013054</v>
      </c>
      <c r="Q27" s="39">
        <f t="shared" si="23"/>
        <v>29699217.736938968</v>
      </c>
      <c r="R27" s="39">
        <f t="shared" si="23"/>
        <v>29708353.64334457</v>
      </c>
      <c r="S27" s="39">
        <f t="shared" si="23"/>
        <v>29712513.580285326</v>
      </c>
      <c r="T27" s="39">
        <f t="shared" si="23"/>
        <v>29714561.543274827</v>
      </c>
      <c r="U27" s="39">
        <f t="shared" si="23"/>
        <v>29715530.749751516</v>
      </c>
      <c r="V27" s="39">
        <f t="shared" si="23"/>
        <v>29715819.184295587</v>
      </c>
      <c r="W27" s="39">
        <f t="shared" si="23"/>
        <v>29715909.071629286</v>
      </c>
      <c r="X27" s="39">
        <f t="shared" si="23"/>
        <v>29715943.249153454</v>
      </c>
      <c r="Y27" s="39">
        <f t="shared" si="23"/>
        <v>29715960.642621759</v>
      </c>
      <c r="Z27" s="39">
        <f t="shared" si="23"/>
        <v>29715992.930802129</v>
      </c>
      <c r="AA27" s="32">
        <f>+Z27</f>
        <v>29715992.930802129</v>
      </c>
      <c r="AB27" s="28">
        <f>+C27</f>
        <v>5149958</v>
      </c>
      <c r="AC27" s="27">
        <f>AA27-AB27</f>
        <v>24566034.930802129</v>
      </c>
    </row>
    <row r="28" spans="1:29" ht="15" customHeight="1" x14ac:dyDescent="0.25">
      <c r="A28" s="33" t="s">
        <v>92</v>
      </c>
      <c r="B28" s="37"/>
      <c r="C28" s="42">
        <f>SUM(D19:D26)</f>
        <v>93535388</v>
      </c>
      <c r="D28" s="42">
        <f>SUM(E18:E25)</f>
        <v>119910094</v>
      </c>
      <c r="E28" s="42">
        <f>SUM(F17:F24)</f>
        <v>140170234</v>
      </c>
      <c r="F28" s="42">
        <f>SUM(G16:G23)</f>
        <v>155315660</v>
      </c>
      <c r="G28" s="42">
        <f>SUM(H15:H22)</f>
        <v>162298291</v>
      </c>
      <c r="H28" s="42">
        <f>SUM(I14:I21)</f>
        <v>155764784</v>
      </c>
      <c r="I28" s="42">
        <f>SUM(J13:J20)</f>
        <v>154906842</v>
      </c>
      <c r="J28" s="42">
        <f>SUM(K12:K19)</f>
        <v>146864136</v>
      </c>
      <c r="K28" s="42">
        <f>SUM(L11:L18)</f>
        <v>136904097</v>
      </c>
      <c r="L28" s="42">
        <f>SUM(M10:M17)</f>
        <v>127817018</v>
      </c>
      <c r="M28" s="42">
        <f>SUM(N9:N16)</f>
        <v>121164087</v>
      </c>
      <c r="N28" s="42">
        <f>SUM(O8:O15)</f>
        <v>113546368</v>
      </c>
      <c r="O28" s="42">
        <f>SUM(P7:P14)</f>
        <v>114372144</v>
      </c>
      <c r="P28" s="42">
        <f>SUM(Q6:Q13)</f>
        <v>111181861</v>
      </c>
      <c r="Q28" s="42">
        <f>SUM(R5:R12)</f>
        <v>114600758</v>
      </c>
      <c r="R28" s="42">
        <f>SUM(S4:S11)</f>
        <v>113609232</v>
      </c>
      <c r="S28" s="42">
        <f>SUM(T4:T10)</f>
        <v>99504954</v>
      </c>
      <c r="T28" s="42">
        <f>SUM(U4:U9)</f>
        <v>88667706</v>
      </c>
      <c r="U28" s="42">
        <f>SUM(V4:V8)</f>
        <v>75619969</v>
      </c>
      <c r="V28" s="42">
        <f>SUM(W4:W7)</f>
        <v>63803989</v>
      </c>
      <c r="W28" s="42">
        <f>SUM(X4:X6)</f>
        <v>44342390</v>
      </c>
      <c r="X28" s="42">
        <f>SUM(Y4:Y5)</f>
        <v>32460648</v>
      </c>
      <c r="Y28" s="42">
        <f>SUM(Z4)</f>
        <v>14725385</v>
      </c>
      <c r="Z28" s="42"/>
      <c r="AA28" s="32"/>
      <c r="AB28" s="28"/>
      <c r="AC28" s="27"/>
    </row>
    <row r="29" spans="1:29" ht="15" customHeight="1" x14ac:dyDescent="0.25">
      <c r="A29" s="35" t="s">
        <v>93</v>
      </c>
      <c r="B29" s="36"/>
      <c r="C29" s="40">
        <f>SUM(C19:C26)</f>
        <v>43566142</v>
      </c>
      <c r="D29" s="40">
        <f>SUM(D18:D25)</f>
        <v>88986860</v>
      </c>
      <c r="E29" s="40">
        <f>SUM(E17:E24)</f>
        <v>112510429</v>
      </c>
      <c r="F29" s="40">
        <f>SUM(F16:F23)</f>
        <v>133669903</v>
      </c>
      <c r="G29" s="40">
        <f>SUM(G15:G22)</f>
        <v>146979389</v>
      </c>
      <c r="H29" s="40">
        <f>SUM(H14:H21)</f>
        <v>140055925</v>
      </c>
      <c r="I29" s="40">
        <f>SUM(I13:I20)</f>
        <v>146630728</v>
      </c>
      <c r="J29" s="40">
        <f>SUM(J12:J19)</f>
        <v>142779738</v>
      </c>
      <c r="K29" s="40">
        <f>SUM(K11:K18)</f>
        <v>134803032</v>
      </c>
      <c r="L29" s="40">
        <f>SUM(L10:L17)</f>
        <v>126790130</v>
      </c>
      <c r="M29" s="40">
        <f>SUM(M9:M16)</f>
        <v>120697988</v>
      </c>
      <c r="N29" s="40">
        <f>SUM(N8:N15)</f>
        <v>113291182</v>
      </c>
      <c r="O29" s="40">
        <f>SUM(O7:O14)</f>
        <v>114242354</v>
      </c>
      <c r="P29" s="40">
        <f>SUM(P6:P13)</f>
        <v>111116410</v>
      </c>
      <c r="Q29" s="40">
        <f>SUM(Q5:Q12)</f>
        <v>114565516</v>
      </c>
      <c r="R29" s="40">
        <f>SUM(R4:R11)</f>
        <v>113593326</v>
      </c>
      <c r="S29" s="40">
        <f>SUM(S4:S10)</f>
        <v>99498096</v>
      </c>
      <c r="T29" s="40">
        <f>SUM(T4:T9)</f>
        <v>88664814</v>
      </c>
      <c r="U29" s="40">
        <f>SUM(U4:U8)</f>
        <v>75619235</v>
      </c>
      <c r="V29" s="40">
        <f>SUM(V4:V7)</f>
        <v>63803796</v>
      </c>
      <c r="W29" s="40">
        <f>SUM(W4:W6)</f>
        <v>44342339</v>
      </c>
      <c r="X29" s="40">
        <f>SUM(X4:X5)</f>
        <v>32460629</v>
      </c>
      <c r="Y29" s="40">
        <f>SUM(Y4)</f>
        <v>14725369</v>
      </c>
      <c r="Z29" s="40"/>
      <c r="AA29" s="32"/>
      <c r="AB29" s="28"/>
      <c r="AC29" s="27"/>
    </row>
    <row r="30" spans="1:29" ht="15" customHeight="1" x14ac:dyDescent="0.25">
      <c r="A30" s="35" t="s">
        <v>37</v>
      </c>
      <c r="B30" s="36"/>
      <c r="C30" s="41">
        <f>C28/C29</f>
        <v>2.1469743178085405</v>
      </c>
      <c r="D30" s="41">
        <f t="shared" ref="D30:Y30" si="24">D28/D29</f>
        <v>1.3475033729698969</v>
      </c>
      <c r="E30" s="41">
        <f t="shared" si="24"/>
        <v>1.245842143220341</v>
      </c>
      <c r="F30" s="41">
        <f t="shared" si="24"/>
        <v>1.1619344109197116</v>
      </c>
      <c r="G30" s="41">
        <f t="shared" si="24"/>
        <v>1.1042248311428209</v>
      </c>
      <c r="H30" s="41">
        <f t="shared" si="24"/>
        <v>1.1121613312682059</v>
      </c>
      <c r="I30" s="41">
        <f>I28/I29</f>
        <v>1.0564418803131088</v>
      </c>
      <c r="J30" s="41">
        <f t="shared" si="24"/>
        <v>1.0286062858582918</v>
      </c>
      <c r="K30" s="41">
        <f t="shared" si="24"/>
        <v>1.0155861850347698</v>
      </c>
      <c r="L30" s="41">
        <f t="shared" si="24"/>
        <v>1.0080991162324702</v>
      </c>
      <c r="M30" s="41">
        <f t="shared" si="24"/>
        <v>1.0038616965180895</v>
      </c>
      <c r="N30" s="41">
        <f t="shared" si="24"/>
        <v>1.0022524789263829</v>
      </c>
      <c r="O30" s="41">
        <f t="shared" si="24"/>
        <v>1.0011360935367282</v>
      </c>
      <c r="P30" s="41">
        <f t="shared" si="24"/>
        <v>1.0005890309091159</v>
      </c>
      <c r="Q30" s="41">
        <f t="shared" si="24"/>
        <v>1.0003076143784837</v>
      </c>
      <c r="R30" s="41">
        <f t="shared" si="24"/>
        <v>1.0001400258321513</v>
      </c>
      <c r="S30" s="41">
        <f t="shared" si="24"/>
        <v>1.0000689259420603</v>
      </c>
      <c r="T30" s="41">
        <f t="shared" si="24"/>
        <v>1.0000326172228817</v>
      </c>
      <c r="U30" s="41">
        <f t="shared" si="24"/>
        <v>1.0000097065250659</v>
      </c>
      <c r="V30" s="41">
        <f t="shared" si="24"/>
        <v>1.0000030248983931</v>
      </c>
      <c r="W30" s="41">
        <f t="shared" si="24"/>
        <v>1.0000011501423054</v>
      </c>
      <c r="X30" s="41">
        <f t="shared" si="24"/>
        <v>1.0000005853244556</v>
      </c>
      <c r="Y30" s="41">
        <f t="shared" si="24"/>
        <v>1.0000010865602078</v>
      </c>
      <c r="Z30" s="41">
        <v>1</v>
      </c>
      <c r="AA30" s="32"/>
      <c r="AB30" s="28"/>
      <c r="AC30" s="27"/>
    </row>
    <row r="31" spans="1:29" ht="15" customHeight="1" x14ac:dyDescent="0.25">
      <c r="A31" s="53" t="s">
        <v>95</v>
      </c>
      <c r="B31" s="53"/>
      <c r="C31" s="45">
        <f>+C30*D31</f>
        <v>5.7701427721938954</v>
      </c>
      <c r="D31" s="45">
        <f t="shared" ref="D31:X31" si="25">+D30*E31</f>
        <v>2.6875695365017664</v>
      </c>
      <c r="E31" s="45">
        <f t="shared" si="25"/>
        <v>1.9944807489263381</v>
      </c>
      <c r="F31" s="45">
        <f t="shared" si="25"/>
        <v>1.6009096816799462</v>
      </c>
      <c r="G31" s="45">
        <f t="shared" si="25"/>
        <v>1.3777969450209933</v>
      </c>
      <c r="H31" s="45">
        <f t="shared" si="25"/>
        <v>1.2477503730784953</v>
      </c>
      <c r="I31" s="45">
        <f t="shared" si="25"/>
        <v>1.1219149038886977</v>
      </c>
      <c r="J31" s="45">
        <f t="shared" si="25"/>
        <v>1.0619750360106739</v>
      </c>
      <c r="K31" s="45">
        <f t="shared" si="25"/>
        <v>1.0324407410407166</v>
      </c>
      <c r="L31" s="45">
        <f t="shared" si="25"/>
        <v>1.0165958894028966</v>
      </c>
      <c r="M31" s="45">
        <f t="shared" si="25"/>
        <v>1.0084285096907744</v>
      </c>
      <c r="N31" s="45">
        <f t="shared" si="25"/>
        <v>1.0045492453676885</v>
      </c>
      <c r="O31" s="45">
        <f t="shared" si="25"/>
        <v>1.0022916046501236</v>
      </c>
      <c r="P31" s="45">
        <f t="shared" si="25"/>
        <v>1.0011541998344233</v>
      </c>
      <c r="Q31" s="45">
        <f t="shared" si="25"/>
        <v>1.0005648362193156</v>
      </c>
      <c r="R31" s="45">
        <f t="shared" si="25"/>
        <v>1.0002571427400277</v>
      </c>
      <c r="S31" s="45">
        <f>+S30*T31</f>
        <v>1.0001171005107798</v>
      </c>
      <c r="T31" s="45">
        <f>+T30*U31</f>
        <v>1.0000481712484708</v>
      </c>
      <c r="U31" s="45">
        <f t="shared" si="25"/>
        <v>1.0000155535182764</v>
      </c>
      <c r="V31" s="45">
        <f t="shared" si="25"/>
        <v>1.000005846936457</v>
      </c>
      <c r="W31" s="45">
        <f t="shared" si="25"/>
        <v>1.0000028220295276</v>
      </c>
      <c r="X31" s="45">
        <f t="shared" si="25"/>
        <v>1.0000016718852993</v>
      </c>
      <c r="Y31" s="45">
        <f>+Y30*Z31</f>
        <v>1.0000010865602078</v>
      </c>
      <c r="Z31" s="45">
        <v>1</v>
      </c>
      <c r="AA31" s="32"/>
      <c r="AB31" s="28"/>
      <c r="AC31" s="27"/>
    </row>
    <row r="32" spans="1:29" ht="15" customHeight="1" x14ac:dyDescent="0.25">
      <c r="A32" s="53" t="s">
        <v>96</v>
      </c>
      <c r="B32" s="53"/>
      <c r="C32" s="43">
        <f>1/C31</f>
        <v>0.17330593704179437</v>
      </c>
      <c r="D32" s="43">
        <f t="shared" ref="D32:Y32" si="26">1/D31</f>
        <v>0.3720833959524763</v>
      </c>
      <c r="E32" s="43">
        <f t="shared" si="26"/>
        <v>0.50138363107205552</v>
      </c>
      <c r="F32" s="43">
        <f t="shared" si="26"/>
        <v>0.62464485751040633</v>
      </c>
      <c r="G32" s="43">
        <f t="shared" si="26"/>
        <v>0.72579635454538127</v>
      </c>
      <c r="H32" s="43">
        <f t="shared" si="26"/>
        <v>0.80144235704194855</v>
      </c>
      <c r="I32" s="43">
        <f t="shared" si="26"/>
        <v>0.89133319874250228</v>
      </c>
      <c r="J32" s="43">
        <f t="shared" si="26"/>
        <v>0.94164172046502703</v>
      </c>
      <c r="K32" s="43">
        <f t="shared" si="26"/>
        <v>0.96857859269674329</v>
      </c>
      <c r="L32" s="43">
        <f t="shared" si="26"/>
        <v>0.98367503786323174</v>
      </c>
      <c r="M32" s="43">
        <f t="shared" si="26"/>
        <v>0.99164193632986553</v>
      </c>
      <c r="N32" s="43">
        <f t="shared" si="26"/>
        <v>0.99547135654258201</v>
      </c>
      <c r="O32" s="43">
        <f t="shared" si="26"/>
        <v>0.99771363479501207</v>
      </c>
      <c r="P32" s="43">
        <f t="shared" si="26"/>
        <v>0.99884713080700838</v>
      </c>
      <c r="Q32" s="43">
        <f t="shared" si="26"/>
        <v>0.9994354826405355</v>
      </c>
      <c r="R32" s="43">
        <f t="shared" si="26"/>
        <v>0.99974292336536252</v>
      </c>
      <c r="S32" s="43">
        <f t="shared" si="26"/>
        <v>0.99988291320014422</v>
      </c>
      <c r="T32" s="43">
        <f t="shared" si="26"/>
        <v>0.99995183107188657</v>
      </c>
      <c r="U32" s="43">
        <f t="shared" si="26"/>
        <v>0.99998444672363174</v>
      </c>
      <c r="V32" s="43">
        <f t="shared" si="26"/>
        <v>0.99999415309772943</v>
      </c>
      <c r="W32" s="43">
        <f t="shared" si="26"/>
        <v>0.99999717797843624</v>
      </c>
      <c r="X32" s="43">
        <f t="shared" si="26"/>
        <v>0.99999832811749589</v>
      </c>
      <c r="Y32" s="43">
        <f t="shared" si="26"/>
        <v>0.9999989134409728</v>
      </c>
      <c r="Z32" s="43">
        <v>1</v>
      </c>
      <c r="AA32" s="32"/>
      <c r="AB32" s="28"/>
      <c r="AC32" s="27"/>
    </row>
    <row r="33" spans="1:29" ht="19.5" customHeight="1" x14ac:dyDescent="0.25">
      <c r="A33" s="54" t="s">
        <v>94</v>
      </c>
      <c r="B33" s="55"/>
      <c r="C33" s="55"/>
      <c r="D33" s="55"/>
      <c r="E33" s="55"/>
      <c r="F33" s="55"/>
      <c r="G33" s="55"/>
      <c r="H33" s="55"/>
      <c r="I33" s="55"/>
      <c r="J33" s="55"/>
      <c r="K33" s="55"/>
      <c r="L33" s="55"/>
      <c r="M33" s="55"/>
      <c r="N33" s="55"/>
      <c r="O33" s="55"/>
      <c r="P33" s="55"/>
      <c r="Q33" s="55"/>
      <c r="R33" s="55"/>
      <c r="S33" s="55"/>
      <c r="T33" s="55"/>
      <c r="U33" s="55"/>
      <c r="V33" s="55"/>
      <c r="W33" s="55"/>
      <c r="X33" s="55"/>
      <c r="Y33" s="55"/>
      <c r="Z33" s="56"/>
      <c r="AA33" s="34">
        <f>+SUM(AA4:AA27)</f>
        <v>502501456.85135591</v>
      </c>
      <c r="AB33" s="34">
        <f>+SUM(AB4:AB27)</f>
        <v>414213831</v>
      </c>
      <c r="AC33" s="34">
        <f>SUM(AC4:AC28)</f>
        <v>88287625.851355985</v>
      </c>
    </row>
  </sheetData>
  <mergeCells count="5">
    <mergeCell ref="A1:AC1"/>
    <mergeCell ref="A2:AC2"/>
    <mergeCell ref="A32:B32"/>
    <mergeCell ref="A33:Z33"/>
    <mergeCell ref="A31:B31"/>
  </mergeCells>
  <phoneticPr fontId="18"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F5C36-9980-4AA6-A6D9-E47517D67A97}">
  <dimension ref="A1:Y27"/>
  <sheetViews>
    <sheetView showGridLines="0" zoomScaleNormal="100" workbookViewId="0">
      <pane xSplit="2" ySplit="3" topLeftCell="L4" activePane="bottomRight" state="frozen"/>
      <selection pane="topRight" activeCell="C1" sqref="C1"/>
      <selection pane="bottomLeft" activeCell="A4" sqref="A4"/>
      <selection pane="bottomRight" activeCell="X24" sqref="X24"/>
    </sheetView>
  </sheetViews>
  <sheetFormatPr baseColWidth="10" defaultColWidth="8.7109375" defaultRowHeight="15" x14ac:dyDescent="0.25"/>
  <cols>
    <col min="1" max="2" width="10" style="17" customWidth="1"/>
    <col min="3" max="22" width="12" style="17" customWidth="1"/>
    <col min="23" max="23" width="12.7109375" style="17" bestFit="1" customWidth="1"/>
    <col min="24" max="25" width="12" style="17" customWidth="1"/>
    <col min="26" max="16384" width="8.7109375" style="17"/>
  </cols>
  <sheetData>
    <row r="1" spans="1:25" ht="25.5" customHeight="1" x14ac:dyDescent="0.25">
      <c r="A1" s="51" t="s">
        <v>38</v>
      </c>
      <c r="B1" s="51"/>
      <c r="C1" s="51"/>
      <c r="D1" s="51"/>
      <c r="E1" s="51"/>
      <c r="F1" s="51"/>
      <c r="G1" s="51"/>
      <c r="H1" s="51"/>
      <c r="I1" s="51"/>
      <c r="J1" s="51"/>
      <c r="K1" s="51"/>
      <c r="L1" s="51"/>
      <c r="M1" s="51"/>
      <c r="N1" s="51"/>
      <c r="O1" s="51"/>
      <c r="P1" s="51"/>
      <c r="Q1" s="51"/>
      <c r="R1" s="51"/>
      <c r="S1" s="51"/>
      <c r="T1" s="51"/>
      <c r="U1" s="51"/>
      <c r="V1" s="51"/>
      <c r="W1" s="51"/>
      <c r="X1" s="51"/>
      <c r="Y1" s="51"/>
    </row>
    <row r="2" spans="1:25" ht="15.75" customHeight="1" x14ac:dyDescent="0.25">
      <c r="A2" s="52" t="s">
        <v>39</v>
      </c>
      <c r="B2" s="52"/>
      <c r="C2" s="52"/>
      <c r="D2" s="52"/>
      <c r="E2" s="52"/>
      <c r="F2" s="52"/>
      <c r="G2" s="52"/>
      <c r="H2" s="52"/>
      <c r="I2" s="52"/>
      <c r="J2" s="52"/>
      <c r="K2" s="52"/>
      <c r="L2" s="52"/>
      <c r="M2" s="52"/>
      <c r="N2" s="52"/>
      <c r="O2" s="52"/>
      <c r="P2" s="52"/>
      <c r="Q2" s="52"/>
      <c r="R2" s="52"/>
      <c r="S2" s="52"/>
      <c r="T2" s="52"/>
      <c r="U2" s="52"/>
      <c r="V2" s="52"/>
      <c r="W2" s="52"/>
      <c r="X2" s="52"/>
      <c r="Y2" s="52"/>
    </row>
    <row r="3" spans="1:25" ht="31.5" customHeight="1" x14ac:dyDescent="0.25">
      <c r="A3" s="18" t="s">
        <v>40</v>
      </c>
      <c r="B3" s="18" t="s">
        <v>41</v>
      </c>
      <c r="C3" s="19" t="s">
        <v>42</v>
      </c>
      <c r="D3" s="19" t="s">
        <v>43</v>
      </c>
      <c r="E3" s="19" t="s">
        <v>44</v>
      </c>
      <c r="F3" s="19" t="s">
        <v>45</v>
      </c>
      <c r="G3" s="19" t="s">
        <v>46</v>
      </c>
      <c r="H3" s="19" t="s">
        <v>47</v>
      </c>
      <c r="I3" s="19" t="s">
        <v>48</v>
      </c>
      <c r="J3" s="19" t="s">
        <v>49</v>
      </c>
      <c r="K3" s="19" t="s">
        <v>50</v>
      </c>
      <c r="L3" s="19" t="s">
        <v>51</v>
      </c>
      <c r="M3" s="19" t="s">
        <v>52</v>
      </c>
      <c r="N3" s="19" t="s">
        <v>53</v>
      </c>
      <c r="O3" s="19" t="s">
        <v>54</v>
      </c>
      <c r="P3" s="19" t="s">
        <v>55</v>
      </c>
      <c r="Q3" s="19" t="s">
        <v>56</v>
      </c>
      <c r="R3" s="19" t="s">
        <v>57</v>
      </c>
      <c r="S3" s="19" t="s">
        <v>58</v>
      </c>
      <c r="T3" s="19" t="s">
        <v>59</v>
      </c>
      <c r="U3" s="19" t="s">
        <v>60</v>
      </c>
      <c r="V3" s="19" t="s">
        <v>61</v>
      </c>
      <c r="W3" s="20" t="s">
        <v>66</v>
      </c>
      <c r="X3" s="21" t="s">
        <v>67</v>
      </c>
      <c r="Y3" s="22" t="s">
        <v>68</v>
      </c>
    </row>
    <row r="4" spans="1:25" ht="15" customHeight="1" x14ac:dyDescent="0.25">
      <c r="A4" s="29" t="s">
        <v>98</v>
      </c>
      <c r="B4" s="30" t="s">
        <v>7</v>
      </c>
      <c r="C4" s="31"/>
      <c r="D4" s="31"/>
      <c r="E4" s="31"/>
      <c r="F4" s="31"/>
      <c r="G4" s="31"/>
      <c r="H4" s="31"/>
      <c r="I4" s="31"/>
      <c r="J4" s="31"/>
      <c r="K4" s="31"/>
      <c r="L4" s="31"/>
      <c r="M4" s="31"/>
      <c r="N4" s="31">
        <f>IF(Triangulo1!O16=0,"-",Triangulo1!O16)</f>
        <v>14589694</v>
      </c>
      <c r="O4" s="25">
        <f>IF(Triangulo1!P16=0,"-",Triangulo1!P16)</f>
        <v>14666170</v>
      </c>
      <c r="P4" s="31">
        <f>IF(Triangulo1!Q16=0,"-",Triangulo1!Q16)</f>
        <v>14699145</v>
      </c>
      <c r="Q4" s="25">
        <f>IF(Triangulo1!R16=0,"-",Triangulo1!R16)</f>
        <v>14709918</v>
      </c>
      <c r="R4" s="31">
        <f>IF(Triangulo1!S16=0,"-",Triangulo1!S16)</f>
        <v>14721902</v>
      </c>
      <c r="S4" s="31">
        <f>IF(Triangulo1!T16=0,"-",Triangulo1!T16)</f>
        <v>14723975</v>
      </c>
      <c r="T4" s="31">
        <f>IF(Triangulo1!U16=0,"-",Triangulo1!U16)</f>
        <v>14724778</v>
      </c>
      <c r="U4" s="31">
        <f>IF(Triangulo1!V16=0,"-",Triangulo1!V16)</f>
        <v>14725216</v>
      </c>
      <c r="V4" s="26">
        <f>IF(Triangulo1!W16=0,"-",Triangulo1!W16)</f>
        <v>14725343</v>
      </c>
      <c r="W4" s="32">
        <f>V4</f>
        <v>14725343</v>
      </c>
      <c r="X4" s="28">
        <f>V4</f>
        <v>14725343</v>
      </c>
      <c r="Y4" s="27">
        <f>W4-X4</f>
        <v>0</v>
      </c>
    </row>
    <row r="5" spans="1:25" ht="15" customHeight="1" x14ac:dyDescent="0.25">
      <c r="A5" s="23" t="s">
        <v>69</v>
      </c>
      <c r="B5" s="24" t="s">
        <v>8</v>
      </c>
      <c r="C5" s="25"/>
      <c r="D5" s="25"/>
      <c r="E5" s="25"/>
      <c r="F5" s="25"/>
      <c r="G5" s="25"/>
      <c r="H5" s="25"/>
      <c r="I5" s="25"/>
      <c r="J5" s="25"/>
      <c r="K5" s="25"/>
      <c r="L5" s="25"/>
      <c r="M5" s="25">
        <f>IF(Triangulo1!N17=0,"-",Triangulo1!N17)</f>
        <v>17479823</v>
      </c>
      <c r="N5" s="31">
        <f>IF(Triangulo1!O17=0,"-",Triangulo1!O17)</f>
        <v>17658472</v>
      </c>
      <c r="O5" s="25">
        <f>IF(Triangulo1!P17=0,"-",Triangulo1!P17)</f>
        <v>17691106</v>
      </c>
      <c r="P5" s="31">
        <f>IF(Triangulo1!Q17=0,"-",Triangulo1!Q17)</f>
        <v>17707511</v>
      </c>
      <c r="Q5" s="25">
        <f>IF(Triangulo1!R17=0,"-",Triangulo1!R17)</f>
        <v>17727251</v>
      </c>
      <c r="R5" s="31">
        <f>IF(Triangulo1!S17=0,"-",Triangulo1!S17)</f>
        <v>17731572</v>
      </c>
      <c r="S5" s="25">
        <f>IF(Triangulo1!T17=0,"-",Triangulo1!T17)</f>
        <v>17733454</v>
      </c>
      <c r="T5" s="25">
        <f>IF(Triangulo1!U17=0,"-",Triangulo1!U17)</f>
        <v>17734435</v>
      </c>
      <c r="U5" s="26">
        <f>IF(Triangulo1!V17=0,"-",Triangulo1!V17)</f>
        <v>17734974</v>
      </c>
      <c r="V5" s="25">
        <f>U5*U$26</f>
        <v>17735126.958143231</v>
      </c>
      <c r="W5" s="32">
        <f t="shared" ref="W5:W23" si="0">V5</f>
        <v>17735126.958143231</v>
      </c>
      <c r="X5" s="28">
        <f>U5</f>
        <v>17734974</v>
      </c>
      <c r="Y5" s="27">
        <f t="shared" ref="Y5:Y23" si="1">W5-X5</f>
        <v>152.95814323052764</v>
      </c>
    </row>
    <row r="6" spans="1:25" ht="15" customHeight="1" x14ac:dyDescent="0.25">
      <c r="A6" s="29" t="s">
        <v>70</v>
      </c>
      <c r="B6" s="30" t="s">
        <v>10</v>
      </c>
      <c r="C6" s="31"/>
      <c r="D6" s="31"/>
      <c r="E6" s="31"/>
      <c r="F6" s="31"/>
      <c r="G6" s="31"/>
      <c r="H6" s="31"/>
      <c r="I6" s="31"/>
      <c r="J6" s="31"/>
      <c r="K6" s="31"/>
      <c r="L6" s="31">
        <f>IF(Triangulo1!M18=0,"-",Triangulo1!M18)</f>
        <v>11432174</v>
      </c>
      <c r="M6" s="25">
        <f>IF(Triangulo1!N18=0,"-",Triangulo1!N18)</f>
        <v>11644639</v>
      </c>
      <c r="N6" s="31">
        <f>IF(Triangulo1!O18=0,"-",Triangulo1!O18)</f>
        <v>11802250</v>
      </c>
      <c r="O6" s="25">
        <f>IF(Triangulo1!P18=0,"-",Triangulo1!P18)</f>
        <v>11840837</v>
      </c>
      <c r="P6" s="31">
        <f>IF(Triangulo1!Q18=0,"-",Triangulo1!Q18)</f>
        <v>11864201</v>
      </c>
      <c r="Q6" s="25">
        <f>IF(Triangulo1!R18=0,"-",Triangulo1!R18)</f>
        <v>11873586</v>
      </c>
      <c r="R6" s="31">
        <f>IF(Triangulo1!S18=0,"-",Triangulo1!S18)</f>
        <v>11878223</v>
      </c>
      <c r="S6" s="31">
        <f>IF(Triangulo1!T18=0,"-",Triangulo1!T18)</f>
        <v>11880065</v>
      </c>
      <c r="T6" s="26">
        <f>IF(Triangulo1!U18=0,"-",Triangulo1!U18)</f>
        <v>11880905</v>
      </c>
      <c r="U6" s="25">
        <f t="shared" ref="E6:V23" si="2">T6*T$26</f>
        <v>11881262.607073992</v>
      </c>
      <c r="V6" s="25">
        <f t="shared" si="2"/>
        <v>11881365.078939335</v>
      </c>
      <c r="W6" s="32">
        <f t="shared" si="0"/>
        <v>11881365.078939335</v>
      </c>
      <c r="X6" s="28">
        <f>T6</f>
        <v>11880905</v>
      </c>
      <c r="Y6" s="27">
        <f t="shared" si="1"/>
        <v>460.07893933542073</v>
      </c>
    </row>
    <row r="7" spans="1:25" ht="15" customHeight="1" x14ac:dyDescent="0.25">
      <c r="A7" s="23" t="s">
        <v>71</v>
      </c>
      <c r="B7" s="24" t="s">
        <v>11</v>
      </c>
      <c r="C7" s="25"/>
      <c r="D7" s="25"/>
      <c r="E7" s="25"/>
      <c r="F7" s="25"/>
      <c r="G7" s="25"/>
      <c r="H7" s="25"/>
      <c r="I7" s="25"/>
      <c r="J7" s="25"/>
      <c r="K7" s="25">
        <f>IF(Triangulo1!L19=0,"-",Triangulo1!L19)</f>
        <v>18751439</v>
      </c>
      <c r="L7" s="31">
        <f>IF(Triangulo1!M19=0,"-",Triangulo1!M19)</f>
        <v>18855100</v>
      </c>
      <c r="M7" s="25">
        <f>IF(Triangulo1!N19=0,"-",Triangulo1!N19)</f>
        <v>19152179</v>
      </c>
      <c r="N7" s="31">
        <f>IF(Triangulo1!O19=0,"-",Triangulo1!O19)</f>
        <v>19349458</v>
      </c>
      <c r="O7" s="25">
        <f>IF(Triangulo1!P19=0,"-",Triangulo1!P19)</f>
        <v>19426010</v>
      </c>
      <c r="P7" s="31">
        <f>IF(Triangulo1!Q19=0,"-",Triangulo1!Q19)</f>
        <v>19444545</v>
      </c>
      <c r="Q7" s="25">
        <f>IF(Triangulo1!R19=0,"-",Triangulo1!R19)</f>
        <v>19453256</v>
      </c>
      <c r="R7" s="31">
        <f>IF(Triangulo1!S19=0,"-",Triangulo1!S19)</f>
        <v>19457999</v>
      </c>
      <c r="S7" s="26">
        <f>IF(Triangulo1!T19=0,"-",Triangulo1!T19)</f>
        <v>19459976</v>
      </c>
      <c r="T7" s="25">
        <f t="shared" si="2"/>
        <v>19461127.688388702</v>
      </c>
      <c r="U7" s="25">
        <f t="shared" si="2"/>
        <v>19461713.454955243</v>
      </c>
      <c r="V7" s="25">
        <f t="shared" si="2"/>
        <v>19461881.305641357</v>
      </c>
      <c r="W7" s="32">
        <f t="shared" si="0"/>
        <v>19461881.305641357</v>
      </c>
      <c r="X7" s="28">
        <f>S7</f>
        <v>19459976</v>
      </c>
      <c r="Y7" s="27">
        <f t="shared" si="1"/>
        <v>1905.3056413568556</v>
      </c>
    </row>
    <row r="8" spans="1:25" ht="15" customHeight="1" x14ac:dyDescent="0.25">
      <c r="A8" s="29" t="s">
        <v>72</v>
      </c>
      <c r="B8" s="30" t="s">
        <v>12</v>
      </c>
      <c r="C8" s="31"/>
      <c r="D8" s="31"/>
      <c r="E8" s="31"/>
      <c r="F8" s="31"/>
      <c r="G8" s="31"/>
      <c r="H8" s="31"/>
      <c r="I8" s="31"/>
      <c r="J8" s="31">
        <f>IF(Triangulo1!K20=0,"-",Triangulo1!K20)</f>
        <v>10938865</v>
      </c>
      <c r="K8" s="25">
        <f>IF(Triangulo1!L20=0,"-",Triangulo1!L20)</f>
        <v>11091033</v>
      </c>
      <c r="L8" s="31">
        <f>IF(Triangulo1!M20=0,"-",Triangulo1!M20)</f>
        <v>11574757</v>
      </c>
      <c r="M8" s="25">
        <f>IF(Triangulo1!N20=0,"-",Triangulo1!N20)</f>
        <v>11660948</v>
      </c>
      <c r="N8" s="31">
        <f>IF(Triangulo1!O20=0,"-",Triangulo1!O20)</f>
        <v>11754449</v>
      </c>
      <c r="O8" s="25">
        <f>IF(Triangulo1!P20=0,"-",Triangulo1!P20)</f>
        <v>11785976</v>
      </c>
      <c r="P8" s="31">
        <f>IF(Triangulo1!Q20=0,"-",Triangulo1!Q20)</f>
        <v>11801623</v>
      </c>
      <c r="Q8" s="25">
        <f>IF(Triangulo1!R20=0,"-",Triangulo1!R20)</f>
        <v>11808422</v>
      </c>
      <c r="R8" s="26">
        <f>IF(Triangulo1!S20=0,"-",Triangulo1!S20)</f>
        <v>11812430</v>
      </c>
      <c r="S8" s="25">
        <f t="shared" si="2"/>
        <v>11813869.571538638</v>
      </c>
      <c r="T8" s="25">
        <f t="shared" si="2"/>
        <v>11814568.744878378</v>
      </c>
      <c r="U8" s="25">
        <f t="shared" si="2"/>
        <v>11814924.355276687</v>
      </c>
      <c r="V8" s="25">
        <f t="shared" si="2"/>
        <v>11815026.25499708</v>
      </c>
      <c r="W8" s="32">
        <f t="shared" si="0"/>
        <v>11815026.25499708</v>
      </c>
      <c r="X8" s="28">
        <f>R8</f>
        <v>11812430</v>
      </c>
      <c r="Y8" s="27">
        <f t="shared" si="1"/>
        <v>2596.254997080192</v>
      </c>
    </row>
    <row r="9" spans="1:25" ht="15" customHeight="1" x14ac:dyDescent="0.25">
      <c r="A9" s="23" t="s">
        <v>73</v>
      </c>
      <c r="B9" s="24" t="s">
        <v>13</v>
      </c>
      <c r="C9" s="25"/>
      <c r="D9" s="25"/>
      <c r="E9" s="25"/>
      <c r="F9" s="25"/>
      <c r="G9" s="25"/>
      <c r="H9" s="25"/>
      <c r="I9" s="25">
        <f>IF(Triangulo1!J21=0,"-",Triangulo1!J21)</f>
        <v>9082448</v>
      </c>
      <c r="J9" s="31">
        <f>IF(Triangulo1!K21=0,"-",Triangulo1!K21)</f>
        <v>12082448</v>
      </c>
      <c r="K9" s="25">
        <f>IF(Triangulo1!L21=0,"-",Triangulo1!L21)</f>
        <v>12687409</v>
      </c>
      <c r="L9" s="31">
        <f>IF(Triangulo1!M21=0,"-",Triangulo1!M21)</f>
        <v>12838372</v>
      </c>
      <c r="M9" s="25">
        <f>IF(Triangulo1!N21=0,"-",Triangulo1!N21)</f>
        <v>12930641</v>
      </c>
      <c r="N9" s="31">
        <f>IF(Triangulo1!O21=0,"-",Triangulo1!O21)</f>
        <v>12990612</v>
      </c>
      <c r="O9" s="25">
        <f>IF(Triangulo1!P21=0,"-",Triangulo1!P21)</f>
        <v>13017211</v>
      </c>
      <c r="P9" s="31">
        <f>IF(Triangulo1!Q21=0,"-",Triangulo1!Q21)</f>
        <v>13032985</v>
      </c>
      <c r="Q9" s="26">
        <f>IF(Triangulo1!R21=0,"-",Triangulo1!R21)</f>
        <v>13041104</v>
      </c>
      <c r="R9" s="25">
        <f t="shared" si="2"/>
        <v>13046227.951759923</v>
      </c>
      <c r="S9" s="25">
        <f t="shared" si="2"/>
        <v>13047817.885282995</v>
      </c>
      <c r="T9" s="25">
        <f t="shared" si="2"/>
        <v>13048590.086664762</v>
      </c>
      <c r="U9" s="25">
        <f t="shared" si="2"/>
        <v>13048982.840257239</v>
      </c>
      <c r="V9" s="25">
        <f t="shared" si="2"/>
        <v>13049095.383314041</v>
      </c>
      <c r="W9" s="32">
        <f t="shared" si="0"/>
        <v>13049095.383314041</v>
      </c>
      <c r="X9" s="28">
        <f>Q9</f>
        <v>13041104</v>
      </c>
      <c r="Y9" s="27">
        <f t="shared" si="1"/>
        <v>7991.3833140414208</v>
      </c>
    </row>
    <row r="10" spans="1:25" ht="15" customHeight="1" x14ac:dyDescent="0.25">
      <c r="A10" s="29" t="s">
        <v>74</v>
      </c>
      <c r="B10" s="30" t="s">
        <v>14</v>
      </c>
      <c r="C10" s="31"/>
      <c r="D10" s="31"/>
      <c r="E10" s="31"/>
      <c r="F10" s="31"/>
      <c r="G10" s="31"/>
      <c r="H10" s="31">
        <f>IF(Triangulo1!I22=0,"-",Triangulo1!I22)</f>
        <v>8328067</v>
      </c>
      <c r="I10" s="25">
        <f>IF(Triangulo1!J22=0,"-",Triangulo1!J22)</f>
        <v>9073367</v>
      </c>
      <c r="J10" s="31">
        <f>IF(Triangulo1!K22=0,"-",Triangulo1!K22)</f>
        <v>9580777</v>
      </c>
      <c r="K10" s="25">
        <f>IF(Triangulo1!L22=0,"-",Triangulo1!L22)</f>
        <v>10084545</v>
      </c>
      <c r="L10" s="31">
        <f>IF(Triangulo1!M22=0,"-",Triangulo1!M22)</f>
        <v>10574369</v>
      </c>
      <c r="M10" s="25">
        <f>IF(Triangulo1!N22=0,"-",Triangulo1!N22)</f>
        <v>10704764</v>
      </c>
      <c r="N10" s="31">
        <f>IF(Triangulo1!O22=0,"-",Triangulo1!O22)</f>
        <v>10779530</v>
      </c>
      <c r="O10" s="25">
        <f>IF(Triangulo1!P22=0,"-",Triangulo1!P22)</f>
        <v>10810916</v>
      </c>
      <c r="P10" s="26">
        <f>IF(Triangulo1!Q22=0,"-",Triangulo1!Q22)</f>
        <v>10825407</v>
      </c>
      <c r="Q10" s="25">
        <f t="shared" si="2"/>
        <v>10833173.296474602</v>
      </c>
      <c r="R10" s="25">
        <f t="shared" si="2"/>
        <v>10837429.734992234</v>
      </c>
      <c r="S10" s="25">
        <f t="shared" si="2"/>
        <v>10838750.484016649</v>
      </c>
      <c r="T10" s="25">
        <f t="shared" si="2"/>
        <v>10839391.947453216</v>
      </c>
      <c r="U10" s="25">
        <f t="shared" si="2"/>
        <v>10839718.205700224</v>
      </c>
      <c r="V10" s="25">
        <f t="shared" si="2"/>
        <v>10839811.694597917</v>
      </c>
      <c r="W10" s="32">
        <f t="shared" si="0"/>
        <v>10839811.694597917</v>
      </c>
      <c r="X10" s="28">
        <f>P10</f>
        <v>10825407</v>
      </c>
      <c r="Y10" s="27">
        <f t="shared" si="1"/>
        <v>14404.694597916678</v>
      </c>
    </row>
    <row r="11" spans="1:25" ht="15" customHeight="1" x14ac:dyDescent="0.25">
      <c r="A11" s="23" t="s">
        <v>75</v>
      </c>
      <c r="B11" s="24" t="s">
        <v>15</v>
      </c>
      <c r="C11" s="25"/>
      <c r="D11" s="25"/>
      <c r="E11" s="25"/>
      <c r="F11" s="25"/>
      <c r="G11" s="25">
        <f>IF(Triangulo1!H23=0,"-",Triangulo1!H23)</f>
        <v>11791969</v>
      </c>
      <c r="H11" s="31">
        <f>IF(Triangulo1!I23=0,"-",Triangulo1!I23)</f>
        <v>12446387</v>
      </c>
      <c r="I11" s="25">
        <f>IF(Triangulo1!J23=0,"-",Triangulo1!J23)</f>
        <v>12820241</v>
      </c>
      <c r="J11" s="31">
        <f>IF(Triangulo1!K23=0,"-",Triangulo1!K23)</f>
        <v>13419392</v>
      </c>
      <c r="K11" s="25">
        <f>IF(Triangulo1!L23=0,"-",Triangulo1!L23)</f>
        <v>13586619</v>
      </c>
      <c r="L11" s="31">
        <f>IF(Triangulo1!M23=0,"-",Triangulo1!M23)</f>
        <v>13861205</v>
      </c>
      <c r="M11" s="25">
        <f>IF(Triangulo1!N23=0,"-",Triangulo1!N23)</f>
        <v>13987078</v>
      </c>
      <c r="N11" s="31">
        <f>IF(Triangulo1!O23=0,"-",Triangulo1!O23)</f>
        <v>14043493</v>
      </c>
      <c r="O11" s="26">
        <f>IF(Triangulo1!P23=0,"-",Triangulo1!P23)</f>
        <v>14079323</v>
      </c>
      <c r="P11" s="25">
        <f t="shared" si="2"/>
        <v>14098786.834447153</v>
      </c>
      <c r="Q11" s="25">
        <f t="shared" si="2"/>
        <v>14108901.498818528</v>
      </c>
      <c r="R11" s="25">
        <f t="shared" si="2"/>
        <v>14114444.996567298</v>
      </c>
      <c r="S11" s="25">
        <f t="shared" si="2"/>
        <v>14116165.112860112</v>
      </c>
      <c r="T11" s="25">
        <f t="shared" si="2"/>
        <v>14117000.541611589</v>
      </c>
      <c r="U11" s="25">
        <f t="shared" si="2"/>
        <v>14117425.453624371</v>
      </c>
      <c r="V11" s="25">
        <f t="shared" si="2"/>
        <v>14117547.211636791</v>
      </c>
      <c r="W11" s="32">
        <f t="shared" si="0"/>
        <v>14117547.211636791</v>
      </c>
      <c r="X11" s="28">
        <f>O11</f>
        <v>14079323</v>
      </c>
      <c r="Y11" s="27">
        <f t="shared" si="1"/>
        <v>38224.211636791006</v>
      </c>
    </row>
    <row r="12" spans="1:25" ht="15" customHeight="1" x14ac:dyDescent="0.25">
      <c r="A12" s="29" t="s">
        <v>76</v>
      </c>
      <c r="B12" s="30" t="s">
        <v>16</v>
      </c>
      <c r="C12" s="31"/>
      <c r="D12" s="31"/>
      <c r="E12" s="31"/>
      <c r="F12" s="25">
        <f>IF(Triangulo1!G24=0,"-",Triangulo1!G24)</f>
        <v>12328713</v>
      </c>
      <c r="G12" s="25">
        <f>IF(Triangulo1!H24=0,"-",Triangulo1!H24)</f>
        <v>12743016</v>
      </c>
      <c r="H12" s="31">
        <f>IF(Triangulo1!I24=0,"-",Triangulo1!I24)</f>
        <v>13716063</v>
      </c>
      <c r="I12" s="25">
        <f>IF(Triangulo1!J24=0,"-",Triangulo1!J24)</f>
        <v>13936735</v>
      </c>
      <c r="J12" s="31">
        <f>IF(Triangulo1!K24=0,"-",Triangulo1!K24)</f>
        <v>14684360</v>
      </c>
      <c r="K12" s="25">
        <f>IF(Triangulo1!L24=0,"-",Triangulo1!L24)</f>
        <v>15224487</v>
      </c>
      <c r="L12" s="31">
        <f>IF(Triangulo1!M24=0,"-",Triangulo1!M24)</f>
        <v>15505624</v>
      </c>
      <c r="M12" s="25">
        <f>IF(Triangulo1!N24=0,"-",Triangulo1!N24)</f>
        <v>15616491</v>
      </c>
      <c r="N12" s="26">
        <f>IF(Triangulo1!O24=0,"-",Triangulo1!O24)</f>
        <v>15669883</v>
      </c>
      <c r="O12" s="25">
        <f t="shared" si="2"/>
        <v>15718375.069475604</v>
      </c>
      <c r="P12" s="25">
        <f t="shared" si="2"/>
        <v>15740104.796830431</v>
      </c>
      <c r="Q12" s="25">
        <f t="shared" si="2"/>
        <v>15751396.9653737</v>
      </c>
      <c r="R12" s="25">
        <f t="shared" si="2"/>
        <v>15757585.812437721</v>
      </c>
      <c r="S12" s="25">
        <f t="shared" si="2"/>
        <v>15759506.177007349</v>
      </c>
      <c r="T12" s="25">
        <f t="shared" si="2"/>
        <v>15760438.862652786</v>
      </c>
      <c r="U12" s="25">
        <f t="shared" si="2"/>
        <v>15760913.241029391</v>
      </c>
      <c r="V12" s="25">
        <f t="shared" si="2"/>
        <v>15761049.173567265</v>
      </c>
      <c r="W12" s="32">
        <f t="shared" si="0"/>
        <v>15761049.173567265</v>
      </c>
      <c r="X12" s="28">
        <f>N12</f>
        <v>15669883</v>
      </c>
      <c r="Y12" s="27">
        <f t="shared" si="1"/>
        <v>91166.173567265272</v>
      </c>
    </row>
    <row r="13" spans="1:25" ht="15" customHeight="1" x14ac:dyDescent="0.25">
      <c r="A13" s="23" t="s">
        <v>77</v>
      </c>
      <c r="B13" s="24" t="s">
        <v>17</v>
      </c>
      <c r="C13" s="25"/>
      <c r="D13" s="25"/>
      <c r="E13" s="25">
        <f>IF(Triangulo1!F25=0,"-",Triangulo1!F25)</f>
        <v>8942057</v>
      </c>
      <c r="F13" s="25">
        <f>IF(Triangulo1!G25=0,"-",Triangulo1!G25)</f>
        <v>10413724</v>
      </c>
      <c r="G13" s="25">
        <f>IF(Triangulo1!H25=0,"-",Triangulo1!H25)</f>
        <v>11109326</v>
      </c>
      <c r="H13" s="31">
        <f>IF(Triangulo1!I25=0,"-",Triangulo1!I25)</f>
        <v>11743877</v>
      </c>
      <c r="I13" s="25">
        <f>IF(Triangulo1!J25=0,"-",Triangulo1!J25)</f>
        <v>12264947</v>
      </c>
      <c r="J13" s="31">
        <f>IF(Triangulo1!K25=0,"-",Triangulo1!K25)</f>
        <v>13331758</v>
      </c>
      <c r="K13" s="25">
        <f>IF(Triangulo1!L25=0,"-",Triangulo1!L25)</f>
        <v>13881470</v>
      </c>
      <c r="L13" s="31">
        <f>IF(Triangulo1!M25=0,"-",Triangulo1!M25)</f>
        <v>14105853</v>
      </c>
      <c r="M13" s="26">
        <f>IF(Triangulo1!N25=0,"-",Triangulo1!N25)</f>
        <v>14231236</v>
      </c>
      <c r="N13" s="25">
        <f t="shared" si="2"/>
        <v>14340832.167872883</v>
      </c>
      <c r="O13" s="25">
        <f t="shared" si="2"/>
        <v>14385211.352441298</v>
      </c>
      <c r="P13" s="25">
        <f t="shared" si="2"/>
        <v>14405098.059511745</v>
      </c>
      <c r="Q13" s="25">
        <f t="shared" si="2"/>
        <v>14415432.475785969</v>
      </c>
      <c r="R13" s="25">
        <f t="shared" si="2"/>
        <v>14421096.411953058</v>
      </c>
      <c r="S13" s="25">
        <f t="shared" si="2"/>
        <v>14422853.899612295</v>
      </c>
      <c r="T13" s="25">
        <f t="shared" si="2"/>
        <v>14423707.478947034</v>
      </c>
      <c r="U13" s="25">
        <f t="shared" si="2"/>
        <v>14424141.622627812</v>
      </c>
      <c r="V13" s="25">
        <f t="shared" si="2"/>
        <v>14424266.025963293</v>
      </c>
      <c r="W13" s="32">
        <f t="shared" si="0"/>
        <v>14424266.025963293</v>
      </c>
      <c r="X13" s="28">
        <f>M13</f>
        <v>14231236</v>
      </c>
      <c r="Y13" s="27">
        <f t="shared" si="1"/>
        <v>193030.02596329339</v>
      </c>
    </row>
    <row r="14" spans="1:25" ht="15" customHeight="1" x14ac:dyDescent="0.25">
      <c r="A14" s="29" t="s">
        <v>78</v>
      </c>
      <c r="B14" s="30" t="s">
        <v>18</v>
      </c>
      <c r="C14" s="31"/>
      <c r="D14" s="25">
        <f>IF(Triangulo1!E26=0,"-",Triangulo1!E26)</f>
        <v>7741218</v>
      </c>
      <c r="E14" s="25">
        <f>IF(Triangulo1!F26=0,"-",Triangulo1!F26)</f>
        <v>9386858</v>
      </c>
      <c r="F14" s="25">
        <f>IF(Triangulo1!G26=0,"-",Triangulo1!G26)</f>
        <v>9734366</v>
      </c>
      <c r="G14" s="25">
        <f>IF(Triangulo1!H26=0,"-",Triangulo1!H26)</f>
        <v>10964336</v>
      </c>
      <c r="H14" s="31">
        <f>IF(Triangulo1!I26=0,"-",Triangulo1!I26)</f>
        <v>11346897</v>
      </c>
      <c r="I14" s="25">
        <f>IF(Triangulo1!J26=0,"-",Triangulo1!J26)</f>
        <v>13064544</v>
      </c>
      <c r="J14" s="31">
        <f>IF(Triangulo1!K26=0,"-",Triangulo1!K26)</f>
        <v>14121948</v>
      </c>
      <c r="K14" s="25">
        <f>IF(Triangulo1!L26=0,"-",Triangulo1!L26)</f>
        <v>14605429</v>
      </c>
      <c r="L14" s="26">
        <f>IF(Triangulo1!M26=0,"-",Triangulo1!M26)</f>
        <v>14862271</v>
      </c>
      <c r="M14" s="25">
        <f t="shared" si="2"/>
        <v>15023610.297979906</v>
      </c>
      <c r="N14" s="25">
        <f t="shared" si="2"/>
        <v>15139308.619353691</v>
      </c>
      <c r="O14" s="25">
        <f t="shared" si="2"/>
        <v>15186158.771673419</v>
      </c>
      <c r="P14" s="25">
        <f t="shared" si="2"/>
        <v>15207152.741356479</v>
      </c>
      <c r="Q14" s="25">
        <f t="shared" si="2"/>
        <v>15218062.562735382</v>
      </c>
      <c r="R14" s="25">
        <f t="shared" si="2"/>
        <v>15224041.858541241</v>
      </c>
      <c r="S14" s="25">
        <f t="shared" si="2"/>
        <v>15225897.200529518</v>
      </c>
      <c r="T14" s="25">
        <f t="shared" si="2"/>
        <v>15226798.305906698</v>
      </c>
      <c r="U14" s="25">
        <f t="shared" si="2"/>
        <v>15227256.622069351</v>
      </c>
      <c r="V14" s="25">
        <f t="shared" si="2"/>
        <v>15227387.951999657</v>
      </c>
      <c r="W14" s="32">
        <f t="shared" si="0"/>
        <v>15227387.951999657</v>
      </c>
      <c r="X14" s="28">
        <f>L14</f>
        <v>14862271</v>
      </c>
      <c r="Y14" s="27">
        <f t="shared" si="1"/>
        <v>365116.95199965686</v>
      </c>
    </row>
    <row r="15" spans="1:25" ht="15" customHeight="1" x14ac:dyDescent="0.25">
      <c r="A15" s="23" t="s">
        <v>79</v>
      </c>
      <c r="B15" s="24" t="s">
        <v>19</v>
      </c>
      <c r="C15" s="25">
        <f>IF(Triangulo1!D27=0,"-",Triangulo1!D27)</f>
        <v>6500694</v>
      </c>
      <c r="D15" s="25">
        <f>IF(Triangulo1!E27=0,"-",Triangulo1!E27)</f>
        <v>9436157</v>
      </c>
      <c r="E15" s="25">
        <f>IF(Triangulo1!F27=0,"-",Triangulo1!F27)</f>
        <v>11552953</v>
      </c>
      <c r="F15" s="25">
        <f>IF(Triangulo1!G27=0,"-",Triangulo1!G27)</f>
        <v>12130358</v>
      </c>
      <c r="G15" s="25">
        <f>IF(Triangulo1!H27=0,"-",Triangulo1!H27)</f>
        <v>13369514</v>
      </c>
      <c r="H15" s="31">
        <f>IF(Triangulo1!I27=0,"-",Triangulo1!I27)</f>
        <v>15030308</v>
      </c>
      <c r="I15" s="25">
        <f>IF(Triangulo1!J27=0,"-",Triangulo1!J27)</f>
        <v>16697100</v>
      </c>
      <c r="J15" s="31">
        <f>IF(Triangulo1!K27=0,"-",Triangulo1!K27)</f>
        <v>17828453</v>
      </c>
      <c r="K15" s="26">
        <f>IF(Triangulo1!L27=0,"-",Triangulo1!L27)</f>
        <v>18294564</v>
      </c>
      <c r="L15" s="25">
        <f t="shared" si="2"/>
        <v>18671585.802089702</v>
      </c>
      <c r="M15" s="25">
        <f t="shared" si="2"/>
        <v>18874277.607768707</v>
      </c>
      <c r="N15" s="25">
        <f t="shared" si="2"/>
        <v>19019630.302164361</v>
      </c>
      <c r="O15" s="25">
        <f t="shared" si="2"/>
        <v>19078488.51023221</v>
      </c>
      <c r="P15" s="25">
        <f t="shared" si="2"/>
        <v>19104863.396429867</v>
      </c>
      <c r="Q15" s="25">
        <f t="shared" si="2"/>
        <v>19118569.489257921</v>
      </c>
      <c r="R15" s="25">
        <f t="shared" si="2"/>
        <v>19126081.324742224</v>
      </c>
      <c r="S15" s="25">
        <f t="shared" si="2"/>
        <v>19128412.205206342</v>
      </c>
      <c r="T15" s="25">
        <f t="shared" si="2"/>
        <v>19129544.270848718</v>
      </c>
      <c r="U15" s="25">
        <f t="shared" si="2"/>
        <v>19130120.056982309</v>
      </c>
      <c r="V15" s="25">
        <f t="shared" si="2"/>
        <v>19130285.047787689</v>
      </c>
      <c r="W15" s="32">
        <f t="shared" si="0"/>
        <v>19130285.047787689</v>
      </c>
      <c r="X15" s="28">
        <f>K15</f>
        <v>18294564</v>
      </c>
      <c r="Y15" s="27">
        <f t="shared" si="1"/>
        <v>835721.04778768867</v>
      </c>
    </row>
    <row r="16" spans="1:25" ht="15" customHeight="1" x14ac:dyDescent="0.25">
      <c r="A16" s="29" t="s">
        <v>80</v>
      </c>
      <c r="B16" s="30" t="s">
        <v>20</v>
      </c>
      <c r="C16" s="25">
        <f>IF(Triangulo1!D28=0,"-",Triangulo1!D28)</f>
        <v>5205434</v>
      </c>
      <c r="D16" s="25">
        <f>IF(Triangulo1!E28=0,"-",Triangulo1!E28)</f>
        <v>7752400</v>
      </c>
      <c r="E16" s="25">
        <f>IF(Triangulo1!F28=0,"-",Triangulo1!F28)</f>
        <v>9411446</v>
      </c>
      <c r="F16" s="25">
        <f>IF(Triangulo1!G28=0,"-",Triangulo1!G28)</f>
        <v>10805763</v>
      </c>
      <c r="G16" s="25">
        <f>IF(Triangulo1!H28=0,"-",Triangulo1!H28)</f>
        <v>13284336</v>
      </c>
      <c r="H16" s="31">
        <f>IF(Triangulo1!I28=0,"-",Triangulo1!I28)</f>
        <v>15384835</v>
      </c>
      <c r="I16" s="25">
        <f>IF(Triangulo1!J28=0,"-",Triangulo1!J28)</f>
        <v>17438864</v>
      </c>
      <c r="J16" s="26">
        <f>IF(Triangulo1!K28=0,"-",Triangulo1!K28)</f>
        <v>18514044</v>
      </c>
      <c r="K16" s="25">
        <f t="shared" si="2"/>
        <v>19119758.469908912</v>
      </c>
      <c r="L16" s="25">
        <f t="shared" si="2"/>
        <v>19513786.214644719</v>
      </c>
      <c r="M16" s="25">
        <f t="shared" si="2"/>
        <v>19725620.635427434</v>
      </c>
      <c r="N16" s="25">
        <f t="shared" si="2"/>
        <v>19877529.607392844</v>
      </c>
      <c r="O16" s="25">
        <f t="shared" si="2"/>
        <v>19939042.673363093</v>
      </c>
      <c r="P16" s="25">
        <f t="shared" si="2"/>
        <v>19966607.224984579</v>
      </c>
      <c r="Q16" s="25">
        <f t="shared" si="2"/>
        <v>19980931.544735435</v>
      </c>
      <c r="R16" s="25">
        <f t="shared" si="2"/>
        <v>19988782.209016126</v>
      </c>
      <c r="S16" s="25">
        <f t="shared" si="2"/>
        <v>19991218.226157401</v>
      </c>
      <c r="T16" s="25">
        <f t="shared" si="2"/>
        <v>19992401.354744356</v>
      </c>
      <c r="U16" s="25">
        <f t="shared" si="2"/>
        <v>19993003.112283073</v>
      </c>
      <c r="V16" s="25">
        <f t="shared" si="2"/>
        <v>19993175.545162514</v>
      </c>
      <c r="W16" s="32">
        <f t="shared" si="0"/>
        <v>19993175.545162514</v>
      </c>
      <c r="X16" s="28">
        <f>J16</f>
        <v>18514044</v>
      </c>
      <c r="Y16" s="27">
        <f t="shared" si="1"/>
        <v>1479131.5451625139</v>
      </c>
    </row>
    <row r="17" spans="1:25" ht="15" customHeight="1" x14ac:dyDescent="0.25">
      <c r="A17" s="23" t="s">
        <v>81</v>
      </c>
      <c r="B17" s="24" t="s">
        <v>21</v>
      </c>
      <c r="C17" s="25">
        <f>IF(Triangulo1!D29=0,"-",Triangulo1!D29)</f>
        <v>5184519</v>
      </c>
      <c r="D17" s="25">
        <f>IF(Triangulo1!E29=0,"-",Triangulo1!E29)</f>
        <v>7275135</v>
      </c>
      <c r="E17" s="25">
        <f>IF(Triangulo1!F29=0,"-",Triangulo1!F29)</f>
        <v>7974797</v>
      </c>
      <c r="F17" s="25">
        <f>IF(Triangulo1!G29=0,"-",Triangulo1!G29)</f>
        <v>11597296</v>
      </c>
      <c r="G17" s="25">
        <f>IF(Triangulo1!H29=0,"-",Triangulo1!H29)</f>
        <v>14585912</v>
      </c>
      <c r="H17" s="31">
        <f>IF(Triangulo1!I29=0,"-",Triangulo1!I29)</f>
        <v>16285147</v>
      </c>
      <c r="I17" s="26">
        <f>IF(Triangulo1!J29=0,"-",Triangulo1!J29)</f>
        <v>18338971</v>
      </c>
      <c r="J17" s="25">
        <f t="shared" si="2"/>
        <v>19952738.6644127</v>
      </c>
      <c r="K17" s="25">
        <f t="shared" si="2"/>
        <v>20605522.168834843</v>
      </c>
      <c r="L17" s="25">
        <f t="shared" si="2"/>
        <v>21030169.135064449</v>
      </c>
      <c r="M17" s="25">
        <f t="shared" si="2"/>
        <v>21258464.846039575</v>
      </c>
      <c r="N17" s="25">
        <f t="shared" si="2"/>
        <v>21422178.404158231</v>
      </c>
      <c r="O17" s="25">
        <f t="shared" si="2"/>
        <v>21488471.5451787</v>
      </c>
      <c r="P17" s="25">
        <f t="shared" si="2"/>
        <v>21518178.09091799</v>
      </c>
      <c r="Q17" s="25">
        <f t="shared" si="2"/>
        <v>21533615.529034391</v>
      </c>
      <c r="R17" s="25">
        <f t="shared" si="2"/>
        <v>21542076.254996512</v>
      </c>
      <c r="S17" s="25">
        <f t="shared" si="2"/>
        <v>21544701.570859537</v>
      </c>
      <c r="T17" s="25">
        <f t="shared" si="2"/>
        <v>21545976.638343547</v>
      </c>
      <c r="U17" s="25">
        <f t="shared" si="2"/>
        <v>21546625.157430429</v>
      </c>
      <c r="V17" s="25">
        <f t="shared" si="2"/>
        <v>21546810.989773739</v>
      </c>
      <c r="W17" s="32">
        <f t="shared" si="0"/>
        <v>21546810.989773739</v>
      </c>
      <c r="X17" s="28">
        <f>I17</f>
        <v>18338971</v>
      </c>
      <c r="Y17" s="27">
        <f t="shared" si="1"/>
        <v>3207839.9897737391</v>
      </c>
    </row>
    <row r="18" spans="1:25" ht="15" customHeight="1" x14ac:dyDescent="0.25">
      <c r="A18" s="29" t="s">
        <v>82</v>
      </c>
      <c r="B18" s="30" t="s">
        <v>22</v>
      </c>
      <c r="C18" s="25">
        <f>IF(Triangulo1!D30=0,"-",Triangulo1!D30)</f>
        <v>3419011</v>
      </c>
      <c r="D18" s="25">
        <f>IF(Triangulo1!E30=0,"-",Triangulo1!E30)</f>
        <v>4773306</v>
      </c>
      <c r="E18" s="25">
        <f>IF(Triangulo1!F30=0,"-",Triangulo1!F30)</f>
        <v>8697825</v>
      </c>
      <c r="F18" s="25">
        <f>IF(Triangulo1!G30=0,"-",Triangulo1!G30)</f>
        <v>12220494</v>
      </c>
      <c r="G18" s="25">
        <f>IF(Triangulo1!H30=0,"-",Triangulo1!H30)</f>
        <v>14462971</v>
      </c>
      <c r="H18" s="26">
        <f>IF(Triangulo1!I30=0,"-",Triangulo1!I30)</f>
        <v>16656668</v>
      </c>
      <c r="I18" s="25">
        <f t="shared" si="2"/>
        <v>18150632.185847778</v>
      </c>
      <c r="J18" s="25">
        <f t="shared" si="2"/>
        <v>19747826.669124376</v>
      </c>
      <c r="K18" s="25">
        <f t="shared" si="2"/>
        <v>20393906.17302648</v>
      </c>
      <c r="L18" s="25">
        <f t="shared" si="2"/>
        <v>20814192.070903178</v>
      </c>
      <c r="M18" s="25">
        <f t="shared" si="2"/>
        <v>21040143.215027682</v>
      </c>
      <c r="N18" s="25">
        <f t="shared" si="2"/>
        <v>21202175.456490312</v>
      </c>
      <c r="O18" s="25">
        <f t="shared" si="2"/>
        <v>21267787.775693338</v>
      </c>
      <c r="P18" s="25">
        <f t="shared" si="2"/>
        <v>21297189.23912473</v>
      </c>
      <c r="Q18" s="25">
        <f t="shared" si="2"/>
        <v>21312468.136787124</v>
      </c>
      <c r="R18" s="25">
        <f t="shared" si="2"/>
        <v>21320841.97220917</v>
      </c>
      <c r="S18" s="25">
        <f t="shared" si="2"/>
        <v>21323440.326424431</v>
      </c>
      <c r="T18" s="25">
        <f t="shared" si="2"/>
        <v>21324702.299133498</v>
      </c>
      <c r="U18" s="25">
        <f t="shared" si="2"/>
        <v>21325344.158014867</v>
      </c>
      <c r="V18" s="25">
        <f t="shared" si="2"/>
        <v>21325528.081884515</v>
      </c>
      <c r="W18" s="32">
        <f t="shared" si="0"/>
        <v>21325528.081884515</v>
      </c>
      <c r="X18" s="28">
        <f>H18</f>
        <v>16656668</v>
      </c>
      <c r="Y18" s="27">
        <f t="shared" si="1"/>
        <v>4668860.0818845145</v>
      </c>
    </row>
    <row r="19" spans="1:25" ht="15" customHeight="1" x14ac:dyDescent="0.25">
      <c r="A19" s="23" t="s">
        <v>83</v>
      </c>
      <c r="B19" s="24" t="s">
        <v>23</v>
      </c>
      <c r="C19" s="25">
        <f>IF(Triangulo1!D31=0,"-",Triangulo1!D31)</f>
        <v>5498188</v>
      </c>
      <c r="D19" s="25">
        <f>IF(Triangulo1!E31=0,"-",Triangulo1!E31)</f>
        <v>10669557</v>
      </c>
      <c r="E19" s="25">
        <f>IF(Triangulo1!F31=0,"-",Triangulo1!F31)</f>
        <v>14420577</v>
      </c>
      <c r="F19" s="25">
        <f>IF(Triangulo1!G31=0,"-",Triangulo1!G31)</f>
        <v>17838126</v>
      </c>
      <c r="G19" s="26">
        <f>IF(Triangulo1!H31=0,"-",Triangulo1!H31)</f>
        <v>20243242</v>
      </c>
      <c r="H19" s="25">
        <f t="shared" si="2"/>
        <v>22280954.141074475</v>
      </c>
      <c r="I19" s="25">
        <f t="shared" si="2"/>
        <v>24279369.881442357</v>
      </c>
      <c r="J19" s="25">
        <f t="shared" si="2"/>
        <v>26415872.634349663</v>
      </c>
      <c r="K19" s="25">
        <f t="shared" si="2"/>
        <v>27280107.17381043</v>
      </c>
      <c r="L19" s="25">
        <f t="shared" si="2"/>
        <v>27842306.697552573</v>
      </c>
      <c r="M19" s="25">
        <f t="shared" si="2"/>
        <v>28144552.445643451</v>
      </c>
      <c r="N19" s="25">
        <f t="shared" si="2"/>
        <v>28361296.451191522</v>
      </c>
      <c r="O19" s="25">
        <f t="shared" si="2"/>
        <v>28449063.408859897</v>
      </c>
      <c r="P19" s="25">
        <f t="shared" si="2"/>
        <v>28488392.562709596</v>
      </c>
      <c r="Q19" s="25">
        <f t="shared" si="2"/>
        <v>28508830.528942816</v>
      </c>
      <c r="R19" s="25">
        <f t="shared" si="2"/>
        <v>28520031.871433616</v>
      </c>
      <c r="S19" s="25">
        <f t="shared" si="2"/>
        <v>28523507.585250601</v>
      </c>
      <c r="T19" s="25">
        <f t="shared" si="2"/>
        <v>28525195.675333086</v>
      </c>
      <c r="U19" s="25">
        <f t="shared" si="2"/>
        <v>28526054.264115717</v>
      </c>
      <c r="V19" s="25">
        <f t="shared" si="2"/>
        <v>28526300.29167087</v>
      </c>
      <c r="W19" s="32">
        <f t="shared" si="0"/>
        <v>28526300.29167087</v>
      </c>
      <c r="X19" s="28">
        <f>G19</f>
        <v>20243242</v>
      </c>
      <c r="Y19" s="27">
        <f t="shared" si="1"/>
        <v>8283058.29167087</v>
      </c>
    </row>
    <row r="20" spans="1:25" ht="15" customHeight="1" x14ac:dyDescent="0.25">
      <c r="A20" s="29" t="s">
        <v>84</v>
      </c>
      <c r="B20" s="30" t="s">
        <v>24</v>
      </c>
      <c r="C20" s="25">
        <f>IF(Triangulo1!D32=0,"-",Triangulo1!D32)</f>
        <v>6382667</v>
      </c>
      <c r="D20" s="25">
        <f>IF(Triangulo1!E32=0,"-",Triangulo1!E32)</f>
        <v>10460689</v>
      </c>
      <c r="E20" s="25">
        <f>IF(Triangulo1!F32=0,"-",Triangulo1!F32)</f>
        <v>15242265</v>
      </c>
      <c r="F20" s="26">
        <f>IF(Triangulo1!G32=0,"-",Triangulo1!G32)</f>
        <v>19075882</v>
      </c>
      <c r="G20" s="25">
        <f t="shared" si="2"/>
        <v>21766977.936843026</v>
      </c>
      <c r="H20" s="25">
        <f t="shared" si="2"/>
        <v>23958071.399856769</v>
      </c>
      <c r="I20" s="25">
        <f t="shared" si="2"/>
        <v>26106910.56945359</v>
      </c>
      <c r="J20" s="25">
        <f t="shared" si="2"/>
        <v>28404230.745961767</v>
      </c>
      <c r="K20" s="25">
        <f t="shared" si="2"/>
        <v>29333517.376665495</v>
      </c>
      <c r="L20" s="25">
        <f t="shared" si="2"/>
        <v>29938034.411506008</v>
      </c>
      <c r="M20" s="25">
        <f t="shared" si="2"/>
        <v>30263030.60184937</v>
      </c>
      <c r="N20" s="25">
        <f t="shared" si="2"/>
        <v>30496089.218977388</v>
      </c>
      <c r="O20" s="25">
        <f t="shared" si="2"/>
        <v>30590462.513094574</v>
      </c>
      <c r="P20" s="25">
        <f t="shared" si="2"/>
        <v>30632752.025027547</v>
      </c>
      <c r="Q20" s="25">
        <f t="shared" si="2"/>
        <v>30654728.384351436</v>
      </c>
      <c r="R20" s="25">
        <f t="shared" si="2"/>
        <v>30666772.866893329</v>
      </c>
      <c r="S20" s="25">
        <f t="shared" si="2"/>
        <v>30670510.202344295</v>
      </c>
      <c r="T20" s="25">
        <f t="shared" si="2"/>
        <v>30672325.357228123</v>
      </c>
      <c r="U20" s="25">
        <f t="shared" si="2"/>
        <v>30673248.573138319</v>
      </c>
      <c r="V20" s="25">
        <f t="shared" si="2"/>
        <v>30673513.119517047</v>
      </c>
      <c r="W20" s="32">
        <f t="shared" si="0"/>
        <v>30673513.119517047</v>
      </c>
      <c r="X20" s="28">
        <f>F20</f>
        <v>19075882</v>
      </c>
      <c r="Y20" s="27">
        <f t="shared" si="1"/>
        <v>11597631.119517047</v>
      </c>
    </row>
    <row r="21" spans="1:25" ht="15" customHeight="1" x14ac:dyDescent="0.25">
      <c r="A21" s="23" t="s">
        <v>85</v>
      </c>
      <c r="B21" s="24" t="s">
        <v>25</v>
      </c>
      <c r="C21" s="25">
        <f>IF(Triangulo1!D33=0,"-",Triangulo1!D33)</f>
        <v>3022770</v>
      </c>
      <c r="D21" s="25">
        <f>IF(Triangulo1!E33=0,"-",Triangulo1!E33)</f>
        <v>7899209</v>
      </c>
      <c r="E21" s="26">
        <f>IF(Triangulo1!F33=0,"-",Triangulo1!F33)</f>
        <v>11259161</v>
      </c>
      <c r="F21" s="25">
        <f t="shared" si="2"/>
        <v>13650564.529934656</v>
      </c>
      <c r="G21" s="25">
        <f t="shared" si="2"/>
        <v>15576293.507610273</v>
      </c>
      <c r="H21" s="25">
        <f t="shared" si="2"/>
        <v>17144224.296235777</v>
      </c>
      <c r="I21" s="25">
        <f t="shared" si="2"/>
        <v>18681918.215134658</v>
      </c>
      <c r="J21" s="25">
        <f t="shared" si="2"/>
        <v>20325864.079097632</v>
      </c>
      <c r="K21" s="25">
        <f t="shared" si="2"/>
        <v>20990854.936098468</v>
      </c>
      <c r="L21" s="25">
        <f t="shared" si="2"/>
        <v>21423442.9964322</v>
      </c>
      <c r="M21" s="25">
        <f t="shared" si="2"/>
        <v>21656007.942486331</v>
      </c>
      <c r="N21" s="25">
        <f t="shared" si="2"/>
        <v>21822783.019642048</v>
      </c>
      <c r="O21" s="25">
        <f t="shared" si="2"/>
        <v>21890315.87297219</v>
      </c>
      <c r="P21" s="25">
        <f t="shared" si="2"/>
        <v>21920577.944816653</v>
      </c>
      <c r="Q21" s="25">
        <f t="shared" si="2"/>
        <v>21936304.07014516</v>
      </c>
      <c r="R21" s="25">
        <f t="shared" si="2"/>
        <v>21944923.015584629</v>
      </c>
      <c r="S21" s="25">
        <f t="shared" si="2"/>
        <v>21947597.426065017</v>
      </c>
      <c r="T21" s="25">
        <f t="shared" si="2"/>
        <v>21948896.337899003</v>
      </c>
      <c r="U21" s="25">
        <f t="shared" si="2"/>
        <v>21949556.98459189</v>
      </c>
      <c r="V21" s="25">
        <f t="shared" si="2"/>
        <v>21949746.292085718</v>
      </c>
      <c r="W21" s="32">
        <f t="shared" si="0"/>
        <v>21949746.292085718</v>
      </c>
      <c r="X21" s="28">
        <f>E21</f>
        <v>11259161</v>
      </c>
      <c r="Y21" s="27">
        <f>W21-X21</f>
        <v>10690585.292085718</v>
      </c>
    </row>
    <row r="22" spans="1:25" ht="15" customHeight="1" x14ac:dyDescent="0.25">
      <c r="A22" s="29" t="s">
        <v>86</v>
      </c>
      <c r="B22" s="30" t="s">
        <v>26</v>
      </c>
      <c r="C22" s="25">
        <f>IF(Triangulo1!D34=0,"-",Triangulo1!D34)</f>
        <v>6936281</v>
      </c>
      <c r="D22" s="26">
        <f>IF(Triangulo1!E34=0,"-",Triangulo1!E34)</f>
        <v>21936281</v>
      </c>
      <c r="E22" s="25">
        <f t="shared" si="2"/>
        <v>29226990.607574109</v>
      </c>
      <c r="F22" s="25">
        <f t="shared" si="2"/>
        <v>35434693.695603475</v>
      </c>
      <c r="G22" s="25">
        <f t="shared" si="2"/>
        <v>40433579.735447697</v>
      </c>
      <c r="H22" s="25">
        <f t="shared" si="2"/>
        <v>44503678.602715328</v>
      </c>
      <c r="I22" s="25">
        <f t="shared" si="2"/>
        <v>48495287.366901346</v>
      </c>
      <c r="J22" s="25">
        <f t="shared" si="2"/>
        <v>52762709.275639139</v>
      </c>
      <c r="K22" s="25">
        <f t="shared" si="2"/>
        <v>54488919.739428237</v>
      </c>
      <c r="L22" s="25">
        <f t="shared" si="2"/>
        <v>55611849.518682897</v>
      </c>
      <c r="M22" s="25">
        <f t="shared" si="2"/>
        <v>56215551.11722786</v>
      </c>
      <c r="N22" s="25">
        <f t="shared" si="2"/>
        <v>56648472.683373652</v>
      </c>
      <c r="O22" s="25">
        <f t="shared" si="2"/>
        <v>56823777.226046309</v>
      </c>
      <c r="P22" s="25">
        <f t="shared" si="2"/>
        <v>56902332.749816142</v>
      </c>
      <c r="Q22" s="25">
        <f t="shared" si="2"/>
        <v>56943155.269120179</v>
      </c>
      <c r="R22" s="25">
        <f t="shared" si="2"/>
        <v>56965528.680194646</v>
      </c>
      <c r="S22" s="25">
        <f t="shared" si="2"/>
        <v>56972471.024299242</v>
      </c>
      <c r="T22" s="25">
        <f t="shared" si="2"/>
        <v>56975842.792761564</v>
      </c>
      <c r="U22" s="25">
        <f t="shared" si="2"/>
        <v>56977557.726466477</v>
      </c>
      <c r="V22" s="25">
        <f t="shared" si="2"/>
        <v>56978049.13860137</v>
      </c>
      <c r="W22" s="32">
        <f t="shared" si="0"/>
        <v>56978049.13860137</v>
      </c>
      <c r="X22" s="28">
        <f>D22</f>
        <v>21936281</v>
      </c>
      <c r="Y22" s="27">
        <f t="shared" si="1"/>
        <v>35041768.13860137</v>
      </c>
    </row>
    <row r="23" spans="1:25" ht="15" customHeight="1" x14ac:dyDescent="0.25">
      <c r="A23" s="23" t="s">
        <v>87</v>
      </c>
      <c r="B23" s="24" t="s">
        <v>27</v>
      </c>
      <c r="C23" s="26">
        <f>IF(Triangulo1!D35=0,"-",Triangulo1!D35)</f>
        <v>6691248</v>
      </c>
      <c r="D23" s="25">
        <f>C23*C$26</f>
        <v>12732192.994262811</v>
      </c>
      <c r="E23" s="25">
        <f t="shared" si="2"/>
        <v>16963845.651737414</v>
      </c>
      <c r="F23" s="25">
        <f t="shared" si="2"/>
        <v>20566902.786530275</v>
      </c>
      <c r="G23" s="25">
        <f t="shared" si="2"/>
        <v>23468341.814213354</v>
      </c>
      <c r="H23" s="25">
        <f t="shared" si="2"/>
        <v>25830696.86809792</v>
      </c>
      <c r="I23" s="25">
        <f t="shared" si="2"/>
        <v>28147494.922572479</v>
      </c>
      <c r="J23" s="25">
        <f t="shared" si="2"/>
        <v>30624379.647471607</v>
      </c>
      <c r="K23" s="25">
        <f t="shared" si="2"/>
        <v>31626301.749658331</v>
      </c>
      <c r="L23" s="25">
        <f t="shared" si="2"/>
        <v>32278069.41567589</v>
      </c>
      <c r="M23" s="25">
        <f t="shared" si="2"/>
        <v>32628468.157541908</v>
      </c>
      <c r="N23" s="25">
        <f t="shared" si="2"/>
        <v>32879743.245217286</v>
      </c>
      <c r="O23" s="25">
        <f t="shared" si="2"/>
        <v>32981493.002620522</v>
      </c>
      <c r="P23" s="25">
        <f t="shared" si="2"/>
        <v>33027087.973317828</v>
      </c>
      <c r="Q23" s="25">
        <f t="shared" si="2"/>
        <v>33050782.062315457</v>
      </c>
      <c r="R23" s="25">
        <f t="shared" si="2"/>
        <v>33063767.973087665</v>
      </c>
      <c r="S23" s="25">
        <f t="shared" si="2"/>
        <v>33067797.428443946</v>
      </c>
      <c r="T23" s="25">
        <f t="shared" si="2"/>
        <v>33069754.460576888</v>
      </c>
      <c r="U23" s="25">
        <f t="shared" si="2"/>
        <v>33070749.837455187</v>
      </c>
      <c r="V23" s="25">
        <f>U23*U$26</f>
        <v>33071035.061470196</v>
      </c>
      <c r="W23" s="32">
        <f>V23</f>
        <v>33071035.061470196</v>
      </c>
      <c r="X23" s="28">
        <f>C23</f>
        <v>6691248</v>
      </c>
      <c r="Y23" s="27">
        <f t="shared" si="1"/>
        <v>26379787.061470196</v>
      </c>
    </row>
    <row r="24" spans="1:25" ht="15" customHeight="1" x14ac:dyDescent="0.25">
      <c r="A24" s="33" t="s">
        <v>92</v>
      </c>
      <c r="B24" s="37"/>
      <c r="C24" s="42">
        <f>SUM(D15:D22)</f>
        <v>80202734</v>
      </c>
      <c r="D24" s="42">
        <f>SUM(E14:E21)</f>
        <v>87945882</v>
      </c>
      <c r="E24" s="42">
        <f>SUM(F13:F20)</f>
        <v>103816009</v>
      </c>
      <c r="F24" s="42">
        <f>SUM(G12:G19)</f>
        <v>110762653</v>
      </c>
      <c r="G24" s="42">
        <f>SUM(H11:H18)</f>
        <v>112610182</v>
      </c>
      <c r="H24" s="42">
        <f>SUM(I10:I17)</f>
        <v>113634769</v>
      </c>
      <c r="I24" s="42">
        <f>SUM(J9:J16)</f>
        <v>113563180</v>
      </c>
      <c r="J24" s="42">
        <f>SUM(K8:K15)</f>
        <v>109455556</v>
      </c>
      <c r="K24" s="42">
        <f>SUM(L7:L14)</f>
        <v>112177551</v>
      </c>
      <c r="L24" s="42">
        <f>SUM(M6:M13)</f>
        <v>109927976</v>
      </c>
      <c r="M24" s="42">
        <f>SUM(N5:N12)</f>
        <v>114048147</v>
      </c>
      <c r="N24" s="42">
        <f>SUM(O4:O11)</f>
        <v>113317549</v>
      </c>
      <c r="O24" s="42">
        <f>SUM(P4:P10)</f>
        <v>99375417</v>
      </c>
      <c r="P24" s="42">
        <f>SUM(Q4:Q9)</f>
        <v>88613537</v>
      </c>
      <c r="Q24" s="42">
        <f>SUM(R4:R8)</f>
        <v>75602126</v>
      </c>
      <c r="R24" s="42">
        <f>SUM(S4:S7)</f>
        <v>63797470</v>
      </c>
      <c r="S24" s="42">
        <f>SUM(T4:T6)</f>
        <v>44340118</v>
      </c>
      <c r="T24" s="42">
        <f>SUM(U4:U5)</f>
        <v>32460190</v>
      </c>
      <c r="U24" s="42">
        <f>SUM(V4)</f>
        <v>14725343</v>
      </c>
      <c r="V24" s="42">
        <f>V4</f>
        <v>14725343</v>
      </c>
      <c r="W24" s="32"/>
      <c r="X24" s="28"/>
      <c r="Y24" s="27"/>
    </row>
    <row r="25" spans="1:25" ht="15" customHeight="1" x14ac:dyDescent="0.25">
      <c r="A25" s="35" t="s">
        <v>93</v>
      </c>
      <c r="B25" s="36"/>
      <c r="C25" s="40">
        <f>SUM(C15:C22)</f>
        <v>42149564</v>
      </c>
      <c r="D25" s="40">
        <f>SUM(D14:D21)</f>
        <v>66007671</v>
      </c>
      <c r="E25" s="40">
        <f>SUM(E13:E20)</f>
        <v>85628778</v>
      </c>
      <c r="F25" s="40">
        <f>SUM(F12:F19)</f>
        <v>97068840</v>
      </c>
      <c r="G25" s="40">
        <f>SUM(G11:G18)</f>
        <v>102311380</v>
      </c>
      <c r="H25" s="40">
        <f>SUM(H10:H17)</f>
        <v>104281581</v>
      </c>
      <c r="I25" s="40">
        <f>SUM(I9:I16)</f>
        <v>104378246</v>
      </c>
      <c r="J25" s="40">
        <f>SUM(J8:J15)</f>
        <v>105988001</v>
      </c>
      <c r="K25" s="40">
        <f>SUM(K7:K14)</f>
        <v>109912431</v>
      </c>
      <c r="L25" s="40">
        <f>SUM(L6:L13)</f>
        <v>108747454</v>
      </c>
      <c r="M25" s="40">
        <f>SUM(M5:M12)</f>
        <v>113176563</v>
      </c>
      <c r="N25" s="40">
        <f>SUM(N4:N11)</f>
        <v>112967958</v>
      </c>
      <c r="O25" s="40">
        <f>SUM(O4:O10)</f>
        <v>99238226</v>
      </c>
      <c r="P25" s="40">
        <f>SUM(P4:P9)</f>
        <v>88550010</v>
      </c>
      <c r="Q25" s="40">
        <f>SUM(Q4:Q8)</f>
        <v>75572433</v>
      </c>
      <c r="R25" s="40">
        <f>SUM(R4:R7)</f>
        <v>63789696</v>
      </c>
      <c r="S25" s="40">
        <f>SUM(S4:S6)</f>
        <v>44337494</v>
      </c>
      <c r="T25" s="40">
        <f>SUM(T4:T5)</f>
        <v>32459213</v>
      </c>
      <c r="U25" s="40">
        <f>SUM(U4)</f>
        <v>14725216</v>
      </c>
      <c r="V25" s="40">
        <f>SUM(V4)</f>
        <v>14725343</v>
      </c>
      <c r="W25" s="32"/>
      <c r="X25" s="28"/>
      <c r="Y25" s="27"/>
    </row>
    <row r="26" spans="1:25" ht="15" customHeight="1" x14ac:dyDescent="0.25">
      <c r="A26" s="35" t="s">
        <v>37</v>
      </c>
      <c r="B26" s="36"/>
      <c r="C26" s="41">
        <f>C24/C25</f>
        <v>1.9028128974240397</v>
      </c>
      <c r="D26" s="41">
        <f t="shared" ref="D26:V26" si="3">D24/D25</f>
        <v>1.332358507240772</v>
      </c>
      <c r="E26" s="41">
        <f t="shared" si="3"/>
        <v>1.2123962460377515</v>
      </c>
      <c r="F26" s="41">
        <f t="shared" si="3"/>
        <v>1.1410732115475986</v>
      </c>
      <c r="G26" s="41">
        <f t="shared" si="3"/>
        <v>1.1006613536050438</v>
      </c>
      <c r="H26" s="41">
        <f t="shared" si="3"/>
        <v>1.0896916589709165</v>
      </c>
      <c r="I26" s="41">
        <f>I24/I25</f>
        <v>1.0879966310221385</v>
      </c>
      <c r="J26" s="41">
        <f t="shared" si="3"/>
        <v>1.0327164864634064</v>
      </c>
      <c r="K26" s="41">
        <f t="shared" si="3"/>
        <v>1.0206084059773002</v>
      </c>
      <c r="L26" s="41">
        <f t="shared" si="3"/>
        <v>1.0108556288591364</v>
      </c>
      <c r="M26" s="41">
        <f t="shared" si="3"/>
        <v>1.0077010997409419</v>
      </c>
      <c r="N26" s="41">
        <f t="shared" si="3"/>
        <v>1.0030946031617214</v>
      </c>
      <c r="O26" s="41">
        <f t="shared" si="3"/>
        <v>1.0013824410766876</v>
      </c>
      <c r="P26" s="41">
        <f t="shared" si="3"/>
        <v>1.0007174138094395</v>
      </c>
      <c r="Q26" s="41">
        <f t="shared" si="3"/>
        <v>1.0003929078212952</v>
      </c>
      <c r="R26" s="41">
        <f t="shared" si="3"/>
        <v>1.0001218692122313</v>
      </c>
      <c r="S26" s="41">
        <f t="shared" si="3"/>
        <v>1.0000591824156773</v>
      </c>
      <c r="T26" s="41">
        <f t="shared" si="3"/>
        <v>1.0000300993126359</v>
      </c>
      <c r="U26" s="41">
        <f t="shared" si="3"/>
        <v>1.0000086246612614</v>
      </c>
      <c r="V26" s="41">
        <f>V24/V25</f>
        <v>1</v>
      </c>
      <c r="W26" s="32"/>
      <c r="X26" s="28"/>
      <c r="Y26" s="27"/>
    </row>
    <row r="27" spans="1:25" ht="19.5" customHeight="1" x14ac:dyDescent="0.25">
      <c r="A27" s="54" t="s">
        <v>94</v>
      </c>
      <c r="B27" s="55"/>
      <c r="C27" s="55"/>
      <c r="D27" s="55"/>
      <c r="E27" s="55"/>
      <c r="F27" s="55"/>
      <c r="G27" s="55"/>
      <c r="H27" s="55"/>
      <c r="I27" s="55"/>
      <c r="J27" s="55"/>
      <c r="K27" s="55"/>
      <c r="L27" s="55"/>
      <c r="M27" s="55"/>
      <c r="N27" s="55"/>
      <c r="O27" s="55"/>
      <c r="P27" s="55"/>
      <c r="Q27" s="55"/>
      <c r="R27" s="55"/>
      <c r="S27" s="55"/>
      <c r="T27" s="55"/>
      <c r="U27" s="55"/>
      <c r="V27" s="55"/>
      <c r="W27" s="34">
        <f>+SUM(W4:W23)</f>
        <v>412232343.60675359</v>
      </c>
      <c r="X27" s="34">
        <f>+SUM(X4:X23)</f>
        <v>309332913</v>
      </c>
      <c r="Y27" s="34">
        <f>SUM(Y4:Y24)</f>
        <v>102899430.60675363</v>
      </c>
    </row>
  </sheetData>
  <mergeCells count="3">
    <mergeCell ref="A1:Y1"/>
    <mergeCell ref="A2:Y2"/>
    <mergeCell ref="A27:V2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418F9-894E-42AA-B0C3-ACA2DA6CCBA9}">
  <dimension ref="A1:AC33"/>
  <sheetViews>
    <sheetView showGridLines="0" zoomScale="85" zoomScaleNormal="85" workbookViewId="0">
      <pane xSplit="2" ySplit="3" topLeftCell="F4" activePane="bottomRight" state="frozen"/>
      <selection pane="topRight" activeCell="C1" sqref="C1"/>
      <selection pane="bottomLeft" activeCell="A4" sqref="A4"/>
      <selection pane="bottomRight" activeCell="I13" sqref="I13"/>
    </sheetView>
  </sheetViews>
  <sheetFormatPr baseColWidth="10" defaultColWidth="8.7109375" defaultRowHeight="15" x14ac:dyDescent="0.25"/>
  <cols>
    <col min="1" max="2" width="10" style="17" customWidth="1"/>
    <col min="3" max="26" width="12" style="17" customWidth="1"/>
    <col min="27" max="27" width="12.7109375" style="17" bestFit="1" customWidth="1"/>
    <col min="28" max="29" width="12" style="17" customWidth="1"/>
    <col min="30" max="16384" width="8.7109375" style="17"/>
  </cols>
  <sheetData>
    <row r="1" spans="1:29" ht="25.5" customHeight="1" x14ac:dyDescent="0.25">
      <c r="A1" s="51" t="s">
        <v>38</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row>
    <row r="2" spans="1:29" ht="15.75" customHeight="1" x14ac:dyDescent="0.25">
      <c r="A2" s="52" t="s">
        <v>39</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row>
    <row r="3" spans="1:29" ht="31.5" customHeight="1" x14ac:dyDescent="0.25">
      <c r="A3" s="18" t="s">
        <v>40</v>
      </c>
      <c r="B3" s="18" t="s">
        <v>41</v>
      </c>
      <c r="C3" s="19" t="s">
        <v>42</v>
      </c>
      <c r="D3" s="19" t="s">
        <v>43</v>
      </c>
      <c r="E3" s="19" t="s">
        <v>44</v>
      </c>
      <c r="F3" s="19" t="s">
        <v>45</v>
      </c>
      <c r="G3" s="19" t="s">
        <v>46</v>
      </c>
      <c r="H3" s="19" t="s">
        <v>47</v>
      </c>
      <c r="I3" s="19" t="s">
        <v>48</v>
      </c>
      <c r="J3" s="19" t="s">
        <v>49</v>
      </c>
      <c r="K3" s="19" t="s">
        <v>50</v>
      </c>
      <c r="L3" s="19" t="s">
        <v>51</v>
      </c>
      <c r="M3" s="19" t="s">
        <v>52</v>
      </c>
      <c r="N3" s="19" t="s">
        <v>53</v>
      </c>
      <c r="O3" s="19" t="s">
        <v>54</v>
      </c>
      <c r="P3" s="19" t="s">
        <v>55</v>
      </c>
      <c r="Q3" s="19" t="s">
        <v>56</v>
      </c>
      <c r="R3" s="19" t="s">
        <v>57</v>
      </c>
      <c r="S3" s="19" t="s">
        <v>58</v>
      </c>
      <c r="T3" s="19" t="s">
        <v>59</v>
      </c>
      <c r="U3" s="19" t="s">
        <v>60</v>
      </c>
      <c r="V3" s="19" t="s">
        <v>61</v>
      </c>
      <c r="W3" s="19" t="s">
        <v>62</v>
      </c>
      <c r="X3" s="19" t="s">
        <v>63</v>
      </c>
      <c r="Y3" s="19" t="s">
        <v>64</v>
      </c>
      <c r="Z3" s="19" t="s">
        <v>65</v>
      </c>
      <c r="AA3" s="20" t="s">
        <v>66</v>
      </c>
      <c r="AB3" s="21" t="s">
        <v>67</v>
      </c>
      <c r="AC3" s="22" t="s">
        <v>68</v>
      </c>
    </row>
    <row r="4" spans="1:29" ht="15" customHeight="1" x14ac:dyDescent="0.25">
      <c r="A4" s="29" t="s">
        <v>98</v>
      </c>
      <c r="B4" s="30" t="s">
        <v>7</v>
      </c>
      <c r="C4" s="31">
        <f>IF(Triangulo1!D16=0,"-",Triangulo1!D16)</f>
        <v>6418198</v>
      </c>
      <c r="D4" s="31">
        <f>IF(Triangulo1!E16=0,"-",Triangulo1!E16)</f>
        <v>8351947</v>
      </c>
      <c r="E4" s="31">
        <f>IF(Triangulo1!F16=0,"-",Triangulo1!F16)</f>
        <v>9393090</v>
      </c>
      <c r="F4" s="31">
        <f>IF(Triangulo1!G16=0,"-",Triangulo1!G16)</f>
        <v>11183194</v>
      </c>
      <c r="G4" s="31">
        <f>IF(Triangulo1!H16=0,"-",Triangulo1!H16)</f>
        <v>12100800</v>
      </c>
      <c r="H4" s="31">
        <f>IF(Triangulo1!I16=0,"-",Triangulo1!I16)</f>
        <v>12721118</v>
      </c>
      <c r="I4" s="31">
        <f>IF(Triangulo1!J16=0,"-",Triangulo1!J16)</f>
        <v>13073728</v>
      </c>
      <c r="J4" s="31">
        <f>IF(Triangulo1!K16=0,"-",Triangulo1!K16)</f>
        <v>13548698</v>
      </c>
      <c r="K4" s="31">
        <f>IF(Triangulo1!L16=0,"-",Triangulo1!L16)</f>
        <v>13729852</v>
      </c>
      <c r="L4" s="31">
        <f>IF(Triangulo1!M16=0,"-",Triangulo1!M16)</f>
        <v>14178002</v>
      </c>
      <c r="M4" s="31">
        <f>IF(Triangulo1!N16=0,"-",Triangulo1!N16)</f>
        <v>14403018</v>
      </c>
      <c r="N4" s="31">
        <f>IF(Triangulo1!O16=0,"-",Triangulo1!O16)</f>
        <v>14589694</v>
      </c>
      <c r="O4" s="31">
        <f>IF(Triangulo1!P16=0,"-",Triangulo1!P16)</f>
        <v>14666170</v>
      </c>
      <c r="P4" s="31">
        <f>IF(Triangulo1!Q16=0,"-",Triangulo1!Q16)</f>
        <v>14699145</v>
      </c>
      <c r="Q4" s="31">
        <f>IF(Triangulo1!R16=0,"-",Triangulo1!R16)</f>
        <v>14709918</v>
      </c>
      <c r="R4" s="31">
        <f>IF(Triangulo1!S16=0,"-",Triangulo1!S16)</f>
        <v>14721902</v>
      </c>
      <c r="S4" s="31">
        <f>IF(Triangulo1!T16=0,"-",Triangulo1!T16)</f>
        <v>14723975</v>
      </c>
      <c r="T4" s="31">
        <f>IF(Triangulo1!U16=0,"-",Triangulo1!U16)</f>
        <v>14724778</v>
      </c>
      <c r="U4" s="31">
        <f>IF(Triangulo1!V16=0,"-",Triangulo1!V16)</f>
        <v>14725216</v>
      </c>
      <c r="V4" s="31">
        <f>IF(Triangulo1!W16=0,"-",Triangulo1!W16)</f>
        <v>14725343</v>
      </c>
      <c r="W4" s="31">
        <f>IF(Triangulo1!X16=0,"-",Triangulo1!X16)</f>
        <v>14725356</v>
      </c>
      <c r="X4" s="31">
        <f>IF(Triangulo1!Y16=0,"-",Triangulo1!Y16)</f>
        <v>14725361</v>
      </c>
      <c r="Y4" s="31">
        <f>IF(Triangulo1!Z16=0,"-",Triangulo1!Z16)</f>
        <v>14725369</v>
      </c>
      <c r="Z4" s="26">
        <f>IF(Triangulo1!AA16=0,"-",Triangulo1!AA16)</f>
        <v>14725385</v>
      </c>
      <c r="AA4" s="32">
        <f>+Z4</f>
        <v>14725385</v>
      </c>
      <c r="AB4" s="28">
        <f>+Z4</f>
        <v>14725385</v>
      </c>
      <c r="AC4" s="27">
        <f>AA4-AB4</f>
        <v>0</v>
      </c>
    </row>
    <row r="5" spans="1:29" ht="15" customHeight="1" x14ac:dyDescent="0.25">
      <c r="A5" s="23" t="s">
        <v>69</v>
      </c>
      <c r="B5" s="24" t="s">
        <v>8</v>
      </c>
      <c r="C5" s="25">
        <f>IF(Triangulo1!D17=0,"-",Triangulo1!D17)</f>
        <v>7475822</v>
      </c>
      <c r="D5" s="25">
        <f>IF(Triangulo1!E17=0,"-",Triangulo1!E17)</f>
        <v>10450029</v>
      </c>
      <c r="E5" s="25">
        <f>IF(Triangulo1!F17=0,"-",Triangulo1!F17)</f>
        <v>12515657</v>
      </c>
      <c r="F5" s="25">
        <f>IF(Triangulo1!G17=0,"-",Triangulo1!G17)</f>
        <v>13149304</v>
      </c>
      <c r="G5" s="25">
        <f>IF(Triangulo1!H17=0,"-",Triangulo1!H17)</f>
        <v>14417681</v>
      </c>
      <c r="H5" s="25">
        <f>IF(Triangulo1!I17=0,"-",Triangulo1!I17)</f>
        <v>15145227</v>
      </c>
      <c r="I5" s="25">
        <f>IF(Triangulo1!J17=0,"-",Triangulo1!J17)</f>
        <v>15971980</v>
      </c>
      <c r="J5" s="25">
        <f>IF(Triangulo1!K17=0,"-",Triangulo1!K17)</f>
        <v>16442175</v>
      </c>
      <c r="K5" s="25">
        <f>IF(Triangulo1!L17=0,"-",Triangulo1!L17)</f>
        <v>16761977</v>
      </c>
      <c r="L5" s="25">
        <f>IF(Triangulo1!M17=0,"-",Triangulo1!M17)</f>
        <v>17230340</v>
      </c>
      <c r="M5" s="25">
        <f>IF(Triangulo1!N17=0,"-",Triangulo1!N17)</f>
        <v>17479823</v>
      </c>
      <c r="N5" s="25">
        <f>IF(Triangulo1!O17=0,"-",Triangulo1!O17)</f>
        <v>17658472</v>
      </c>
      <c r="O5" s="25">
        <f>IF(Triangulo1!P17=0,"-",Triangulo1!P17)</f>
        <v>17691106</v>
      </c>
      <c r="P5" s="25">
        <f>IF(Triangulo1!Q17=0,"-",Triangulo1!Q17)</f>
        <v>17707511</v>
      </c>
      <c r="Q5" s="25">
        <f>IF(Triangulo1!R17=0,"-",Triangulo1!R17)</f>
        <v>17727251</v>
      </c>
      <c r="R5" s="25">
        <f>IF(Triangulo1!S17=0,"-",Triangulo1!S17)</f>
        <v>17731572</v>
      </c>
      <c r="S5" s="25">
        <f>IF(Triangulo1!T17=0,"-",Triangulo1!T17)</f>
        <v>17733454</v>
      </c>
      <c r="T5" s="25">
        <f>IF(Triangulo1!U17=0,"-",Triangulo1!U17)</f>
        <v>17734435</v>
      </c>
      <c r="U5" s="25">
        <f>IF(Triangulo1!V17=0,"-",Triangulo1!V17)</f>
        <v>17734974</v>
      </c>
      <c r="V5" s="25">
        <f>IF(Triangulo1!W17=0,"-",Triangulo1!W17)</f>
        <v>17735197</v>
      </c>
      <c r="W5" s="25">
        <f>IF(Triangulo1!X17=0,"-",Triangulo1!X17)</f>
        <v>17735258</v>
      </c>
      <c r="X5" s="25">
        <f>IF(Triangulo1!Y17=0,"-",Triangulo1!Y17)</f>
        <v>17735268</v>
      </c>
      <c r="Y5" s="26">
        <f>IF(Triangulo1!Z17=0,"-",Triangulo1!Z17)</f>
        <v>17735279</v>
      </c>
      <c r="Z5" s="32">
        <f>+Y5*Y$30</f>
        <v>17735298.270448435</v>
      </c>
      <c r="AA5" s="32">
        <f>+Z5</f>
        <v>17735298.270448435</v>
      </c>
      <c r="AB5" s="28">
        <f>+Y5</f>
        <v>17735279</v>
      </c>
      <c r="AC5" s="27">
        <f>AA5-AB5</f>
        <v>19.270448435097933</v>
      </c>
    </row>
    <row r="6" spans="1:29" ht="15" customHeight="1" x14ac:dyDescent="0.25">
      <c r="A6" s="29" t="s">
        <v>70</v>
      </c>
      <c r="B6" s="30" t="s">
        <v>10</v>
      </c>
      <c r="C6" s="31">
        <f>IF(Triangulo1!D18=0,"-",Triangulo1!D18)</f>
        <v>4944676</v>
      </c>
      <c r="D6" s="31">
        <f>IF(Triangulo1!E18=0,"-",Triangulo1!E18)</f>
        <v>5651989</v>
      </c>
      <c r="E6" s="31">
        <f>IF(Triangulo1!F18=0,"-",Triangulo1!F18)</f>
        <v>6603749</v>
      </c>
      <c r="F6" s="31">
        <f>IF(Triangulo1!G18=0,"-",Triangulo1!G18)</f>
        <v>7627857</v>
      </c>
      <c r="G6" s="31">
        <f>IF(Triangulo1!H18=0,"-",Triangulo1!H18)</f>
        <v>8503366</v>
      </c>
      <c r="H6" s="31">
        <f>IF(Triangulo1!I18=0,"-",Triangulo1!I18)</f>
        <v>9687265</v>
      </c>
      <c r="I6" s="31">
        <f>IF(Triangulo1!J18=0,"-",Triangulo1!J18)</f>
        <v>10329156</v>
      </c>
      <c r="J6" s="31">
        <f>IF(Triangulo1!K18=0,"-",Triangulo1!K18)</f>
        <v>10705380</v>
      </c>
      <c r="K6" s="31">
        <f>IF(Triangulo1!L18=0,"-",Triangulo1!L18)</f>
        <v>11007279</v>
      </c>
      <c r="L6" s="31">
        <f>IF(Triangulo1!M18=0,"-",Triangulo1!M18)</f>
        <v>11432174</v>
      </c>
      <c r="M6" s="31">
        <f>IF(Triangulo1!N18=0,"-",Triangulo1!N18)</f>
        <v>11644639</v>
      </c>
      <c r="N6" s="31">
        <f>IF(Triangulo1!O18=0,"-",Triangulo1!O18)</f>
        <v>11802250</v>
      </c>
      <c r="O6" s="31">
        <f>IF(Triangulo1!P18=0,"-",Triangulo1!P18)</f>
        <v>11840837</v>
      </c>
      <c r="P6" s="31">
        <f>IF(Triangulo1!Q18=0,"-",Triangulo1!Q18)</f>
        <v>11864201</v>
      </c>
      <c r="Q6" s="31">
        <f>IF(Triangulo1!R18=0,"-",Triangulo1!R18)</f>
        <v>11873586</v>
      </c>
      <c r="R6" s="31">
        <f>IF(Triangulo1!S18=0,"-",Triangulo1!S18)</f>
        <v>11878223</v>
      </c>
      <c r="S6" s="31">
        <f>IF(Triangulo1!T18=0,"-",Triangulo1!T18)</f>
        <v>11880065</v>
      </c>
      <c r="T6" s="31">
        <f>IF(Triangulo1!U18=0,"-",Triangulo1!U18)</f>
        <v>11880905</v>
      </c>
      <c r="U6" s="31">
        <f>IF(Triangulo1!V18=0,"-",Triangulo1!V18)</f>
        <v>11881492</v>
      </c>
      <c r="V6" s="31">
        <f>IF(Triangulo1!W18=0,"-",Triangulo1!W18)</f>
        <v>11881607</v>
      </c>
      <c r="W6" s="31">
        <f>IF(Triangulo1!X18=0,"-",Triangulo1!X18)</f>
        <v>11881725</v>
      </c>
      <c r="X6" s="26">
        <f>IF(Triangulo1!Y18=0,"-",Triangulo1!Y18)</f>
        <v>11881761</v>
      </c>
      <c r="Y6" s="32">
        <f>+X6*X$30</f>
        <v>11881767.954685289</v>
      </c>
      <c r="Z6" s="32">
        <f t="shared" ref="Z6" si="0">+Y6*Y$30</f>
        <v>11881780.864941547</v>
      </c>
      <c r="AA6" s="32">
        <f>+Z6</f>
        <v>11881780.864941547</v>
      </c>
      <c r="AB6" s="28">
        <f>+X6</f>
        <v>11881761</v>
      </c>
      <c r="AC6" s="27">
        <f>AA6-AB6</f>
        <v>19.864941546693444</v>
      </c>
    </row>
    <row r="7" spans="1:29" ht="15" customHeight="1" x14ac:dyDescent="0.25">
      <c r="A7" s="23" t="s">
        <v>71</v>
      </c>
      <c r="B7" s="24" t="s">
        <v>11</v>
      </c>
      <c r="C7" s="25">
        <f>IF(Triangulo1!D19=0,"-",Triangulo1!D19)</f>
        <v>5990844</v>
      </c>
      <c r="D7" s="25">
        <f>IF(Triangulo1!E19=0,"-",Triangulo1!E19)</f>
        <v>12990844</v>
      </c>
      <c r="E7" s="25">
        <f>IF(Triangulo1!F19=0,"-",Triangulo1!F19)</f>
        <v>14795084</v>
      </c>
      <c r="F7" s="25">
        <f>IF(Triangulo1!G19=0,"-",Triangulo1!G19)</f>
        <v>15558421</v>
      </c>
      <c r="G7" s="25">
        <f>IF(Triangulo1!H19=0,"-",Triangulo1!H19)</f>
        <v>16698078</v>
      </c>
      <c r="H7" s="25">
        <f>IF(Triangulo1!I19=0,"-",Triangulo1!I19)</f>
        <v>17591115</v>
      </c>
      <c r="I7" s="25">
        <f>IF(Triangulo1!J19=0,"-",Triangulo1!J19)</f>
        <v>17858613</v>
      </c>
      <c r="J7" s="25">
        <f>IF(Triangulo1!K19=0,"-",Triangulo1!K19)</f>
        <v>18161498</v>
      </c>
      <c r="K7" s="25">
        <f>IF(Triangulo1!L19=0,"-",Triangulo1!L19)</f>
        <v>18751439</v>
      </c>
      <c r="L7" s="25">
        <f>IF(Triangulo1!M19=0,"-",Triangulo1!M19)</f>
        <v>18855100</v>
      </c>
      <c r="M7" s="25">
        <f>IF(Triangulo1!N19=0,"-",Triangulo1!N19)</f>
        <v>19152179</v>
      </c>
      <c r="N7" s="25">
        <f>IF(Triangulo1!O19=0,"-",Triangulo1!O19)</f>
        <v>19349458</v>
      </c>
      <c r="O7" s="25">
        <f>IF(Triangulo1!P19=0,"-",Triangulo1!P19)</f>
        <v>19426010</v>
      </c>
      <c r="P7" s="25">
        <f>IF(Triangulo1!Q19=0,"-",Triangulo1!Q19)</f>
        <v>19444545</v>
      </c>
      <c r="Q7" s="25">
        <f>IF(Triangulo1!R19=0,"-",Triangulo1!R19)</f>
        <v>19453256</v>
      </c>
      <c r="R7" s="25">
        <f>IF(Triangulo1!S19=0,"-",Triangulo1!S19)</f>
        <v>19457999</v>
      </c>
      <c r="S7" s="25">
        <f>IF(Triangulo1!T19=0,"-",Triangulo1!T19)</f>
        <v>19459976</v>
      </c>
      <c r="T7" s="25">
        <f>IF(Triangulo1!U19=0,"-",Triangulo1!U19)</f>
        <v>19461146</v>
      </c>
      <c r="U7" s="25">
        <f>IF(Triangulo1!V19=0,"-",Triangulo1!V19)</f>
        <v>19461559</v>
      </c>
      <c r="V7" s="25">
        <f>IF(Triangulo1!W19=0,"-",Triangulo1!W19)</f>
        <v>19461649</v>
      </c>
      <c r="W7" s="26">
        <f>IF(Triangulo1!X19=0,"-",Triangulo1!X19)</f>
        <v>19461650</v>
      </c>
      <c r="X7" s="32">
        <f>+W7*W$30</f>
        <v>19461672.383667</v>
      </c>
      <c r="Y7" s="32">
        <f t="shared" ref="Y7:Z7" si="1">+X7*X$30</f>
        <v>19461683.775059793</v>
      </c>
      <c r="Z7" s="32">
        <f t="shared" si="1"/>
        <v>19461704.92135096</v>
      </c>
      <c r="AA7" s="32">
        <f>+Z7</f>
        <v>19461704.92135096</v>
      </c>
      <c r="AB7" s="28">
        <f>+W7</f>
        <v>19461650</v>
      </c>
      <c r="AC7" s="27">
        <f>AA7-AB7</f>
        <v>54.921350959688425</v>
      </c>
    </row>
    <row r="8" spans="1:29" ht="15" customHeight="1" x14ac:dyDescent="0.25">
      <c r="A8" s="29" t="s">
        <v>72</v>
      </c>
      <c r="B8" s="30" t="s">
        <v>12</v>
      </c>
      <c r="C8" s="31">
        <f>IF(Triangulo1!D20=0,"-",Triangulo1!D20)</f>
        <v>6106533</v>
      </c>
      <c r="D8" s="31">
        <f>IF(Triangulo1!E20=0,"-",Triangulo1!E20)</f>
        <v>7227067</v>
      </c>
      <c r="E8" s="31">
        <f>IF(Triangulo1!F20=0,"-",Triangulo1!F20)</f>
        <v>8316481</v>
      </c>
      <c r="F8" s="31">
        <f>IF(Triangulo1!G20=0,"-",Triangulo1!G20)</f>
        <v>8778769</v>
      </c>
      <c r="G8" s="31">
        <f>IF(Triangulo1!H20=0,"-",Triangulo1!H20)</f>
        <v>9616196</v>
      </c>
      <c r="H8" s="31">
        <f>IF(Triangulo1!I20=0,"-",Triangulo1!I20)</f>
        <v>9944940</v>
      </c>
      <c r="I8" s="31">
        <f>IF(Triangulo1!J20=0,"-",Triangulo1!J20)</f>
        <v>10596973</v>
      </c>
      <c r="J8" s="31">
        <f>IF(Triangulo1!K20=0,"-",Triangulo1!K20)</f>
        <v>10938865</v>
      </c>
      <c r="K8" s="31">
        <f>IF(Triangulo1!L20=0,"-",Triangulo1!L20)</f>
        <v>11091033</v>
      </c>
      <c r="L8" s="31">
        <f>IF(Triangulo1!M20=0,"-",Triangulo1!M20)</f>
        <v>11574757</v>
      </c>
      <c r="M8" s="31">
        <f>IF(Triangulo1!N20=0,"-",Triangulo1!N20)</f>
        <v>11660948</v>
      </c>
      <c r="N8" s="31">
        <f>IF(Triangulo1!O20=0,"-",Triangulo1!O20)</f>
        <v>11754449</v>
      </c>
      <c r="O8" s="31">
        <f>IF(Triangulo1!P20=0,"-",Triangulo1!P20)</f>
        <v>11785976</v>
      </c>
      <c r="P8" s="31">
        <f>IF(Triangulo1!Q20=0,"-",Triangulo1!Q20)</f>
        <v>11801623</v>
      </c>
      <c r="Q8" s="31">
        <f>IF(Triangulo1!R20=0,"-",Triangulo1!R20)</f>
        <v>11808422</v>
      </c>
      <c r="R8" s="31">
        <f>IF(Triangulo1!S20=0,"-",Triangulo1!S20)</f>
        <v>11812430</v>
      </c>
      <c r="S8" s="31">
        <f>IF(Triangulo1!T20=0,"-",Triangulo1!T20)</f>
        <v>11814677</v>
      </c>
      <c r="T8" s="31">
        <f>IF(Triangulo1!U20=0,"-",Triangulo1!U20)</f>
        <v>11815553</v>
      </c>
      <c r="U8" s="31">
        <f>IF(Triangulo1!V20=0,"-",Triangulo1!V20)</f>
        <v>11815994</v>
      </c>
      <c r="V8" s="26">
        <f>IF(Triangulo1!W20=0,"-",Triangulo1!W20)</f>
        <v>11816173</v>
      </c>
      <c r="W8" s="32">
        <f>+V8*V$30</f>
        <v>11816208.74272272</v>
      </c>
      <c r="X8" s="32">
        <f t="shared" ref="X8:Z8" si="2">+W8*W$30</f>
        <v>11816222.333044285</v>
      </c>
      <c r="Y8" s="32">
        <f t="shared" si="2"/>
        <v>11816229.249368189</v>
      </c>
      <c r="Z8" s="32">
        <f t="shared" si="2"/>
        <v>11816242.088412698</v>
      </c>
      <c r="AA8" s="32">
        <f>+Z8</f>
        <v>11816242.088412698</v>
      </c>
      <c r="AB8" s="28">
        <f>+V8</f>
        <v>11816173</v>
      </c>
      <c r="AC8" s="27">
        <f t="shared" ref="AC8:AC25" si="3">AA8-AB8</f>
        <v>69.088412698358297</v>
      </c>
    </row>
    <row r="9" spans="1:29" ht="15" customHeight="1" x14ac:dyDescent="0.25">
      <c r="A9" s="23" t="s">
        <v>73</v>
      </c>
      <c r="B9" s="24" t="s">
        <v>13</v>
      </c>
      <c r="C9" s="25">
        <f>IF(Triangulo1!D21=0,"-",Triangulo1!D21)</f>
        <v>3511339</v>
      </c>
      <c r="D9" s="25">
        <f>IF(Triangulo1!E21=0,"-",Triangulo1!E21)</f>
        <v>5097855</v>
      </c>
      <c r="E9" s="25">
        <f>IF(Triangulo1!F21=0,"-",Triangulo1!F21)</f>
        <v>6037374</v>
      </c>
      <c r="F9" s="25">
        <f>IF(Triangulo1!G21=0,"-",Triangulo1!G21)</f>
        <v>6436248</v>
      </c>
      <c r="G9" s="25">
        <f>IF(Triangulo1!H21=0,"-",Triangulo1!H21)</f>
        <v>7366573</v>
      </c>
      <c r="H9" s="25">
        <f>IF(Triangulo1!I21=0,"-",Triangulo1!I21)</f>
        <v>8575992</v>
      </c>
      <c r="I9" s="25">
        <f>IF(Triangulo1!J21=0,"-",Triangulo1!J21)</f>
        <v>9082448</v>
      </c>
      <c r="J9" s="25">
        <f>IF(Triangulo1!K21=0,"-",Triangulo1!K21)</f>
        <v>12082448</v>
      </c>
      <c r="K9" s="25">
        <f>IF(Triangulo1!L21=0,"-",Triangulo1!L21)</f>
        <v>12687409</v>
      </c>
      <c r="L9" s="25">
        <f>IF(Triangulo1!M21=0,"-",Triangulo1!M21)</f>
        <v>12838372</v>
      </c>
      <c r="M9" s="25">
        <f>IF(Triangulo1!N21=0,"-",Triangulo1!N21)</f>
        <v>12930641</v>
      </c>
      <c r="N9" s="25">
        <f>IF(Triangulo1!O21=0,"-",Triangulo1!O21)</f>
        <v>12990612</v>
      </c>
      <c r="O9" s="25">
        <f>IF(Triangulo1!P21=0,"-",Triangulo1!P21)</f>
        <v>13017211</v>
      </c>
      <c r="P9" s="25">
        <f>IF(Triangulo1!Q21=0,"-",Triangulo1!Q21)</f>
        <v>13032985</v>
      </c>
      <c r="Q9" s="25">
        <f>IF(Triangulo1!R21=0,"-",Triangulo1!R21)</f>
        <v>13041104</v>
      </c>
      <c r="R9" s="25">
        <f>IF(Triangulo1!S21=0,"-",Triangulo1!S21)</f>
        <v>13045224</v>
      </c>
      <c r="S9" s="25">
        <f>IF(Triangulo1!T21=0,"-",Triangulo1!T21)</f>
        <v>13046906</v>
      </c>
      <c r="T9" s="25">
        <f>IF(Triangulo1!U21=0,"-",Triangulo1!U21)</f>
        <v>13047997</v>
      </c>
      <c r="U9" s="26">
        <f>IF(Triangulo1!V21=0,"-",Triangulo1!V21)</f>
        <v>13048471</v>
      </c>
      <c r="V9" s="32">
        <f>+U9*U$30</f>
        <v>13048597.655310834</v>
      </c>
      <c r="W9" s="32">
        <f t="shared" ref="W9:Z9" si="4">+V9*V$30</f>
        <v>13048637.125992913</v>
      </c>
      <c r="X9" s="32">
        <f t="shared" si="4"/>
        <v>13048652.133782499</v>
      </c>
      <c r="Y9" s="32">
        <f t="shared" si="4"/>
        <v>13048659.771477705</v>
      </c>
      <c r="Z9" s="32">
        <f t="shared" si="4"/>
        <v>13048673.949632177</v>
      </c>
      <c r="AA9" s="32">
        <f t="shared" ref="AA9:AA27" si="5">+Z9</f>
        <v>13048673.949632177</v>
      </c>
      <c r="AB9" s="28">
        <f>+U9</f>
        <v>13048471</v>
      </c>
      <c r="AC9" s="27">
        <f t="shared" si="3"/>
        <v>202.94963217712939</v>
      </c>
    </row>
    <row r="10" spans="1:29" ht="15" customHeight="1" x14ac:dyDescent="0.25">
      <c r="A10" s="29" t="s">
        <v>74</v>
      </c>
      <c r="B10" s="30" t="s">
        <v>14</v>
      </c>
      <c r="C10" s="31">
        <f>IF(Triangulo1!D22=0,"-",Triangulo1!D22)</f>
        <v>4141271</v>
      </c>
      <c r="D10" s="31">
        <f>IF(Triangulo1!E22=0,"-",Triangulo1!E22)</f>
        <v>5675304</v>
      </c>
      <c r="E10" s="31">
        <f>IF(Triangulo1!F22=0,"-",Triangulo1!F22)</f>
        <v>6514051</v>
      </c>
      <c r="F10" s="31">
        <f>IF(Triangulo1!G22=0,"-",Triangulo1!G22)</f>
        <v>7799341</v>
      </c>
      <c r="G10" s="31">
        <f>IF(Triangulo1!H22=0,"-",Triangulo1!H22)</f>
        <v>8118940</v>
      </c>
      <c r="H10" s="31">
        <f>IF(Triangulo1!I22=0,"-",Triangulo1!I22)</f>
        <v>8328067</v>
      </c>
      <c r="I10" s="31">
        <f>IF(Triangulo1!J22=0,"-",Triangulo1!J22)</f>
        <v>9073367</v>
      </c>
      <c r="J10" s="31">
        <f>IF(Triangulo1!K22=0,"-",Triangulo1!K22)</f>
        <v>9580777</v>
      </c>
      <c r="K10" s="31">
        <f>IF(Triangulo1!L22=0,"-",Triangulo1!L22)</f>
        <v>10084545</v>
      </c>
      <c r="L10" s="31">
        <f>IF(Triangulo1!M22=0,"-",Triangulo1!M22)</f>
        <v>10574369</v>
      </c>
      <c r="M10" s="31">
        <f>IF(Triangulo1!N22=0,"-",Triangulo1!N22)</f>
        <v>10704764</v>
      </c>
      <c r="N10" s="31">
        <f>IF(Triangulo1!O22=0,"-",Triangulo1!O22)</f>
        <v>10779530</v>
      </c>
      <c r="O10" s="31">
        <f>IF(Triangulo1!P22=0,"-",Triangulo1!P22)</f>
        <v>10810916</v>
      </c>
      <c r="P10" s="31">
        <f>IF(Triangulo1!Q22=0,"-",Triangulo1!Q22)</f>
        <v>10825407</v>
      </c>
      <c r="Q10" s="31">
        <f>IF(Triangulo1!R22=0,"-",Triangulo1!R22)</f>
        <v>10831969</v>
      </c>
      <c r="R10" s="31">
        <f>IF(Triangulo1!S22=0,"-",Triangulo1!S22)</f>
        <v>10836654</v>
      </c>
      <c r="S10" s="31">
        <f>IF(Triangulo1!T22=0,"-",Triangulo1!T22)</f>
        <v>10839043</v>
      </c>
      <c r="T10" s="26">
        <f>IF(Triangulo1!U22=0,"-",Triangulo1!U22)</f>
        <v>10840140</v>
      </c>
      <c r="U10" s="32">
        <f>+T10*T$30</f>
        <v>10840493.57526245</v>
      </c>
      <c r="V10" s="32">
        <f t="shared" ref="V10:Z10" si="6">+U10*U$30</f>
        <v>10840598.798785064</v>
      </c>
      <c r="W10" s="32">
        <f t="shared" si="6"/>
        <v>10840631.590494951</v>
      </c>
      <c r="X10" s="32">
        <f t="shared" si="6"/>
        <v>10840644.05876396</v>
      </c>
      <c r="Y10" s="32">
        <f t="shared" si="6"/>
        <v>10840650.404058043</v>
      </c>
      <c r="Z10" s="32">
        <f t="shared" si="6"/>
        <v>10840662.183077399</v>
      </c>
      <c r="AA10" s="32">
        <f>+Z10</f>
        <v>10840662.183077399</v>
      </c>
      <c r="AB10" s="28">
        <f>+T10</f>
        <v>10840140</v>
      </c>
      <c r="AC10" s="27">
        <f t="shared" si="3"/>
        <v>522.1830773986876</v>
      </c>
    </row>
    <row r="11" spans="1:29" ht="15" customHeight="1" x14ac:dyDescent="0.25">
      <c r="A11" s="23" t="s">
        <v>75</v>
      </c>
      <c r="B11" s="24" t="s">
        <v>15</v>
      </c>
      <c r="C11" s="25">
        <f>IF(Triangulo1!D23=0,"-",Triangulo1!D23)</f>
        <v>6591656</v>
      </c>
      <c r="D11" s="25">
        <f>IF(Triangulo1!E23=0,"-",Triangulo1!E23)</f>
        <v>9149839</v>
      </c>
      <c r="E11" s="25">
        <f>IF(Triangulo1!F23=0,"-",Triangulo1!F23)</f>
        <v>9876574</v>
      </c>
      <c r="F11" s="25">
        <f>IF(Triangulo1!G23=0,"-",Triangulo1!G23)</f>
        <v>11324778</v>
      </c>
      <c r="G11" s="25">
        <f>IF(Triangulo1!H23=0,"-",Triangulo1!H23)</f>
        <v>11791969</v>
      </c>
      <c r="H11" s="25">
        <f>IF(Triangulo1!I23=0,"-",Triangulo1!I23)</f>
        <v>12446387</v>
      </c>
      <c r="I11" s="25">
        <f>IF(Triangulo1!J23=0,"-",Triangulo1!J23)</f>
        <v>12820241</v>
      </c>
      <c r="J11" s="25">
        <f>IF(Triangulo1!K23=0,"-",Triangulo1!K23)</f>
        <v>13419392</v>
      </c>
      <c r="K11" s="25">
        <f>IF(Triangulo1!L23=0,"-",Triangulo1!L23)</f>
        <v>13586619</v>
      </c>
      <c r="L11" s="25">
        <f>IF(Triangulo1!M23=0,"-",Triangulo1!M23)</f>
        <v>13861205</v>
      </c>
      <c r="M11" s="25">
        <f>IF(Triangulo1!N23=0,"-",Triangulo1!N23)</f>
        <v>13987078</v>
      </c>
      <c r="N11" s="25">
        <f>IF(Triangulo1!O23=0,"-",Triangulo1!O23)</f>
        <v>14043493</v>
      </c>
      <c r="O11" s="25">
        <f>IF(Triangulo1!P23=0,"-",Triangulo1!P23)</f>
        <v>14079323</v>
      </c>
      <c r="P11" s="25">
        <f>IF(Triangulo1!Q23=0,"-",Triangulo1!Q23)</f>
        <v>14095393</v>
      </c>
      <c r="Q11" s="25">
        <f>IF(Triangulo1!R23=0,"-",Triangulo1!R23)</f>
        <v>14104571</v>
      </c>
      <c r="R11" s="25">
        <f>IF(Triangulo1!S23=0,"-",Triangulo1!S23)</f>
        <v>14109322</v>
      </c>
      <c r="S11" s="26">
        <f>IF(Triangulo1!T23=0,"-",Triangulo1!T23)</f>
        <v>14111136</v>
      </c>
      <c r="T11" s="32">
        <f>+S11*S$30</f>
        <v>14112108.623342341</v>
      </c>
      <c r="U11" s="32">
        <f t="shared" ref="U11:Y11" si="7">+T11*T$30</f>
        <v>14112568.92113464</v>
      </c>
      <c r="V11" s="32">
        <f t="shared" si="7"/>
        <v>14112705.905138617</v>
      </c>
      <c r="W11" s="32">
        <f t="shared" si="7"/>
        <v>14112748.594640031</v>
      </c>
      <c r="X11" s="32">
        <f t="shared" si="7"/>
        <v>14112764.826309236</v>
      </c>
      <c r="Y11" s="32">
        <f t="shared" si="7"/>
        <v>14112773.086855624</v>
      </c>
      <c r="Z11" s="32">
        <f>+Y11*Y$30</f>
        <v>14112788.421233281</v>
      </c>
      <c r="AA11" s="32">
        <f>+Z11</f>
        <v>14112788.421233281</v>
      </c>
      <c r="AB11" s="28">
        <f>+S11</f>
        <v>14111136</v>
      </c>
      <c r="AC11" s="27">
        <f t="shared" si="3"/>
        <v>1652.4212332814932</v>
      </c>
    </row>
    <row r="12" spans="1:29" ht="15" customHeight="1" x14ac:dyDescent="0.25">
      <c r="A12" s="29" t="s">
        <v>76</v>
      </c>
      <c r="B12" s="30" t="s">
        <v>16</v>
      </c>
      <c r="C12" s="31">
        <f>IF(Triangulo1!D24=0,"-",Triangulo1!D24)</f>
        <v>6289704</v>
      </c>
      <c r="D12" s="31">
        <f>IF(Triangulo1!E24=0,"-",Triangulo1!E24)</f>
        <v>9074583</v>
      </c>
      <c r="E12" s="31">
        <f>IF(Triangulo1!F24=0,"-",Triangulo1!F24)</f>
        <v>11031640</v>
      </c>
      <c r="F12" s="31">
        <f>IF(Triangulo1!G24=0,"-",Triangulo1!G24)</f>
        <v>12328713</v>
      </c>
      <c r="G12" s="31">
        <f>IF(Triangulo1!H24=0,"-",Triangulo1!H24)</f>
        <v>12743016</v>
      </c>
      <c r="H12" s="31">
        <f>IF(Triangulo1!I24=0,"-",Triangulo1!I24)</f>
        <v>13716063</v>
      </c>
      <c r="I12" s="31">
        <f>IF(Triangulo1!J24=0,"-",Triangulo1!J24)</f>
        <v>13936735</v>
      </c>
      <c r="J12" s="31">
        <f>IF(Triangulo1!K24=0,"-",Triangulo1!K24)</f>
        <v>14684360</v>
      </c>
      <c r="K12" s="31">
        <f>IF(Triangulo1!L24=0,"-",Triangulo1!L24)</f>
        <v>15224487</v>
      </c>
      <c r="L12" s="31">
        <f>IF(Triangulo1!M24=0,"-",Triangulo1!M24)</f>
        <v>15505624</v>
      </c>
      <c r="M12" s="31">
        <f>IF(Triangulo1!N24=0,"-",Triangulo1!N24)</f>
        <v>15616491</v>
      </c>
      <c r="N12" s="31">
        <f>IF(Triangulo1!O24=0,"-",Triangulo1!O24)</f>
        <v>15669883</v>
      </c>
      <c r="O12" s="31">
        <f>IF(Triangulo1!P24=0,"-",Triangulo1!P24)</f>
        <v>15701026</v>
      </c>
      <c r="P12" s="31">
        <f>IF(Triangulo1!Q24=0,"-",Triangulo1!Q24)</f>
        <v>15717007</v>
      </c>
      <c r="Q12" s="31">
        <f>IF(Triangulo1!R24=0,"-",Triangulo1!R24)</f>
        <v>15725357</v>
      </c>
      <c r="R12" s="26">
        <f>IF(Triangulo1!S24=0,"-",Triangulo1!S24)</f>
        <v>15729334</v>
      </c>
      <c r="S12" s="32">
        <f>+R12*R30</f>
        <v>15731536.513082536</v>
      </c>
      <c r="T12" s="32">
        <f t="shared" ref="T12:Z12" si="8">+S12*S30</f>
        <v>15732620.824056756</v>
      </c>
      <c r="U12" s="32">
        <f t="shared" si="8"/>
        <v>15733133.978456687</v>
      </c>
      <c r="V12" s="32">
        <f t="shared" si="8"/>
        <v>15733286.692516014</v>
      </c>
      <c r="W12" s="32">
        <f t="shared" si="8"/>
        <v>15733334.284109648</v>
      </c>
      <c r="X12" s="32">
        <f t="shared" si="8"/>
        <v>15733352.379683014</v>
      </c>
      <c r="Y12" s="32">
        <f t="shared" si="8"/>
        <v>15733361.588798931</v>
      </c>
      <c r="Z12" s="32">
        <f t="shared" si="8"/>
        <v>15733378.684043568</v>
      </c>
      <c r="AA12" s="32">
        <f t="shared" si="5"/>
        <v>15733378.684043568</v>
      </c>
      <c r="AB12" s="28">
        <f>+R12</f>
        <v>15729334</v>
      </c>
      <c r="AC12" s="27">
        <f t="shared" si="3"/>
        <v>4044.6840435676277</v>
      </c>
    </row>
    <row r="13" spans="1:29" ht="15" customHeight="1" x14ac:dyDescent="0.25">
      <c r="A13" s="23" t="s">
        <v>77</v>
      </c>
      <c r="B13" s="24" t="s">
        <v>17</v>
      </c>
      <c r="C13" s="25">
        <f>IF(Triangulo1!D25=0,"-",Triangulo1!D25)</f>
        <v>4959185</v>
      </c>
      <c r="D13" s="25">
        <f>IF(Triangulo1!E25=0,"-",Triangulo1!E25)</f>
        <v>7332815</v>
      </c>
      <c r="E13" s="25">
        <f>IF(Triangulo1!F25=0,"-",Triangulo1!F25)</f>
        <v>8942057</v>
      </c>
      <c r="F13" s="25">
        <f>IF(Triangulo1!G25=0,"-",Triangulo1!G25)</f>
        <v>10413724</v>
      </c>
      <c r="G13" s="25">
        <f>IF(Triangulo1!H25=0,"-",Triangulo1!H25)</f>
        <v>11109326</v>
      </c>
      <c r="H13" s="25">
        <f>IF(Triangulo1!I25=0,"-",Triangulo1!I25)</f>
        <v>11743877</v>
      </c>
      <c r="I13" s="25">
        <f>IF(Triangulo1!J25=0,"-",Triangulo1!J25)</f>
        <v>12264947</v>
      </c>
      <c r="J13" s="25">
        <f>IF(Triangulo1!K25=0,"-",Triangulo1!K25)</f>
        <v>13331758</v>
      </c>
      <c r="K13" s="25">
        <f>IF(Triangulo1!L25=0,"-",Triangulo1!L25)</f>
        <v>13881470</v>
      </c>
      <c r="L13" s="25">
        <f>IF(Triangulo1!M25=0,"-",Triangulo1!M25)</f>
        <v>14105853</v>
      </c>
      <c r="M13" s="25">
        <f>IF(Triangulo1!N25=0,"-",Triangulo1!N25)</f>
        <v>14231236</v>
      </c>
      <c r="N13" s="25">
        <f>IF(Triangulo1!O25=0,"-",Triangulo1!O25)</f>
        <v>14285043</v>
      </c>
      <c r="O13" s="25">
        <f>IF(Triangulo1!P25=0,"-",Triangulo1!P25)</f>
        <v>14317196</v>
      </c>
      <c r="P13" s="25">
        <f>IF(Triangulo1!Q25=0,"-",Triangulo1!Q25)</f>
        <v>14335249</v>
      </c>
      <c r="Q13" s="26">
        <f>IF(Triangulo1!R25=0,"-",Triangulo1!R25)</f>
        <v>14343596</v>
      </c>
      <c r="R13" s="32">
        <f>+Q13*Q30</f>
        <v>14348835.902460478</v>
      </c>
      <c r="S13" s="32">
        <f t="shared" ref="S13:Z13" si="9">+R13*R30</f>
        <v>14350845.110148123</v>
      </c>
      <c r="T13" s="32">
        <f t="shared" si="9"/>
        <v>14351834.255666701</v>
      </c>
      <c r="U13" s="32">
        <f t="shared" si="9"/>
        <v>14352302.372643379</v>
      </c>
      <c r="V13" s="32">
        <f t="shared" si="9"/>
        <v>14352441.683626113</v>
      </c>
      <c r="W13" s="32">
        <f t="shared" si="9"/>
        <v>14352485.098303899</v>
      </c>
      <c r="X13" s="32">
        <f t="shared" si="9"/>
        <v>14352501.605704198</v>
      </c>
      <c r="Y13" s="32">
        <f t="shared" si="9"/>
        <v>14352510.006574387</v>
      </c>
      <c r="Z13" s="32">
        <f t="shared" si="9"/>
        <v>14352525.601440642</v>
      </c>
      <c r="AA13" s="32">
        <f t="shared" si="5"/>
        <v>14352525.601440642</v>
      </c>
      <c r="AB13" s="28">
        <f>+Q13</f>
        <v>14343596</v>
      </c>
      <c r="AC13" s="27">
        <f t="shared" si="3"/>
        <v>8929.601440642029</v>
      </c>
    </row>
    <row r="14" spans="1:29" ht="15" customHeight="1" x14ac:dyDescent="0.25">
      <c r="A14" s="29" t="s">
        <v>78</v>
      </c>
      <c r="B14" s="30" t="s">
        <v>18</v>
      </c>
      <c r="C14" s="31">
        <f>IF(Triangulo1!D26=0,"-",Triangulo1!D26)</f>
        <v>6194048</v>
      </c>
      <c r="D14" s="31">
        <f>IF(Triangulo1!E26=0,"-",Triangulo1!E26)</f>
        <v>7741218</v>
      </c>
      <c r="E14" s="31">
        <f>IF(Triangulo1!F26=0,"-",Triangulo1!F26)</f>
        <v>9386858</v>
      </c>
      <c r="F14" s="31">
        <f>IF(Triangulo1!G26=0,"-",Triangulo1!G26)</f>
        <v>9734366</v>
      </c>
      <c r="G14" s="31">
        <f>IF(Triangulo1!H26=0,"-",Triangulo1!H26)</f>
        <v>10964336</v>
      </c>
      <c r="H14" s="31">
        <f>IF(Triangulo1!I26=0,"-",Triangulo1!I26)</f>
        <v>11346897</v>
      </c>
      <c r="I14" s="31">
        <f>IF(Triangulo1!J26=0,"-",Triangulo1!J26)</f>
        <v>13064544</v>
      </c>
      <c r="J14" s="31">
        <f>IF(Triangulo1!K26=0,"-",Triangulo1!K26)</f>
        <v>14121948</v>
      </c>
      <c r="K14" s="31">
        <f>IF(Triangulo1!L26=0,"-",Triangulo1!L26)</f>
        <v>14605429</v>
      </c>
      <c r="L14" s="31">
        <f>IF(Triangulo1!M26=0,"-",Triangulo1!M26)</f>
        <v>14862271</v>
      </c>
      <c r="M14" s="31">
        <f>IF(Triangulo1!N26=0,"-",Triangulo1!N26)</f>
        <v>15012968</v>
      </c>
      <c r="N14" s="31">
        <f>IF(Triangulo1!O26=0,"-",Triangulo1!O26)</f>
        <v>15074585</v>
      </c>
      <c r="O14" s="31">
        <f>IF(Triangulo1!P26=0,"-",Triangulo1!P26)</f>
        <v>15104696</v>
      </c>
      <c r="P14" s="26">
        <f>IF(Triangulo1!Q26=0,"-",Triangulo1!Q26)</f>
        <v>15119935</v>
      </c>
      <c r="Q14" s="32">
        <f>+P14*P30</f>
        <v>15130044.660299063</v>
      </c>
      <c r="R14" s="32">
        <f t="shared" ref="R14:Z14" si="10">+Q14*Q30</f>
        <v>15135571.862699537</v>
      </c>
      <c r="S14" s="32">
        <f t="shared" si="10"/>
        <v>15137691.233744698</v>
      </c>
      <c r="T14" s="32">
        <f t="shared" si="10"/>
        <v>15138734.613373602</v>
      </c>
      <c r="U14" s="32">
        <f t="shared" si="10"/>
        <v>15139228.396854633</v>
      </c>
      <c r="V14" s="32">
        <f t="shared" si="10"/>
        <v>15139375.346154546</v>
      </c>
      <c r="W14" s="32">
        <f t="shared" si="10"/>
        <v>15139421.141226703</v>
      </c>
      <c r="X14" s="32">
        <f t="shared" si="10"/>
        <v>15139438.553715438</v>
      </c>
      <c r="Y14" s="32">
        <f t="shared" si="10"/>
        <v>15139447.415199067</v>
      </c>
      <c r="Z14" s="32">
        <f t="shared" si="10"/>
        <v>15139463.865120197</v>
      </c>
      <c r="AA14" s="32">
        <f t="shared" si="5"/>
        <v>15139463.865120197</v>
      </c>
      <c r="AB14" s="28">
        <f>+P14</f>
        <v>15119935</v>
      </c>
      <c r="AC14" s="27">
        <f t="shared" si="3"/>
        <v>19528.865120196715</v>
      </c>
    </row>
    <row r="15" spans="1:29" ht="15" customHeight="1" x14ac:dyDescent="0.25">
      <c r="A15" s="23" t="s">
        <v>79</v>
      </c>
      <c r="B15" s="24" t="s">
        <v>19</v>
      </c>
      <c r="C15" s="25">
        <f>IF(Triangulo1!D27=0,"-",Triangulo1!D27)</f>
        <v>6500694</v>
      </c>
      <c r="D15" s="25">
        <f>IF(Triangulo1!E27=0,"-",Triangulo1!E27)</f>
        <v>9436157</v>
      </c>
      <c r="E15" s="25">
        <f>IF(Triangulo1!F27=0,"-",Triangulo1!F27)</f>
        <v>11552953</v>
      </c>
      <c r="F15" s="25">
        <f>IF(Triangulo1!G27=0,"-",Triangulo1!G27)</f>
        <v>12130358</v>
      </c>
      <c r="G15" s="25">
        <f>IF(Triangulo1!H27=0,"-",Triangulo1!H27)</f>
        <v>13369514</v>
      </c>
      <c r="H15" s="25">
        <f>IF(Triangulo1!I27=0,"-",Triangulo1!I27)</f>
        <v>15030308</v>
      </c>
      <c r="I15" s="25">
        <f>IF(Triangulo1!J27=0,"-",Triangulo1!J27)</f>
        <v>16697100</v>
      </c>
      <c r="J15" s="25">
        <f>IF(Triangulo1!K27=0,"-",Triangulo1!K27)</f>
        <v>17828453</v>
      </c>
      <c r="K15" s="25">
        <f>IF(Triangulo1!L27=0,"-",Triangulo1!L27)</f>
        <v>18294564</v>
      </c>
      <c r="L15" s="25">
        <f>IF(Triangulo1!M27=0,"-",Triangulo1!M27)</f>
        <v>18522862</v>
      </c>
      <c r="M15" s="25">
        <f>IF(Triangulo1!N27=0,"-",Triangulo1!N27)</f>
        <v>18641988</v>
      </c>
      <c r="N15" s="25">
        <f>IF(Triangulo1!O27=0,"-",Triangulo1!O27)</f>
        <v>18693587</v>
      </c>
      <c r="O15" s="26">
        <f>IF(Triangulo1!P27=0,"-",Triangulo1!P27)</f>
        <v>18730024</v>
      </c>
      <c r="P15" s="32">
        <f>+O15*O30</f>
        <v>18753966.536604721</v>
      </c>
      <c r="Q15" s="32">
        <f t="shared" ref="Q15:Z15" si="11">+P15*P30</f>
        <v>18766506.02377481</v>
      </c>
      <c r="R15" s="32">
        <f t="shared" si="11"/>
        <v>18773361.672880415</v>
      </c>
      <c r="S15" s="32">
        <f t="shared" si="11"/>
        <v>18775990.428470939</v>
      </c>
      <c r="T15" s="32">
        <f t="shared" si="11"/>
        <v>18777284.581299338</v>
      </c>
      <c r="U15" s="32">
        <f t="shared" si="11"/>
        <v>18777897.04417564</v>
      </c>
      <c r="V15" s="32">
        <f t="shared" si="11"/>
        <v>18778079.312303986</v>
      </c>
      <c r="W15" s="32">
        <f t="shared" si="11"/>
        <v>18778136.114085924</v>
      </c>
      <c r="X15" s="32">
        <f t="shared" si="11"/>
        <v>18778157.711614687</v>
      </c>
      <c r="Y15" s="32">
        <f t="shared" si="11"/>
        <v>18778168.702929627</v>
      </c>
      <c r="Z15" s="32">
        <f t="shared" si="11"/>
        <v>18778189.106540516</v>
      </c>
      <c r="AA15" s="32">
        <f t="shared" si="5"/>
        <v>18778189.106540516</v>
      </c>
      <c r="AB15" s="28">
        <f>+O15</f>
        <v>18730024</v>
      </c>
      <c r="AC15" s="27">
        <f t="shared" si="3"/>
        <v>48165.106540516019</v>
      </c>
    </row>
    <row r="16" spans="1:29" ht="15" customHeight="1" x14ac:dyDescent="0.25">
      <c r="A16" s="29" t="s">
        <v>80</v>
      </c>
      <c r="B16" s="30" t="s">
        <v>20</v>
      </c>
      <c r="C16" s="31">
        <f>IF(Triangulo1!D28=0,"-",Triangulo1!D28)</f>
        <v>5205434</v>
      </c>
      <c r="D16" s="31">
        <f>IF(Triangulo1!E28=0,"-",Triangulo1!E28)</f>
        <v>7752400</v>
      </c>
      <c r="E16" s="31">
        <f>IF(Triangulo1!F28=0,"-",Triangulo1!F28)</f>
        <v>9411446</v>
      </c>
      <c r="F16" s="31">
        <f>IF(Triangulo1!G28=0,"-",Triangulo1!G28)</f>
        <v>10805763</v>
      </c>
      <c r="G16" s="31">
        <f>IF(Triangulo1!H28=0,"-",Triangulo1!H28)</f>
        <v>13284336</v>
      </c>
      <c r="H16" s="31">
        <f>IF(Triangulo1!I28=0,"-",Triangulo1!I28)</f>
        <v>15384835</v>
      </c>
      <c r="I16" s="31">
        <f>IF(Triangulo1!J28=0,"-",Triangulo1!J28)</f>
        <v>17438864</v>
      </c>
      <c r="J16" s="31">
        <f>IF(Triangulo1!K28=0,"-",Triangulo1!K28)</f>
        <v>18514044</v>
      </c>
      <c r="K16" s="31">
        <f>IF(Triangulo1!L28=0,"-",Triangulo1!L28)</f>
        <v>19125680</v>
      </c>
      <c r="L16" s="31">
        <f>IF(Triangulo1!M28=0,"-",Triangulo1!M28)</f>
        <v>19431036</v>
      </c>
      <c r="M16" s="31">
        <f>IF(Triangulo1!N28=0,"-",Triangulo1!N28)</f>
        <v>19572822</v>
      </c>
      <c r="N16" s="26">
        <f>IF(Triangulo1!O28=0,"-",Triangulo1!O28)</f>
        <v>19627354</v>
      </c>
      <c r="O16" s="32">
        <f>+N16*N30</f>
        <v>19680611.027707107</v>
      </c>
      <c r="P16" s="32">
        <f t="shared" ref="P16:Z16" si="12">+O16*O30</f>
        <v>19705768.697015706</v>
      </c>
      <c r="Q16" s="32">
        <f t="shared" si="12"/>
        <v>19718944.588807486</v>
      </c>
      <c r="R16" s="32">
        <f t="shared" si="12"/>
        <v>19726148.176127493</v>
      </c>
      <c r="S16" s="32">
        <f t="shared" si="12"/>
        <v>19728910.346440997</v>
      </c>
      <c r="T16" s="32">
        <f t="shared" si="12"/>
        <v>19730270.180172447</v>
      </c>
      <c r="U16" s="32">
        <f t="shared" si="12"/>
        <v>19730913.726792429</v>
      </c>
      <c r="V16" s="32">
        <f t="shared" si="12"/>
        <v>19731105.245401092</v>
      </c>
      <c r="W16" s="32">
        <f t="shared" si="12"/>
        <v>19731164.929989643</v>
      </c>
      <c r="X16" s="32">
        <f t="shared" si="12"/>
        <v>19731187.623637166</v>
      </c>
      <c r="Y16" s="32">
        <f t="shared" si="12"/>
        <v>19731199.172783818</v>
      </c>
      <c r="Z16" s="32">
        <f t="shared" si="12"/>
        <v>19731220.61191969</v>
      </c>
      <c r="AA16" s="32">
        <f t="shared" si="5"/>
        <v>19731220.61191969</v>
      </c>
      <c r="AB16" s="28">
        <f>+N16</f>
        <v>19627354</v>
      </c>
      <c r="AC16" s="27">
        <f t="shared" si="3"/>
        <v>103866.61191968992</v>
      </c>
    </row>
    <row r="17" spans="1:29" ht="15" customHeight="1" x14ac:dyDescent="0.25">
      <c r="A17" s="23" t="s">
        <v>81</v>
      </c>
      <c r="B17" s="24" t="s">
        <v>21</v>
      </c>
      <c r="C17" s="25">
        <f>IF(Triangulo1!D29=0,"-",Triangulo1!D29)</f>
        <v>5184519</v>
      </c>
      <c r="D17" s="25">
        <f>IF(Triangulo1!E29=0,"-",Triangulo1!E29)</f>
        <v>7275135</v>
      </c>
      <c r="E17" s="25">
        <f>IF(Triangulo1!F29=0,"-",Triangulo1!F29)</f>
        <v>7974797</v>
      </c>
      <c r="F17" s="25">
        <f>IF(Triangulo1!G29=0,"-",Triangulo1!G29)</f>
        <v>11597296</v>
      </c>
      <c r="G17" s="25">
        <f>IF(Triangulo1!H29=0,"-",Triangulo1!H29)</f>
        <v>14585912</v>
      </c>
      <c r="H17" s="25">
        <f>IF(Triangulo1!I29=0,"-",Triangulo1!I29)</f>
        <v>16285147</v>
      </c>
      <c r="I17" s="25">
        <f>IF(Triangulo1!J29=0,"-",Triangulo1!J29)</f>
        <v>18338971</v>
      </c>
      <c r="J17" s="25">
        <f>IF(Triangulo1!K29=0,"-",Triangulo1!K29)</f>
        <v>19214501</v>
      </c>
      <c r="K17" s="25">
        <f>IF(Triangulo1!L29=0,"-",Triangulo1!L29)</f>
        <v>19700684</v>
      </c>
      <c r="L17" s="25">
        <f>IF(Triangulo1!M29=0,"-",Triangulo1!M29)</f>
        <v>19926910</v>
      </c>
      <c r="M17" s="26">
        <f>IF(Triangulo1!N29=0,"-",Triangulo1!N29)</f>
        <v>20049671</v>
      </c>
      <c r="N17" s="32">
        <f>+M17*M30</f>
        <v>20181234.035976883</v>
      </c>
      <c r="O17" s="32">
        <f t="shared" ref="O17:Z17" si="13">+N17*N30</f>
        <v>20235993.966440137</v>
      </c>
      <c r="P17" s="32">
        <f t="shared" si="13"/>
        <v>20261861.580185555</v>
      </c>
      <c r="Q17" s="32">
        <f t="shared" si="13"/>
        <v>20275409.293029711</v>
      </c>
      <c r="R17" s="32">
        <f t="shared" si="13"/>
        <v>20282816.164154757</v>
      </c>
      <c r="S17" s="32">
        <f t="shared" si="13"/>
        <v>20285656.282366514</v>
      </c>
      <c r="T17" s="32">
        <f t="shared" si="13"/>
        <v>20287054.490336087</v>
      </c>
      <c r="U17" s="32">
        <f t="shared" si="13"/>
        <v>20287716.197714012</v>
      </c>
      <c r="V17" s="32">
        <f t="shared" si="13"/>
        <v>20287913.120939817</v>
      </c>
      <c r="W17" s="32">
        <f t="shared" si="13"/>
        <v>20287974.489815615</v>
      </c>
      <c r="X17" s="32">
        <f t="shared" si="13"/>
        <v>20287997.823873367</v>
      </c>
      <c r="Y17" s="32">
        <f t="shared" si="13"/>
        <v>20288009.698934648</v>
      </c>
      <c r="Z17" s="32">
        <f t="shared" si="13"/>
        <v>20288031.743078683</v>
      </c>
      <c r="AA17" s="32">
        <f t="shared" si="5"/>
        <v>20288031.743078683</v>
      </c>
      <c r="AB17" s="28">
        <f>+M17</f>
        <v>20049671</v>
      </c>
      <c r="AC17" s="27">
        <f t="shared" si="3"/>
        <v>238360.74307868257</v>
      </c>
    </row>
    <row r="18" spans="1:29" ht="15" customHeight="1" x14ac:dyDescent="0.25">
      <c r="A18" s="29" t="s">
        <v>82</v>
      </c>
      <c r="B18" s="30" t="s">
        <v>22</v>
      </c>
      <c r="C18" s="31">
        <f>IF(Triangulo1!D30=0,"-",Triangulo1!D30)</f>
        <v>3419011</v>
      </c>
      <c r="D18" s="31">
        <f>IF(Triangulo1!E30=0,"-",Triangulo1!E30)</f>
        <v>4773306</v>
      </c>
      <c r="E18" s="31">
        <f>IF(Triangulo1!F30=0,"-",Triangulo1!F30)</f>
        <v>8697825</v>
      </c>
      <c r="F18" s="31">
        <f>IF(Triangulo1!G30=0,"-",Triangulo1!G30)</f>
        <v>12220494</v>
      </c>
      <c r="G18" s="31">
        <f>IF(Triangulo1!H30=0,"-",Triangulo1!H30)</f>
        <v>14462971</v>
      </c>
      <c r="H18" s="31">
        <f>IF(Triangulo1!I30=0,"-",Triangulo1!I30)</f>
        <v>16656668</v>
      </c>
      <c r="I18" s="31">
        <f>IF(Triangulo1!J30=0,"-",Triangulo1!J30)</f>
        <v>19017438</v>
      </c>
      <c r="J18" s="31">
        <f>IF(Triangulo1!K30=0,"-",Triangulo1!K30)</f>
        <v>19939378</v>
      </c>
      <c r="K18" s="31">
        <f>IF(Triangulo1!L30=0,"-",Triangulo1!L30)</f>
        <v>20384099</v>
      </c>
      <c r="L18" s="26">
        <f>IF(Triangulo1!M30=0,"-",Triangulo1!M30)</f>
        <v>20688336</v>
      </c>
      <c r="M18" s="32">
        <f>+L18*L30</f>
        <v>20901088.916817319</v>
      </c>
      <c r="N18" s="32">
        <f t="shared" ref="N18:Y18" si="14">+M18*M30</f>
        <v>21038238.833796967</v>
      </c>
      <c r="O18" s="32">
        <f t="shared" si="14"/>
        <v>21095324.168299023</v>
      </c>
      <c r="P18" s="32">
        <f t="shared" si="14"/>
        <v>21122290.261406429</v>
      </c>
      <c r="Q18" s="32">
        <f t="shared" si="14"/>
        <v>21136413.28371314</v>
      </c>
      <c r="R18" s="32">
        <f t="shared" si="14"/>
        <v>21144134.690811541</v>
      </c>
      <c r="S18" s="32">
        <f t="shared" si="14"/>
        <v>21147095.41586674</v>
      </c>
      <c r="T18" s="32">
        <f t="shared" si="14"/>
        <v>21148552.999340117</v>
      </c>
      <c r="U18" s="32">
        <f t="shared" si="14"/>
        <v>21149242.806406923</v>
      </c>
      <c r="V18" s="32">
        <f t="shared" si="14"/>
        <v>21149448.09206235</v>
      </c>
      <c r="W18" s="32">
        <f t="shared" si="14"/>
        <v>21149512.0669939</v>
      </c>
      <c r="X18" s="32">
        <f t="shared" si="14"/>
        <v>21149536.391942468</v>
      </c>
      <c r="Y18" s="32">
        <f t="shared" si="14"/>
        <v>21149548.771283343</v>
      </c>
      <c r="Z18" s="32">
        <f>+Y18*Y30</f>
        <v>21149571.751541451</v>
      </c>
      <c r="AA18" s="32">
        <f t="shared" si="5"/>
        <v>21149571.751541451</v>
      </c>
      <c r="AB18" s="28">
        <f>+L18</f>
        <v>20688336</v>
      </c>
      <c r="AC18" s="27">
        <f t="shared" si="3"/>
        <v>461235.75154145062</v>
      </c>
    </row>
    <row r="19" spans="1:29" ht="15" customHeight="1" x14ac:dyDescent="0.25">
      <c r="A19" s="23" t="s">
        <v>83</v>
      </c>
      <c r="B19" s="24" t="s">
        <v>23</v>
      </c>
      <c r="C19" s="25">
        <f>IF(Triangulo1!D31=0,"-",Triangulo1!D31)</f>
        <v>5498188</v>
      </c>
      <c r="D19" s="25">
        <f>IF(Triangulo1!E31=0,"-",Triangulo1!E31)</f>
        <v>10669557</v>
      </c>
      <c r="E19" s="25">
        <f>IF(Triangulo1!F31=0,"-",Triangulo1!F31)</f>
        <v>14420577</v>
      </c>
      <c r="F19" s="25">
        <f>IF(Triangulo1!G31=0,"-",Triangulo1!G31)</f>
        <v>17838126</v>
      </c>
      <c r="G19" s="25">
        <f>IF(Triangulo1!H31=0,"-",Triangulo1!H31)</f>
        <v>20243242</v>
      </c>
      <c r="H19" s="25">
        <f>IF(Triangulo1!I31=0,"-",Triangulo1!I31)</f>
        <v>22179116</v>
      </c>
      <c r="I19" s="25">
        <f>IF(Triangulo1!J31=0,"-",Triangulo1!J31)</f>
        <v>24155749</v>
      </c>
      <c r="J19" s="25">
        <f>IF(Triangulo1!K31=0,"-",Triangulo1!K31)</f>
        <v>25145296</v>
      </c>
      <c r="K19" s="26">
        <f>IF(Triangulo1!L31=0,"-",Triangulo1!L31)</f>
        <v>25647723</v>
      </c>
      <c r="L19" s="32">
        <f>+K19*K30</f>
        <v>26171020.24879472</v>
      </c>
      <c r="M19" s="32">
        <f t="shared" ref="M19:Z19" si="15">+L19*L30</f>
        <v>26440155.518736981</v>
      </c>
      <c r="N19" s="32">
        <f t="shared" si="15"/>
        <v>26613651.988167621</v>
      </c>
      <c r="O19" s="32">
        <f t="shared" si="15"/>
        <v>26685865.695696469</v>
      </c>
      <c r="P19" s="32">
        <f t="shared" si="15"/>
        <v>26719978.162196662</v>
      </c>
      <c r="Q19" s="32">
        <f t="shared" si="15"/>
        <v>26737843.973287661</v>
      </c>
      <c r="R19" s="32">
        <f t="shared" si="15"/>
        <v>26747611.65598198</v>
      </c>
      <c r="S19" s="32">
        <f t="shared" si="15"/>
        <v>26751357.012562171</v>
      </c>
      <c r="T19" s="32">
        <f t="shared" si="15"/>
        <v>26753200.875045653</v>
      </c>
      <c r="U19" s="32">
        <f t="shared" si="15"/>
        <v>26754073.490161393</v>
      </c>
      <c r="V19" s="32">
        <f t="shared" si="15"/>
        <v>26754333.17924634</v>
      </c>
      <c r="W19" s="32">
        <f t="shared" si="15"/>
        <v>26754414.108385783</v>
      </c>
      <c r="X19" s="32">
        <f t="shared" si="15"/>
        <v>26754444.879769307</v>
      </c>
      <c r="Y19" s="32">
        <f t="shared" si="15"/>
        <v>26754460.539800189</v>
      </c>
      <c r="Z19" s="32">
        <f t="shared" si="15"/>
        <v>26754489.610132392</v>
      </c>
      <c r="AA19" s="32">
        <f t="shared" si="5"/>
        <v>26754489.610132392</v>
      </c>
      <c r="AB19" s="28">
        <f>+K19</f>
        <v>25647723</v>
      </c>
      <c r="AC19" s="27">
        <f t="shared" si="3"/>
        <v>1106766.6101323925</v>
      </c>
    </row>
    <row r="20" spans="1:29" ht="15" customHeight="1" x14ac:dyDescent="0.25">
      <c r="A20" s="29" t="s">
        <v>84</v>
      </c>
      <c r="B20" s="30" t="s">
        <v>24</v>
      </c>
      <c r="C20" s="31">
        <f>IF(Triangulo1!D32=0,"-",Triangulo1!D32)</f>
        <v>6382667</v>
      </c>
      <c r="D20" s="31">
        <f>IF(Triangulo1!E32=0,"-",Triangulo1!E32)</f>
        <v>10460689</v>
      </c>
      <c r="E20" s="31">
        <f>IF(Triangulo1!F32=0,"-",Triangulo1!F32)</f>
        <v>15242265</v>
      </c>
      <c r="F20" s="31">
        <f>IF(Triangulo1!G32=0,"-",Triangulo1!G32)</f>
        <v>19075882</v>
      </c>
      <c r="G20" s="31">
        <f>IF(Triangulo1!H32=0,"-",Triangulo1!H32)</f>
        <v>21908553</v>
      </c>
      <c r="H20" s="31">
        <f>IF(Triangulo1!I32=0,"-",Triangulo1!I32)</f>
        <v>23938666</v>
      </c>
      <c r="I20" s="31">
        <f>IF(Triangulo1!J32=0,"-",Triangulo1!J32)</f>
        <v>25653115</v>
      </c>
      <c r="J20" s="26">
        <f>IF(Triangulo1!K32=0,"-",Triangulo1!K32)</f>
        <v>26811464</v>
      </c>
      <c r="K20" s="32">
        <f>+J20*J30</f>
        <v>27559031.044383593</v>
      </c>
      <c r="L20" s="32">
        <f t="shared" ref="L20:Z20" si="16">+K20*K30</f>
        <v>28121325.214707181</v>
      </c>
      <c r="M20" s="32">
        <f t="shared" si="16"/>
        <v>28410516.861836143</v>
      </c>
      <c r="N20" s="32">
        <f t="shared" si="16"/>
        <v>28596942.556901939</v>
      </c>
      <c r="O20" s="32">
        <f t="shared" si="16"/>
        <v>28674537.741769522</v>
      </c>
      <c r="P20" s="32">
        <f t="shared" si="16"/>
        <v>28711192.322110996</v>
      </c>
      <c r="Q20" s="32">
        <f t="shared" si="16"/>
        <v>28730389.521117315</v>
      </c>
      <c r="R20" s="32">
        <f t="shared" si="16"/>
        <v>28740885.10665543</v>
      </c>
      <c r="S20" s="32">
        <f t="shared" si="16"/>
        <v>28744909.573009256</v>
      </c>
      <c r="T20" s="32">
        <f t="shared" si="16"/>
        <v>28746890.842981014</v>
      </c>
      <c r="U20" s="32">
        <f t="shared" si="16"/>
        <v>28747828.486726798</v>
      </c>
      <c r="V20" s="32">
        <f t="shared" si="16"/>
        <v>28748107.528244596</v>
      </c>
      <c r="W20" s="32">
        <f t="shared" si="16"/>
        <v>28748194.488348864</v>
      </c>
      <c r="X20" s="32">
        <f t="shared" si="16"/>
        <v>28748227.552863549</v>
      </c>
      <c r="Y20" s="32">
        <f t="shared" si="16"/>
        <v>28748244.379904192</v>
      </c>
      <c r="Z20" s="32">
        <f t="shared" si="16"/>
        <v>28748275.616602581</v>
      </c>
      <c r="AA20" s="32">
        <f t="shared" si="5"/>
        <v>28748275.616602581</v>
      </c>
      <c r="AB20" s="28">
        <f>+J20</f>
        <v>26811464</v>
      </c>
      <c r="AC20" s="27">
        <f t="shared" si="3"/>
        <v>1936811.616602581</v>
      </c>
    </row>
    <row r="21" spans="1:29" ht="15" customHeight="1" x14ac:dyDescent="0.25">
      <c r="A21" s="23" t="s">
        <v>85</v>
      </c>
      <c r="B21" s="24" t="s">
        <v>25</v>
      </c>
      <c r="C21" s="25">
        <f>IF(Triangulo1!D33=0,"-",Triangulo1!D33)</f>
        <v>3022770</v>
      </c>
      <c r="D21" s="25">
        <f>IF(Triangulo1!E33=0,"-",Triangulo1!E33)</f>
        <v>7899209</v>
      </c>
      <c r="E21" s="25">
        <f>IF(Triangulo1!F33=0,"-",Triangulo1!F33)</f>
        <v>11259161</v>
      </c>
      <c r="F21" s="25">
        <f>IF(Triangulo1!G33=0,"-",Triangulo1!G33)</f>
        <v>14497513</v>
      </c>
      <c r="G21" s="25">
        <f>IF(Triangulo1!H33=0,"-",Triangulo1!H33)</f>
        <v>17221120</v>
      </c>
      <c r="H21" s="25">
        <f>IF(Triangulo1!I33=0,"-",Triangulo1!I33)</f>
        <v>19234288</v>
      </c>
      <c r="I21" s="26">
        <f>IF(Triangulo1!J33=0,"-",Triangulo1!J33)</f>
        <v>21399003</v>
      </c>
      <c r="J21" s="32">
        <f>+I21*I30</f>
        <v>22644499.309706386</v>
      </c>
      <c r="K21" s="32">
        <f t="shared" ref="K21:Z21" si="17">+J21*J30</f>
        <v>23275881.520707753</v>
      </c>
      <c r="L21" s="32">
        <f t="shared" si="17"/>
        <v>23750785.462982014</v>
      </c>
      <c r="M21" s="32">
        <f t="shared" si="17"/>
        <v>23995031.73218181</v>
      </c>
      <c r="N21" s="32">
        <f t="shared" si="17"/>
        <v>24152483.653614707</v>
      </c>
      <c r="O21" s="32">
        <f t="shared" si="17"/>
        <v>24218019.206248853</v>
      </c>
      <c r="P21" s="32">
        <f t="shared" si="17"/>
        <v>24248977.031574618</v>
      </c>
      <c r="Q21" s="32">
        <f t="shared" si="17"/>
        <v>24265190.654211819</v>
      </c>
      <c r="R21" s="32">
        <f t="shared" si="17"/>
        <v>24274055.044439554</v>
      </c>
      <c r="S21" s="32">
        <f t="shared" si="17"/>
        <v>24277454.039196838</v>
      </c>
      <c r="T21" s="32">
        <f t="shared" si="17"/>
        <v>24279127.385587316</v>
      </c>
      <c r="U21" s="32">
        <f t="shared" si="17"/>
        <v>24279919.303296626</v>
      </c>
      <c r="V21" s="32">
        <f t="shared" si="17"/>
        <v>24280154.976941943</v>
      </c>
      <c r="W21" s="32">
        <f t="shared" si="17"/>
        <v>24280228.421943717</v>
      </c>
      <c r="X21" s="32">
        <f t="shared" si="17"/>
        <v>24280256.347661611</v>
      </c>
      <c r="Y21" s="32">
        <f t="shared" si="17"/>
        <v>24280270.55948944</v>
      </c>
      <c r="Z21" s="32">
        <f t="shared" si="17"/>
        <v>24280296.941465266</v>
      </c>
      <c r="AA21" s="32">
        <f t="shared" si="5"/>
        <v>24280296.941465266</v>
      </c>
      <c r="AB21" s="28">
        <f>+I21</f>
        <v>21399003</v>
      </c>
      <c r="AC21" s="27">
        <f t="shared" si="3"/>
        <v>2881293.941465266</v>
      </c>
    </row>
    <row r="22" spans="1:29" ht="15" customHeight="1" x14ac:dyDescent="0.25">
      <c r="A22" s="29" t="s">
        <v>86</v>
      </c>
      <c r="B22" s="30" t="s">
        <v>26</v>
      </c>
      <c r="C22" s="31">
        <f>IF(Triangulo1!D34=0,"-",Triangulo1!D34)</f>
        <v>6936281</v>
      </c>
      <c r="D22" s="31">
        <f>IF(Triangulo1!E34=0,"-",Triangulo1!E34)</f>
        <v>21936281</v>
      </c>
      <c r="E22" s="31">
        <f>IF(Triangulo1!F34=0,"-",Triangulo1!F34)</f>
        <v>25150070</v>
      </c>
      <c r="F22" s="31">
        <f>IF(Triangulo1!G34=0,"-",Triangulo1!G34)</f>
        <v>28898330</v>
      </c>
      <c r="G22" s="31">
        <f>IF(Triangulo1!H34=0,"-",Triangulo1!H34)</f>
        <v>31903741</v>
      </c>
      <c r="H22" s="26">
        <f>IF(Triangulo1!I34=0,"-",Triangulo1!I34)</f>
        <v>33589263</v>
      </c>
      <c r="I22" s="32">
        <f>H30*H22</f>
        <v>36279055.188174002</v>
      </c>
      <c r="J22" s="32">
        <f t="shared" ref="J22:Z22" si="18">I30*I22</f>
        <v>38390622.22503572</v>
      </c>
      <c r="K22" s="32">
        <f t="shared" si="18"/>
        <v>39461043.593627043</v>
      </c>
      <c r="L22" s="32">
        <f t="shared" si="18"/>
        <v>40266177.661361381</v>
      </c>
      <c r="M22" s="32">
        <f t="shared" si="18"/>
        <v>40680263.489556506</v>
      </c>
      <c r="N22" s="32">
        <f t="shared" si="18"/>
        <v>40947201.484151304</v>
      </c>
      <c r="O22" s="32">
        <f t="shared" si="18"/>
        <v>41058307.965644941</v>
      </c>
      <c r="P22" s="32">
        <f t="shared" si="18"/>
        <v>41110792.684372224</v>
      </c>
      <c r="Q22" s="32">
        <f t="shared" si="18"/>
        <v>41138280.643061474</v>
      </c>
      <c r="R22" s="32">
        <f t="shared" si="18"/>
        <v>41153308.992853351</v>
      </c>
      <c r="S22" s="32">
        <f t="shared" si="18"/>
        <v>41159071.519190855</v>
      </c>
      <c r="T22" s="32">
        <f t="shared" si="18"/>
        <v>41161908.446969643</v>
      </c>
      <c r="U22" s="32">
        <f t="shared" si="18"/>
        <v>41163251.034111694</v>
      </c>
      <c r="V22" s="32">
        <f t="shared" si="18"/>
        <v>41163650.586239651</v>
      </c>
      <c r="W22" s="32">
        <f t="shared" si="18"/>
        <v>41163775.102100164</v>
      </c>
      <c r="X22" s="32">
        <f t="shared" si="18"/>
        <v>41163822.446299359</v>
      </c>
      <c r="Y22" s="32">
        <f t="shared" si="18"/>
        <v>41163846.54049132</v>
      </c>
      <c r="Z22" s="32">
        <f t="shared" si="18"/>
        <v>41163891.267488971</v>
      </c>
      <c r="AA22" s="32">
        <f t="shared" si="5"/>
        <v>41163891.267488971</v>
      </c>
      <c r="AB22" s="28">
        <f>+H22</f>
        <v>33589263</v>
      </c>
      <c r="AC22" s="27">
        <f t="shared" si="3"/>
        <v>7574628.2674889714</v>
      </c>
    </row>
    <row r="23" spans="1:29" ht="15" customHeight="1" x14ac:dyDescent="0.25">
      <c r="A23" s="23" t="s">
        <v>87</v>
      </c>
      <c r="B23" s="24" t="s">
        <v>27</v>
      </c>
      <c r="C23" s="25">
        <f>IF(Triangulo1!D35=0,"-",Triangulo1!D35)</f>
        <v>6691248</v>
      </c>
      <c r="D23" s="25">
        <f>IF(Triangulo1!E35=0,"-",Triangulo1!E35)</f>
        <v>11756013</v>
      </c>
      <c r="E23" s="25">
        <f>IF(Triangulo1!F35=0,"-",Triangulo1!F35)</f>
        <v>15391294</v>
      </c>
      <c r="F23" s="25">
        <f>IF(Triangulo1!G35=0,"-",Triangulo1!G35)</f>
        <v>18736499</v>
      </c>
      <c r="G23" s="26">
        <f>IF(Triangulo1!H35=0,"-",Triangulo1!H35)</f>
        <v>21705785</v>
      </c>
      <c r="H23" s="32">
        <f>G30*G23</f>
        <v>23562877.191143405</v>
      </c>
      <c r="I23" s="32">
        <f t="shared" ref="I23:Z23" si="19">H30*H23</f>
        <v>25449767.147604816</v>
      </c>
      <c r="J23" s="32">
        <f t="shared" si="19"/>
        <v>26931032.002104279</v>
      </c>
      <c r="K23" s="32">
        <f t="shared" si="19"/>
        <v>27681932.88524938</v>
      </c>
      <c r="L23" s="32">
        <f t="shared" si="19"/>
        <v>28246734.654208403</v>
      </c>
      <c r="M23" s="32">
        <f t="shared" si="19"/>
        <v>28537215.97606279</v>
      </c>
      <c r="N23" s="32">
        <f t="shared" si="19"/>
        <v>28724473.052357897</v>
      </c>
      <c r="O23" s="32">
        <f t="shared" si="19"/>
        <v>28802414.279546317</v>
      </c>
      <c r="P23" s="32">
        <f t="shared" si="19"/>
        <v>28839232.324103672</v>
      </c>
      <c r="Q23" s="32">
        <f t="shared" si="19"/>
        <v>28858515.134650309</v>
      </c>
      <c r="R23" s="32">
        <f t="shared" si="19"/>
        <v>28869057.526144031</v>
      </c>
      <c r="S23" s="32">
        <f t="shared" si="19"/>
        <v>28873099.939947553</v>
      </c>
      <c r="T23" s="32">
        <f t="shared" si="19"/>
        <v>28875090.045561116</v>
      </c>
      <c r="U23" s="32">
        <f t="shared" si="19"/>
        <v>28876031.870808862</v>
      </c>
      <c r="V23" s="32">
        <f t="shared" si="19"/>
        <v>28876312.15673602</v>
      </c>
      <c r="W23" s="32">
        <f t="shared" si="19"/>
        <v>28876399.50464626</v>
      </c>
      <c r="X23" s="32">
        <f t="shared" si="19"/>
        <v>28876432.716614958</v>
      </c>
      <c r="Y23" s="32">
        <f t="shared" si="19"/>
        <v>28876449.618697215</v>
      </c>
      <c r="Z23" s="32">
        <f t="shared" si="19"/>
        <v>28876480.994698312</v>
      </c>
      <c r="AA23" s="32">
        <f t="shared" si="5"/>
        <v>28876480.994698312</v>
      </c>
      <c r="AB23" s="28">
        <f>+G23</f>
        <v>21705785</v>
      </c>
      <c r="AC23" s="27">
        <f t="shared" si="3"/>
        <v>7170695.9946983121</v>
      </c>
    </row>
    <row r="24" spans="1:29" ht="15" customHeight="1" x14ac:dyDescent="0.25">
      <c r="A24" s="29" t="s">
        <v>88</v>
      </c>
      <c r="B24" s="30" t="s">
        <v>28</v>
      </c>
      <c r="C24" s="31">
        <f>IF(Triangulo1!D36=0,"-",Triangulo1!D36)</f>
        <v>4191817</v>
      </c>
      <c r="D24" s="31">
        <f>IF(Triangulo1!E36=0,"-",Triangulo1!E36)</f>
        <v>9775450</v>
      </c>
      <c r="E24" s="31">
        <f>IF(Triangulo1!F36=0,"-",Triangulo1!F36)</f>
        <v>14374440</v>
      </c>
      <c r="F24" s="26">
        <f>IF(Triangulo1!G36=0,"-",Triangulo1!G36)</f>
        <v>17306094</v>
      </c>
      <c r="G24" s="32">
        <f>F30*F24</f>
        <v>19433670.938131634</v>
      </c>
      <c r="H24" s="32">
        <f t="shared" ref="H24:Z24" si="20">G30*G24</f>
        <v>21096366.783707127</v>
      </c>
      <c r="I24" s="32">
        <f t="shared" si="20"/>
        <v>22785741.229751654</v>
      </c>
      <c r="J24" s="32">
        <f t="shared" si="20"/>
        <v>24111950.521632232</v>
      </c>
      <c r="K24" s="32">
        <f t="shared" si="20"/>
        <v>24784248.743981451</v>
      </c>
      <c r="L24" s="32">
        <f t="shared" si="20"/>
        <v>25289928.30006405</v>
      </c>
      <c r="M24" s="32">
        <f t="shared" si="20"/>
        <v>25550002.672983143</v>
      </c>
      <c r="N24" s="32">
        <f t="shared" si="20"/>
        <v>25717658.088419892</v>
      </c>
      <c r="O24" s="32">
        <f t="shared" si="20"/>
        <v>25787440.598552279</v>
      </c>
      <c r="P24" s="32">
        <f t="shared" si="20"/>
        <v>25820404.610796623</v>
      </c>
      <c r="Q24" s="32">
        <f t="shared" si="20"/>
        <v>25837668.938943502</v>
      </c>
      <c r="R24" s="32">
        <f t="shared" si="20"/>
        <v>25847107.775971968</v>
      </c>
      <c r="S24" s="32">
        <f t="shared" si="20"/>
        <v>25850727.038747005</v>
      </c>
      <c r="T24" s="32">
        <f t="shared" si="20"/>
        <v>25852508.824461095</v>
      </c>
      <c r="U24" s="32">
        <f t="shared" si="20"/>
        <v>25853352.061503474</v>
      </c>
      <c r="V24" s="32">
        <f t="shared" si="20"/>
        <v>25853603.007713296</v>
      </c>
      <c r="W24" s="32">
        <f t="shared" si="20"/>
        <v>25853681.212235488</v>
      </c>
      <c r="X24" s="32">
        <f t="shared" si="20"/>
        <v>25853710.947648</v>
      </c>
      <c r="Y24" s="32">
        <f t="shared" si="20"/>
        <v>25853726.080457285</v>
      </c>
      <c r="Z24" s="32">
        <f t="shared" si="20"/>
        <v>25853754.172087267</v>
      </c>
      <c r="AA24" s="32">
        <f t="shared" si="5"/>
        <v>25853754.172087267</v>
      </c>
      <c r="AB24" s="28">
        <f>+F24</f>
        <v>17306094</v>
      </c>
      <c r="AC24" s="27">
        <f t="shared" si="3"/>
        <v>8547660.172087267</v>
      </c>
    </row>
    <row r="25" spans="1:29" ht="15" customHeight="1" x14ac:dyDescent="0.25">
      <c r="A25" s="23" t="s">
        <v>89</v>
      </c>
      <c r="B25" s="24" t="s">
        <v>29</v>
      </c>
      <c r="C25" s="25">
        <f>IF(Triangulo1!D37=0,"-",Triangulo1!D37)</f>
        <v>5916671</v>
      </c>
      <c r="D25" s="25">
        <f>IF(Triangulo1!E37=0,"-",Triangulo1!E37)</f>
        <v>11716355</v>
      </c>
      <c r="E25" s="26">
        <f>IF(Triangulo1!F37=0,"-",Triangulo1!F37)</f>
        <v>15374462</v>
      </c>
      <c r="F25" s="32">
        <f>E25*E30</f>
        <v>18006472.33105699</v>
      </c>
      <c r="G25" s="32">
        <f t="shared" ref="G25:Z25" si="21">F25*F30</f>
        <v>20220152.39477687</v>
      </c>
      <c r="H25" s="32">
        <f t="shared" si="21"/>
        <v>21950137.609136533</v>
      </c>
      <c r="I25" s="32">
        <f t="shared" si="21"/>
        <v>23707881.108015917</v>
      </c>
      <c r="J25" s="32">
        <f t="shared" si="21"/>
        <v>25087762.144108653</v>
      </c>
      <c r="K25" s="32">
        <f t="shared" si="21"/>
        <v>25787268.302976739</v>
      </c>
      <c r="L25" s="32">
        <f t="shared" si="21"/>
        <v>26313412.73134876</v>
      </c>
      <c r="M25" s="32">
        <f t="shared" si="21"/>
        <v>26584012.324762773</v>
      </c>
      <c r="N25" s="32">
        <f t="shared" si="21"/>
        <v>26758452.761710223</v>
      </c>
      <c r="O25" s="32">
        <f t="shared" si="21"/>
        <v>26831059.37287797</v>
      </c>
      <c r="P25" s="32">
        <f t="shared" si="21"/>
        <v>26865357.440044276</v>
      </c>
      <c r="Q25" s="32">
        <f t="shared" si="21"/>
        <v>26883320.456256431</v>
      </c>
      <c r="R25" s="32">
        <f t="shared" si="21"/>
        <v>26893141.283404976</v>
      </c>
      <c r="S25" s="32">
        <f t="shared" si="21"/>
        <v>26896907.01789235</v>
      </c>
      <c r="T25" s="32">
        <f t="shared" si="21"/>
        <v>26898760.912547067</v>
      </c>
      <c r="U25" s="32">
        <f t="shared" si="21"/>
        <v>26899638.275426995</v>
      </c>
      <c r="V25" s="32">
        <f t="shared" si="21"/>
        <v>26899899.377440181</v>
      </c>
      <c r="W25" s="32">
        <f t="shared" si="21"/>
        <v>26899980.746902581</v>
      </c>
      <c r="X25" s="32">
        <f t="shared" si="21"/>
        <v>26900011.685708452</v>
      </c>
      <c r="Y25" s="32">
        <f t="shared" si="21"/>
        <v>26900027.430943146</v>
      </c>
      <c r="Z25" s="32">
        <f t="shared" si="21"/>
        <v>26900056.65944254</v>
      </c>
      <c r="AA25" s="32">
        <f t="shared" si="5"/>
        <v>26900056.65944254</v>
      </c>
      <c r="AB25" s="28">
        <f>+E25</f>
        <v>15374462</v>
      </c>
      <c r="AC25" s="27">
        <f t="shared" si="3"/>
        <v>11525594.65944254</v>
      </c>
    </row>
    <row r="26" spans="1:29" ht="15" customHeight="1" x14ac:dyDescent="0.25">
      <c r="A26" s="29" t="s">
        <v>90</v>
      </c>
      <c r="B26" s="30" t="s">
        <v>30</v>
      </c>
      <c r="C26" s="31">
        <f>IF(Triangulo1!D38=0,"-",Triangulo1!D38)</f>
        <v>4926500</v>
      </c>
      <c r="D26" s="26">
        <f>IF(Triangulo1!E38=0,"-",Triangulo1!E38)</f>
        <v>9321834</v>
      </c>
      <c r="E26" s="32">
        <f>D26*D30</f>
        <v>11630133.013186263</v>
      </c>
      <c r="F26" s="32">
        <f t="shared" ref="F26:Z26" si="22">E26*E30</f>
        <v>13621137.982483609</v>
      </c>
      <c r="G26" s="32">
        <f t="shared" si="22"/>
        <v>15295693.722365813</v>
      </c>
      <c r="H26" s="32">
        <f t="shared" si="22"/>
        <v>16604354.679337734</v>
      </c>
      <c r="I26" s="32">
        <f t="shared" si="22"/>
        <v>17934013.609518878</v>
      </c>
      <c r="J26" s="32">
        <f t="shared" si="22"/>
        <v>18977835.5001406</v>
      </c>
      <c r="K26" s="32">
        <f t="shared" si="22"/>
        <v>19506982.449879643</v>
      </c>
      <c r="L26" s="32">
        <f t="shared" si="22"/>
        <v>19904988.551563948</v>
      </c>
      <c r="M26" s="32">
        <f t="shared" si="22"/>
        <v>20109685.747779272</v>
      </c>
      <c r="N26" s="32">
        <f t="shared" si="22"/>
        <v>20241642.59183516</v>
      </c>
      <c r="O26" s="32">
        <f t="shared" si="22"/>
        <v>20296566.435382832</v>
      </c>
      <c r="P26" s="32">
        <f t="shared" si="22"/>
        <v>20322511.478743657</v>
      </c>
      <c r="Q26" s="32">
        <f t="shared" si="22"/>
        <v>20336099.744002331</v>
      </c>
      <c r="R26" s="32">
        <f t="shared" si="22"/>
        <v>20343528.786139682</v>
      </c>
      <c r="S26" s="32">
        <f t="shared" si="22"/>
        <v>20346377.405686855</v>
      </c>
      <c r="T26" s="32">
        <f t="shared" si="22"/>
        <v>20347779.798917059</v>
      </c>
      <c r="U26" s="32">
        <f t="shared" si="22"/>
        <v>20348443.486985907</v>
      </c>
      <c r="V26" s="32">
        <f t="shared" si="22"/>
        <v>20348640.999662668</v>
      </c>
      <c r="W26" s="32">
        <f t="shared" si="22"/>
        <v>20348702.552234128</v>
      </c>
      <c r="X26" s="32">
        <f t="shared" si="22"/>
        <v>20348725.956137795</v>
      </c>
      <c r="Y26" s="32">
        <f t="shared" si="22"/>
        <v>20348737.866744738</v>
      </c>
      <c r="Z26" s="32">
        <f t="shared" si="22"/>
        <v>20348759.976873584</v>
      </c>
      <c r="AA26" s="32">
        <f t="shared" si="5"/>
        <v>20348759.976873584</v>
      </c>
      <c r="AB26" s="28">
        <f>+D26</f>
        <v>9321834</v>
      </c>
      <c r="AC26" s="27">
        <f>AA26-AB26</f>
        <v>11026925.976873584</v>
      </c>
    </row>
    <row r="27" spans="1:29" ht="15" customHeight="1" x14ac:dyDescent="0.25">
      <c r="A27" s="23" t="s">
        <v>91</v>
      </c>
      <c r="B27" s="24" t="s">
        <v>31</v>
      </c>
      <c r="C27" s="38">
        <f>IF(Triangulo1!D39=0,"-",Triangulo1!D39)</f>
        <v>5149958</v>
      </c>
      <c r="D27" s="39">
        <f>C27*C30</f>
        <v>8611113.3154301289</v>
      </c>
      <c r="E27" s="39">
        <f t="shared" ref="E27:Z27" si="23">D27*D30</f>
        <v>10743421.653944038</v>
      </c>
      <c r="F27" s="39">
        <f t="shared" si="23"/>
        <v>12582627.265436791</v>
      </c>
      <c r="G27" s="39">
        <f t="shared" si="23"/>
        <v>14129510.553546147</v>
      </c>
      <c r="H27" s="39">
        <f t="shared" si="23"/>
        <v>15338395.821398422</v>
      </c>
      <c r="I27" s="39">
        <f t="shared" si="23"/>
        <v>16566678.122784976</v>
      </c>
      <c r="J27" s="39">
        <f t="shared" si="23"/>
        <v>17530916.338276707</v>
      </c>
      <c r="K27" s="39">
        <f t="shared" si="23"/>
        <v>18019719.758796435</v>
      </c>
      <c r="L27" s="39">
        <f t="shared" si="23"/>
        <v>18387380.848002288</v>
      </c>
      <c r="M27" s="39">
        <f t="shared" si="23"/>
        <v>18576471.401638087</v>
      </c>
      <c r="N27" s="39">
        <f t="shared" si="23"/>
        <v>18698367.515311833</v>
      </c>
      <c r="O27" s="39">
        <f t="shared" si="23"/>
        <v>18749103.823264532</v>
      </c>
      <c r="P27" s="39">
        <f t="shared" si="23"/>
        <v>18773070.749553263</v>
      </c>
      <c r="Q27" s="39">
        <f t="shared" si="23"/>
        <v>18785623.010396201</v>
      </c>
      <c r="R27" s="39">
        <f t="shared" si="23"/>
        <v>18792485.64318604</v>
      </c>
      <c r="S27" s="39">
        <f t="shared" si="23"/>
        <v>18795117.07662642</v>
      </c>
      <c r="T27" s="39">
        <f t="shared" si="23"/>
        <v>18796412.54777706</v>
      </c>
      <c r="U27" s="39">
        <f t="shared" si="23"/>
        <v>18797025.634554509</v>
      </c>
      <c r="V27" s="39">
        <f t="shared" si="23"/>
        <v>18797208.088354997</v>
      </c>
      <c r="W27" s="39">
        <f t="shared" si="23"/>
        <v>18797264.947999537</v>
      </c>
      <c r="X27" s="39">
        <f t="shared" si="23"/>
        <v>18797286.567529179</v>
      </c>
      <c r="Y27" s="39">
        <f t="shared" si="23"/>
        <v>18797297.570040707</v>
      </c>
      <c r="Z27" s="39">
        <f t="shared" si="23"/>
        <v>18797317.99443626</v>
      </c>
      <c r="AA27" s="32">
        <f t="shared" si="5"/>
        <v>18797317.99443626</v>
      </c>
      <c r="AB27" s="28">
        <f>+C27</f>
        <v>5149958</v>
      </c>
      <c r="AC27" s="27">
        <f>AA27-AB27</f>
        <v>13647359.99443626</v>
      </c>
    </row>
    <row r="28" spans="1:29" ht="15" customHeight="1" x14ac:dyDescent="0.25">
      <c r="A28" s="33" t="s">
        <v>92</v>
      </c>
      <c r="B28" s="37"/>
      <c r="C28" s="42">
        <f>SUM(D4:D26)</f>
        <v>211515876</v>
      </c>
      <c r="D28" s="42">
        <f>SUM(E4:E25)</f>
        <v>252261905</v>
      </c>
      <c r="E28" s="42">
        <f>SUM(F4:F24)</f>
        <v>277441070</v>
      </c>
      <c r="F28" s="42">
        <f>SUM(G4:G23)</f>
        <v>292115455</v>
      </c>
      <c r="G28" s="42">
        <f>SUM(H4:H22)</f>
        <v>293545239</v>
      </c>
      <c r="H28" s="42">
        <f>SUM(I4:I21)</f>
        <v>280772972</v>
      </c>
      <c r="I28" s="42">
        <f>SUM(J4:J20)</f>
        <v>274470435</v>
      </c>
      <c r="J28" s="42">
        <f>SUM(K4:K19)</f>
        <v>254564289</v>
      </c>
      <c r="K28" s="42">
        <f>SUM(L4:L18)</f>
        <v>233587211</v>
      </c>
      <c r="L28" s="42">
        <f>SUM(M4:M17)</f>
        <v>215088266</v>
      </c>
      <c r="M28" s="42">
        <f>SUM(N4:N16)</f>
        <v>196318410</v>
      </c>
      <c r="N28" s="42">
        <f>SUM(O4:O15)</f>
        <v>177170491</v>
      </c>
      <c r="O28" s="42">
        <f>SUM(P4:P14)</f>
        <v>158643001</v>
      </c>
      <c r="P28" s="42">
        <f>SUM(Q4:Q13)</f>
        <v>143619030</v>
      </c>
      <c r="Q28" s="42">
        <f>SUM(R4:R12)</f>
        <v>129322660</v>
      </c>
      <c r="R28" s="42">
        <f>SUM(S4:S11)</f>
        <v>113609232</v>
      </c>
      <c r="S28" s="42">
        <f>SUM(T4:T10)</f>
        <v>99504954</v>
      </c>
      <c r="T28" s="42">
        <f>SUM(U4:U9)</f>
        <v>88667706</v>
      </c>
      <c r="U28" s="42">
        <f>SUM(V4:V8)</f>
        <v>75619969</v>
      </c>
      <c r="V28" s="42">
        <f>SUM(W4:W7)</f>
        <v>63803989</v>
      </c>
      <c r="W28" s="42">
        <f>SUM(X4:X6)</f>
        <v>44342390</v>
      </c>
      <c r="X28" s="42">
        <f>SUM(Y4:Y5)</f>
        <v>32460648</v>
      </c>
      <c r="Y28" s="42">
        <f>SUM(Z4)</f>
        <v>14725385</v>
      </c>
      <c r="Z28" s="42"/>
      <c r="AA28" s="32"/>
      <c r="AB28" s="28"/>
      <c r="AC28" s="27"/>
    </row>
    <row r="29" spans="1:29" ht="15" customHeight="1" x14ac:dyDescent="0.25">
      <c r="A29" s="35" t="s">
        <v>93</v>
      </c>
      <c r="B29" s="36"/>
      <c r="C29" s="40">
        <f>SUM(C4:C26)</f>
        <v>126499076</v>
      </c>
      <c r="D29" s="40">
        <f>SUM(D4:D25)</f>
        <v>202194042</v>
      </c>
      <c r="E29" s="40">
        <f>SUM(E4:E24)</f>
        <v>236887443</v>
      </c>
      <c r="F29" s="40">
        <f>SUM(F4:F23)</f>
        <v>260134976</v>
      </c>
      <c r="G29" s="40">
        <f>SUM(G4:G22)</f>
        <v>270409670</v>
      </c>
      <c r="H29" s="40">
        <f>SUM(H4:H21)</f>
        <v>259955976</v>
      </c>
      <c r="I29" s="40">
        <f>SUM(I4:I20)</f>
        <v>259373969</v>
      </c>
      <c r="J29" s="40">
        <f>SUM(J4:J19)</f>
        <v>247658971</v>
      </c>
      <c r="K29" s="40">
        <f>SUM(K4:K18)</f>
        <v>228916566</v>
      </c>
      <c r="L29" s="40">
        <f>SUM(L4:L17)</f>
        <v>212898875</v>
      </c>
      <c r="M29" s="40">
        <f>SUM(M4:M16)</f>
        <v>195038595</v>
      </c>
      <c r="N29" s="40">
        <f>SUM(N4:N15)</f>
        <v>176691056</v>
      </c>
      <c r="O29" s="40">
        <f>SUM(O4:O14)</f>
        <v>158440467</v>
      </c>
      <c r="P29" s="40">
        <f>SUM(P4:P13)</f>
        <v>143523066</v>
      </c>
      <c r="Q29" s="40">
        <f>SUM(Q4:Q12)</f>
        <v>129275434</v>
      </c>
      <c r="R29" s="40">
        <f>SUM(R4:R11)</f>
        <v>113593326</v>
      </c>
      <c r="S29" s="40">
        <f>SUM(S4:S10)</f>
        <v>99498096</v>
      </c>
      <c r="T29" s="40">
        <f>SUM(T4:T9)</f>
        <v>88664814</v>
      </c>
      <c r="U29" s="40">
        <f>SUM(U4:U8)</f>
        <v>75619235</v>
      </c>
      <c r="V29" s="40">
        <f>SUM(V4:V7)</f>
        <v>63803796</v>
      </c>
      <c r="W29" s="40">
        <f>SUM(W4:W6)</f>
        <v>44342339</v>
      </c>
      <c r="X29" s="40">
        <f>SUM(X4:X5)</f>
        <v>32460629</v>
      </c>
      <c r="Y29" s="40">
        <f>SUM(Y4)</f>
        <v>14725369</v>
      </c>
      <c r="Z29" s="40"/>
      <c r="AA29" s="32"/>
      <c r="AB29" s="28"/>
      <c r="AC29" s="27"/>
    </row>
    <row r="30" spans="1:29" ht="15" customHeight="1" x14ac:dyDescent="0.25">
      <c r="A30" s="35" t="s">
        <v>37</v>
      </c>
      <c r="B30" s="36"/>
      <c r="C30" s="41">
        <f>C28/C29</f>
        <v>1.6720744742831164</v>
      </c>
      <c r="D30" s="41">
        <f t="shared" ref="D30:Y30" si="24">D28/D29</f>
        <v>1.2476228404395813</v>
      </c>
      <c r="E30" s="41">
        <f t="shared" si="24"/>
        <v>1.1711936541946633</v>
      </c>
      <c r="F30" s="41">
        <f t="shared" si="24"/>
        <v>1.1229380204528898</v>
      </c>
      <c r="G30" s="41">
        <f t="shared" si="24"/>
        <v>1.0855574765503024</v>
      </c>
      <c r="H30" s="41">
        <f t="shared" si="24"/>
        <v>1.0800789284413297</v>
      </c>
      <c r="I30" s="41">
        <f>I28/I29</f>
        <v>1.0582034737649406</v>
      </c>
      <c r="J30" s="41">
        <f t="shared" si="24"/>
        <v>1.0278823657068332</v>
      </c>
      <c r="K30" s="41">
        <f t="shared" si="24"/>
        <v>1.0204032634317954</v>
      </c>
      <c r="L30" s="41">
        <f t="shared" si="24"/>
        <v>1.0102837133357327</v>
      </c>
      <c r="M30" s="41">
        <f t="shared" si="24"/>
        <v>1.0065618551036015</v>
      </c>
      <c r="N30" s="41">
        <f t="shared" si="24"/>
        <v>1.0027134084251554</v>
      </c>
      <c r="O30" s="41">
        <f t="shared" si="24"/>
        <v>1.0012782971663421</v>
      </c>
      <c r="P30" s="41">
        <f t="shared" si="24"/>
        <v>1.0006686312010642</v>
      </c>
      <c r="Q30" s="41">
        <f t="shared" si="24"/>
        <v>1.0003653130261392</v>
      </c>
      <c r="R30" s="41">
        <f t="shared" si="24"/>
        <v>1.0001400258321513</v>
      </c>
      <c r="S30" s="41">
        <f t="shared" si="24"/>
        <v>1.0000689259420603</v>
      </c>
      <c r="T30" s="41">
        <f t="shared" si="24"/>
        <v>1.0000326172228817</v>
      </c>
      <c r="U30" s="41">
        <f t="shared" si="24"/>
        <v>1.0000097065250659</v>
      </c>
      <c r="V30" s="41">
        <f t="shared" si="24"/>
        <v>1.0000030248983931</v>
      </c>
      <c r="W30" s="41">
        <f t="shared" si="24"/>
        <v>1.0000011501423054</v>
      </c>
      <c r="X30" s="41">
        <f t="shared" si="24"/>
        <v>1.0000005853244556</v>
      </c>
      <c r="Y30" s="41">
        <f t="shared" si="24"/>
        <v>1.0000010865602078</v>
      </c>
      <c r="Z30" s="41">
        <v>1</v>
      </c>
      <c r="AA30" s="32"/>
      <c r="AB30" s="28"/>
      <c r="AC30" s="27"/>
    </row>
    <row r="31" spans="1:29" ht="15" customHeight="1" x14ac:dyDescent="0.25">
      <c r="A31" s="53" t="s">
        <v>95</v>
      </c>
      <c r="B31" s="53"/>
      <c r="C31" s="45">
        <f>+C30*D31</f>
        <v>3.6499944260586719</v>
      </c>
      <c r="D31" s="45">
        <f t="shared" ref="D31:X31" si="25">+D30*E31</f>
        <v>2.1829137889468511</v>
      </c>
      <c r="E31" s="45">
        <f t="shared" si="25"/>
        <v>1.7496584049212611</v>
      </c>
      <c r="F31" s="45">
        <f t="shared" si="25"/>
        <v>1.4939104209238241</v>
      </c>
      <c r="G31" s="45">
        <f t="shared" si="25"/>
        <v>1.3303587497387594</v>
      </c>
      <c r="H31" s="45">
        <f t="shared" si="25"/>
        <v>1.2255074268074588</v>
      </c>
      <c r="I31" s="45">
        <f t="shared" si="25"/>
        <v>1.1346461768085765</v>
      </c>
      <c r="J31" s="45">
        <f t="shared" si="25"/>
        <v>1.0722381894775523</v>
      </c>
      <c r="K31" s="45">
        <f t="shared" si="25"/>
        <v>1.0431526264585904</v>
      </c>
      <c r="L31" s="45">
        <f t="shared" si="25"/>
        <v>1.0222944828207281</v>
      </c>
      <c r="M31" s="45">
        <f t="shared" si="25"/>
        <v>1.0118885114413441</v>
      </c>
      <c r="N31" s="45">
        <f t="shared" si="25"/>
        <v>1.0052919314503472</v>
      </c>
      <c r="O31" s="45">
        <f t="shared" si="25"/>
        <v>1.002571545372313</v>
      </c>
      <c r="P31" s="45">
        <f t="shared" si="25"/>
        <v>1.0012915971609799</v>
      </c>
      <c r="Q31" s="45">
        <f t="shared" si="25"/>
        <v>1.0006225497037595</v>
      </c>
      <c r="R31" s="45">
        <f t="shared" si="25"/>
        <v>1.0002571427400277</v>
      </c>
      <c r="S31" s="45">
        <f>+S30*T31</f>
        <v>1.0001171005107798</v>
      </c>
      <c r="T31" s="45">
        <f>+T30*U31</f>
        <v>1.0000481712484708</v>
      </c>
      <c r="U31" s="45">
        <f t="shared" si="25"/>
        <v>1.0000155535182764</v>
      </c>
      <c r="V31" s="45">
        <f t="shared" si="25"/>
        <v>1.000005846936457</v>
      </c>
      <c r="W31" s="45">
        <f t="shared" si="25"/>
        <v>1.0000028220295276</v>
      </c>
      <c r="X31" s="45">
        <f t="shared" si="25"/>
        <v>1.0000016718852993</v>
      </c>
      <c r="Y31" s="45">
        <f>+Y30*Z31</f>
        <v>1.0000010865602078</v>
      </c>
      <c r="Z31" s="45">
        <v>1</v>
      </c>
      <c r="AA31" s="32"/>
      <c r="AB31" s="28"/>
      <c r="AC31" s="27"/>
    </row>
    <row r="32" spans="1:29" ht="15" customHeight="1" x14ac:dyDescent="0.25">
      <c r="A32" s="53" t="s">
        <v>96</v>
      </c>
      <c r="B32" s="53"/>
      <c r="C32" s="43">
        <f>1/C31</f>
        <v>0.27397302112590283</v>
      </c>
      <c r="D32" s="43">
        <f t="shared" ref="D32:Y32" si="26">1/D31</f>
        <v>0.45810329526685112</v>
      </c>
      <c r="E32" s="43">
        <f t="shared" si="26"/>
        <v>0.57154013445556107</v>
      </c>
      <c r="F32" s="43">
        <f t="shared" si="26"/>
        <v>0.66938417859191768</v>
      </c>
      <c r="G32" s="43">
        <f t="shared" si="26"/>
        <v>0.75167694443049182</v>
      </c>
      <c r="H32" s="43">
        <f t="shared" si="26"/>
        <v>0.81598852697700652</v>
      </c>
      <c r="I32" s="43">
        <f t="shared" si="26"/>
        <v>0.88133201383774429</v>
      </c>
      <c r="J32" s="43">
        <f t="shared" si="26"/>
        <v>0.93262859858335179</v>
      </c>
      <c r="K32" s="43">
        <f t="shared" si="26"/>
        <v>0.95863249023770403</v>
      </c>
      <c r="L32" s="43">
        <f t="shared" si="26"/>
        <v>0.97819172147030187</v>
      </c>
      <c r="M32" s="43">
        <f t="shared" si="26"/>
        <v>0.98825116472128938</v>
      </c>
      <c r="N32" s="43">
        <f t="shared" si="26"/>
        <v>0.99473592567015579</v>
      </c>
      <c r="O32" s="43">
        <f t="shared" si="26"/>
        <v>0.99743505051167392</v>
      </c>
      <c r="P32" s="43">
        <f t="shared" si="26"/>
        <v>0.9987100689103533</v>
      </c>
      <c r="Q32" s="43">
        <f t="shared" si="26"/>
        <v>0.99937783762324384</v>
      </c>
      <c r="R32" s="43">
        <f t="shared" si="26"/>
        <v>0.99974292336536252</v>
      </c>
      <c r="S32" s="43">
        <f t="shared" si="26"/>
        <v>0.99988291320014422</v>
      </c>
      <c r="T32" s="43">
        <f t="shared" si="26"/>
        <v>0.99995183107188657</v>
      </c>
      <c r="U32" s="43">
        <f t="shared" si="26"/>
        <v>0.99998444672363174</v>
      </c>
      <c r="V32" s="43">
        <f t="shared" si="26"/>
        <v>0.99999415309772943</v>
      </c>
      <c r="W32" s="43">
        <f t="shared" si="26"/>
        <v>0.99999717797843624</v>
      </c>
      <c r="X32" s="43">
        <f t="shared" si="26"/>
        <v>0.99999832811749589</v>
      </c>
      <c r="Y32" s="43">
        <f t="shared" si="26"/>
        <v>0.9999989134409728</v>
      </c>
      <c r="Z32" s="43">
        <v>1</v>
      </c>
      <c r="AA32" s="32"/>
      <c r="AB32" s="28"/>
      <c r="AC32" s="27"/>
    </row>
    <row r="33" spans="1:29" ht="19.5" customHeight="1" x14ac:dyDescent="0.25">
      <c r="A33" s="54" t="s">
        <v>94</v>
      </c>
      <c r="B33" s="55"/>
      <c r="C33" s="55"/>
      <c r="D33" s="55"/>
      <c r="E33" s="55"/>
      <c r="F33" s="55"/>
      <c r="G33" s="55"/>
      <c r="H33" s="55"/>
      <c r="I33" s="55"/>
      <c r="J33" s="55"/>
      <c r="K33" s="55"/>
      <c r="L33" s="55"/>
      <c r="M33" s="55"/>
      <c r="N33" s="55"/>
      <c r="O33" s="55"/>
      <c r="P33" s="55"/>
      <c r="Q33" s="55"/>
      <c r="R33" s="55"/>
      <c r="S33" s="55"/>
      <c r="T33" s="55"/>
      <c r="U33" s="55"/>
      <c r="V33" s="55"/>
      <c r="W33" s="55"/>
      <c r="X33" s="55"/>
      <c r="Y33" s="55"/>
      <c r="Z33" s="56"/>
      <c r="AA33" s="34">
        <f>+SUM(AA4:AA27)</f>
        <v>480518240.29600841</v>
      </c>
      <c r="AB33" s="34">
        <f>+SUM(AB4:AB27)</f>
        <v>414213831</v>
      </c>
      <c r="AC33" s="34">
        <f>SUM(AC4:AC28)</f>
        <v>66304409.296008408</v>
      </c>
    </row>
  </sheetData>
  <mergeCells count="5">
    <mergeCell ref="A1:AC1"/>
    <mergeCell ref="A2:AC2"/>
    <mergeCell ref="A31:B31"/>
    <mergeCell ref="A32:B32"/>
    <mergeCell ref="A33:Z33"/>
  </mergeCells>
  <phoneticPr fontId="18"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A57D4-4194-4870-8C3C-0DDF67A9A29F}">
  <dimension ref="A1:Y27"/>
  <sheetViews>
    <sheetView showGridLines="0" zoomScale="85" zoomScaleNormal="85" workbookViewId="0">
      <pane xSplit="2" ySplit="3" topLeftCell="L4" activePane="bottomRight" state="frozen"/>
      <selection pane="topRight" activeCell="C1" sqref="C1"/>
      <selection pane="bottomLeft" activeCell="A4" sqref="A4"/>
      <selection pane="bottomRight" activeCell="O26" sqref="O26"/>
    </sheetView>
  </sheetViews>
  <sheetFormatPr baseColWidth="10" defaultColWidth="8.7109375" defaultRowHeight="15" x14ac:dyDescent="0.25"/>
  <cols>
    <col min="1" max="2" width="10" style="17" customWidth="1"/>
    <col min="3" max="5" width="14.42578125" style="17" bestFit="1" customWidth="1"/>
    <col min="6" max="6" width="13.28515625" style="17" bestFit="1" customWidth="1"/>
    <col min="7" max="21" width="14.42578125" style="17" bestFit="1" customWidth="1"/>
    <col min="22" max="22" width="12.28515625" style="17" bestFit="1" customWidth="1"/>
    <col min="23" max="23" width="12.7109375" style="17" bestFit="1" customWidth="1"/>
    <col min="24" max="25" width="12" style="17" customWidth="1"/>
    <col min="26" max="16384" width="8.7109375" style="17"/>
  </cols>
  <sheetData>
    <row r="1" spans="1:25" ht="25.5" customHeight="1" x14ac:dyDescent="0.25">
      <c r="A1" s="51" t="s">
        <v>38</v>
      </c>
      <c r="B1" s="51"/>
      <c r="C1" s="51"/>
      <c r="D1" s="51"/>
      <c r="E1" s="51"/>
      <c r="F1" s="51"/>
      <c r="G1" s="51"/>
      <c r="H1" s="51"/>
      <c r="I1" s="51"/>
      <c r="J1" s="51"/>
      <c r="K1" s="51"/>
      <c r="L1" s="51"/>
      <c r="M1" s="51"/>
      <c r="N1" s="51"/>
      <c r="O1" s="51"/>
      <c r="P1" s="51"/>
      <c r="Q1" s="51"/>
      <c r="R1" s="51"/>
      <c r="S1" s="51"/>
      <c r="T1" s="51"/>
      <c r="U1" s="51"/>
      <c r="V1" s="51"/>
      <c r="W1" s="51"/>
      <c r="X1" s="51"/>
      <c r="Y1" s="51"/>
    </row>
    <row r="2" spans="1:25" ht="15.75" customHeight="1" x14ac:dyDescent="0.25">
      <c r="A2" s="52" t="s">
        <v>39</v>
      </c>
      <c r="B2" s="52"/>
      <c r="C2" s="52"/>
      <c r="D2" s="52"/>
      <c r="E2" s="52"/>
      <c r="F2" s="52"/>
      <c r="G2" s="52"/>
      <c r="H2" s="52"/>
      <c r="I2" s="52"/>
      <c r="J2" s="52"/>
      <c r="K2" s="52"/>
      <c r="L2" s="52"/>
      <c r="M2" s="52"/>
      <c r="N2" s="52"/>
      <c r="O2" s="52"/>
      <c r="P2" s="52"/>
      <c r="Q2" s="52"/>
      <c r="R2" s="52"/>
      <c r="S2" s="52"/>
      <c r="T2" s="52"/>
      <c r="U2" s="52"/>
      <c r="V2" s="52"/>
      <c r="W2" s="52"/>
      <c r="X2" s="52"/>
      <c r="Y2" s="52"/>
    </row>
    <row r="3" spans="1:25" ht="31.5" customHeight="1" x14ac:dyDescent="0.25">
      <c r="A3" s="18" t="s">
        <v>40</v>
      </c>
      <c r="B3" s="18" t="s">
        <v>41</v>
      </c>
      <c r="C3" s="19" t="s">
        <v>42</v>
      </c>
      <c r="D3" s="19" t="s">
        <v>43</v>
      </c>
      <c r="E3" s="19" t="s">
        <v>44</v>
      </c>
      <c r="F3" s="19" t="s">
        <v>45</v>
      </c>
      <c r="G3" s="19" t="s">
        <v>46</v>
      </c>
      <c r="H3" s="19" t="s">
        <v>47</v>
      </c>
      <c r="I3" s="19" t="s">
        <v>48</v>
      </c>
      <c r="J3" s="19" t="s">
        <v>49</v>
      </c>
      <c r="K3" s="19" t="s">
        <v>50</v>
      </c>
      <c r="L3" s="19" t="s">
        <v>51</v>
      </c>
      <c r="M3" s="19" t="s">
        <v>52</v>
      </c>
      <c r="N3" s="19" t="s">
        <v>53</v>
      </c>
      <c r="O3" s="19" t="s">
        <v>54</v>
      </c>
      <c r="P3" s="19" t="s">
        <v>55</v>
      </c>
      <c r="Q3" s="19" t="s">
        <v>56</v>
      </c>
      <c r="R3" s="19" t="s">
        <v>57</v>
      </c>
      <c r="S3" s="19" t="s">
        <v>58</v>
      </c>
      <c r="T3" s="19" t="s">
        <v>59</v>
      </c>
      <c r="U3" s="19" t="s">
        <v>60</v>
      </c>
      <c r="V3" s="19" t="s">
        <v>61</v>
      </c>
      <c r="W3" s="20" t="s">
        <v>66</v>
      </c>
      <c r="X3" s="21" t="s">
        <v>67</v>
      </c>
      <c r="Y3" s="22" t="s">
        <v>68</v>
      </c>
    </row>
    <row r="4" spans="1:25" ht="15" customHeight="1" x14ac:dyDescent="0.25">
      <c r="A4" s="29" t="s">
        <v>98</v>
      </c>
      <c r="B4" s="30" t="s">
        <v>7</v>
      </c>
      <c r="C4" s="31">
        <f>IF(Triangulo1!D16=0,"-",Triangulo1!D16)</f>
        <v>6418198</v>
      </c>
      <c r="D4" s="31">
        <f>IF(Triangulo1!E16=0,"-",Triangulo1!E16)</f>
        <v>8351947</v>
      </c>
      <c r="E4" s="31">
        <f>IF(Triangulo1!F16=0,"-",Triangulo1!F16)</f>
        <v>9393090</v>
      </c>
      <c r="F4" s="31">
        <f>IF(Triangulo1!G16=0,"-",Triangulo1!G16)</f>
        <v>11183194</v>
      </c>
      <c r="G4" s="31">
        <f>IF(Triangulo1!H16=0,"-",Triangulo1!H16)</f>
        <v>12100800</v>
      </c>
      <c r="H4" s="31">
        <f>IF(Triangulo1!I16=0,"-",Triangulo1!I16)</f>
        <v>12721118</v>
      </c>
      <c r="I4" s="31">
        <f>IF(Triangulo1!J16=0,"-",Triangulo1!J16)</f>
        <v>13073728</v>
      </c>
      <c r="J4" s="31">
        <f>IF(Triangulo1!K16=0,"-",Triangulo1!K16)</f>
        <v>13548698</v>
      </c>
      <c r="K4" s="31">
        <f>IF(Triangulo1!L16=0,"-",Triangulo1!L16)</f>
        <v>13729852</v>
      </c>
      <c r="L4" s="31">
        <f>IF(Triangulo1!M16=0,"-",Triangulo1!M16)</f>
        <v>14178002</v>
      </c>
      <c r="M4" s="31">
        <f>IF(Triangulo1!N16=0,"-",Triangulo1!N16)</f>
        <v>14403018</v>
      </c>
      <c r="N4" s="31">
        <f>IF(Triangulo1!O16=0,"-",Triangulo1!O16)</f>
        <v>14589694</v>
      </c>
      <c r="O4" s="31">
        <f>IF(Triangulo1!P16=0,"-",Triangulo1!P16)</f>
        <v>14666170</v>
      </c>
      <c r="P4" s="31">
        <f>IF(Triangulo1!Q16=0,"-",Triangulo1!Q16)</f>
        <v>14699145</v>
      </c>
      <c r="Q4" s="31">
        <f>IF(Triangulo1!R16=0,"-",Triangulo1!R16)</f>
        <v>14709918</v>
      </c>
      <c r="R4" s="31">
        <f>IF(Triangulo1!S16=0,"-",Triangulo1!S16)</f>
        <v>14721902</v>
      </c>
      <c r="S4" s="31">
        <f>IF(Triangulo1!T16=0,"-",Triangulo1!T16)</f>
        <v>14723975</v>
      </c>
      <c r="T4" s="31">
        <f>IF(Triangulo1!U16=0,"-",Triangulo1!U16)</f>
        <v>14724778</v>
      </c>
      <c r="U4" s="31">
        <f>IF(Triangulo1!V16=0,"-",Triangulo1!V16)</f>
        <v>14725216</v>
      </c>
      <c r="V4" s="26">
        <f>IF(Triangulo1!W16=0,"-",Triangulo1!W16)</f>
        <v>14725343</v>
      </c>
      <c r="W4" s="32">
        <f>V4</f>
        <v>14725343</v>
      </c>
      <c r="X4" s="28">
        <f>V4</f>
        <v>14725343</v>
      </c>
      <c r="Y4" s="27">
        <f>W4-X4</f>
        <v>0</v>
      </c>
    </row>
    <row r="5" spans="1:25" ht="15" customHeight="1" x14ac:dyDescent="0.25">
      <c r="A5" s="23" t="s">
        <v>69</v>
      </c>
      <c r="B5" s="24" t="s">
        <v>8</v>
      </c>
      <c r="C5" s="25">
        <f>IF(Triangulo1!D17=0,"-",Triangulo1!D17)</f>
        <v>7475822</v>
      </c>
      <c r="D5" s="25">
        <f>IF(Triangulo1!E17=0,"-",Triangulo1!E17)</f>
        <v>10450029</v>
      </c>
      <c r="E5" s="25">
        <f>IF(Triangulo1!F17=0,"-",Triangulo1!F17)</f>
        <v>12515657</v>
      </c>
      <c r="F5" s="25">
        <f>IF(Triangulo1!G17=0,"-",Triangulo1!G17)</f>
        <v>13149304</v>
      </c>
      <c r="G5" s="25">
        <f>IF(Triangulo1!H17=0,"-",Triangulo1!H17)</f>
        <v>14417681</v>
      </c>
      <c r="H5" s="25">
        <f>IF(Triangulo1!I17=0,"-",Triangulo1!I17)</f>
        <v>15145227</v>
      </c>
      <c r="I5" s="25">
        <f>IF(Triangulo1!J17=0,"-",Triangulo1!J17)</f>
        <v>15971980</v>
      </c>
      <c r="J5" s="25">
        <f>IF(Triangulo1!K17=0,"-",Triangulo1!K17)</f>
        <v>16442175</v>
      </c>
      <c r="K5" s="25">
        <f>IF(Triangulo1!L17=0,"-",Triangulo1!L17)</f>
        <v>16761977</v>
      </c>
      <c r="L5" s="25">
        <f>IF(Triangulo1!M17=0,"-",Triangulo1!M17)</f>
        <v>17230340</v>
      </c>
      <c r="M5" s="25">
        <f>IF(Triangulo1!N17=0,"-",Triangulo1!N17)</f>
        <v>17479823</v>
      </c>
      <c r="N5" s="25">
        <f>IF(Triangulo1!O17=0,"-",Triangulo1!O17)</f>
        <v>17658472</v>
      </c>
      <c r="O5" s="25">
        <f>IF(Triangulo1!P17=0,"-",Triangulo1!P17)</f>
        <v>17691106</v>
      </c>
      <c r="P5" s="25">
        <f>IF(Triangulo1!Q17=0,"-",Triangulo1!Q17)</f>
        <v>17707511</v>
      </c>
      <c r="Q5" s="25">
        <f>IF(Triangulo1!R17=0,"-",Triangulo1!R17)</f>
        <v>17727251</v>
      </c>
      <c r="R5" s="25">
        <f>IF(Triangulo1!S17=0,"-",Triangulo1!S17)</f>
        <v>17731572</v>
      </c>
      <c r="S5" s="25">
        <f>IF(Triangulo1!T17=0,"-",Triangulo1!T17)</f>
        <v>17733454</v>
      </c>
      <c r="T5" s="25">
        <f>IF(Triangulo1!U17=0,"-",Triangulo1!U17)</f>
        <v>17734435</v>
      </c>
      <c r="U5" s="26">
        <f>IF(Triangulo1!V17=0,"-",Triangulo1!V17)</f>
        <v>17734974</v>
      </c>
      <c r="V5" s="25">
        <f>U5*U$26</f>
        <v>17735126.958143231</v>
      </c>
      <c r="W5" s="32">
        <f t="shared" ref="W5:W23" si="0">V5</f>
        <v>17735126.958143231</v>
      </c>
      <c r="X5" s="28">
        <f>U5</f>
        <v>17734974</v>
      </c>
      <c r="Y5" s="27">
        <f>W5-X5</f>
        <v>152.95814323052764</v>
      </c>
    </row>
    <row r="6" spans="1:25" ht="15" customHeight="1" x14ac:dyDescent="0.25">
      <c r="A6" s="29" t="s">
        <v>70</v>
      </c>
      <c r="B6" s="30" t="s">
        <v>10</v>
      </c>
      <c r="C6" s="31">
        <f>IF(Triangulo1!D18=0,"-",Triangulo1!D18)</f>
        <v>4944676</v>
      </c>
      <c r="D6" s="31">
        <f>IF(Triangulo1!E18=0,"-",Triangulo1!E18)</f>
        <v>5651989</v>
      </c>
      <c r="E6" s="31">
        <f>IF(Triangulo1!F18=0,"-",Triangulo1!F18)</f>
        <v>6603749</v>
      </c>
      <c r="F6" s="31">
        <f>IF(Triangulo1!G18=0,"-",Triangulo1!G18)</f>
        <v>7627857</v>
      </c>
      <c r="G6" s="31">
        <f>IF(Triangulo1!H18=0,"-",Triangulo1!H18)</f>
        <v>8503366</v>
      </c>
      <c r="H6" s="31">
        <f>IF(Triangulo1!I18=0,"-",Triangulo1!I18)</f>
        <v>9687265</v>
      </c>
      <c r="I6" s="31">
        <f>IF(Triangulo1!J18=0,"-",Triangulo1!J18)</f>
        <v>10329156</v>
      </c>
      <c r="J6" s="31">
        <f>IF(Triangulo1!K18=0,"-",Triangulo1!K18)</f>
        <v>10705380</v>
      </c>
      <c r="K6" s="31">
        <f>IF(Triangulo1!L18=0,"-",Triangulo1!L18)</f>
        <v>11007279</v>
      </c>
      <c r="L6" s="31">
        <f>IF(Triangulo1!M18=0,"-",Triangulo1!M18)</f>
        <v>11432174</v>
      </c>
      <c r="M6" s="31">
        <f>IF(Triangulo1!N18=0,"-",Triangulo1!N18)</f>
        <v>11644639</v>
      </c>
      <c r="N6" s="31">
        <f>IF(Triangulo1!O18=0,"-",Triangulo1!O18)</f>
        <v>11802250</v>
      </c>
      <c r="O6" s="31">
        <f>IF(Triangulo1!P18=0,"-",Triangulo1!P18)</f>
        <v>11840837</v>
      </c>
      <c r="P6" s="31">
        <f>IF(Triangulo1!Q18=0,"-",Triangulo1!Q18)</f>
        <v>11864201</v>
      </c>
      <c r="Q6" s="31">
        <f>IF(Triangulo1!R18=0,"-",Triangulo1!R18)</f>
        <v>11873586</v>
      </c>
      <c r="R6" s="31">
        <f>IF(Triangulo1!S18=0,"-",Triangulo1!S18)</f>
        <v>11878223</v>
      </c>
      <c r="S6" s="31">
        <f>IF(Triangulo1!T18=0,"-",Triangulo1!T18)</f>
        <v>11880065</v>
      </c>
      <c r="T6" s="26">
        <f>IF(Triangulo1!U18=0,"-",Triangulo1!U18)</f>
        <v>11880905</v>
      </c>
      <c r="U6" s="25">
        <f t="shared" ref="E6:V23" si="1">T6*T$26</f>
        <v>11881262.607073992</v>
      </c>
      <c r="V6" s="25">
        <f>U6*U$26</f>
        <v>11881365.078939335</v>
      </c>
      <c r="W6" s="32">
        <f t="shared" si="0"/>
        <v>11881365.078939335</v>
      </c>
      <c r="X6" s="28">
        <f>T6</f>
        <v>11880905</v>
      </c>
      <c r="Y6" s="27">
        <f>W6-X6</f>
        <v>460.07893933542073</v>
      </c>
    </row>
    <row r="7" spans="1:25" ht="15" customHeight="1" x14ac:dyDescent="0.25">
      <c r="A7" s="23" t="s">
        <v>71</v>
      </c>
      <c r="B7" s="24" t="s">
        <v>11</v>
      </c>
      <c r="C7" s="25">
        <f>IF(Triangulo1!D19=0,"-",Triangulo1!D19)</f>
        <v>5990844</v>
      </c>
      <c r="D7" s="25">
        <f>IF(Triangulo1!E19=0,"-",Triangulo1!E19)</f>
        <v>12990844</v>
      </c>
      <c r="E7" s="25">
        <f>IF(Triangulo1!F19=0,"-",Triangulo1!F19)</f>
        <v>14795084</v>
      </c>
      <c r="F7" s="25">
        <f>IF(Triangulo1!G19=0,"-",Triangulo1!G19)</f>
        <v>15558421</v>
      </c>
      <c r="G7" s="25">
        <f>IF(Triangulo1!H19=0,"-",Triangulo1!H19)</f>
        <v>16698078</v>
      </c>
      <c r="H7" s="25">
        <f>IF(Triangulo1!I19=0,"-",Triangulo1!I19)</f>
        <v>17591115</v>
      </c>
      <c r="I7" s="25">
        <f>IF(Triangulo1!J19=0,"-",Triangulo1!J19)</f>
        <v>17858613</v>
      </c>
      <c r="J7" s="25">
        <f>IF(Triangulo1!K19=0,"-",Triangulo1!K19)</f>
        <v>18161498</v>
      </c>
      <c r="K7" s="25">
        <f>IF(Triangulo1!L19=0,"-",Triangulo1!L19)</f>
        <v>18751439</v>
      </c>
      <c r="L7" s="25">
        <f>IF(Triangulo1!M19=0,"-",Triangulo1!M19)</f>
        <v>18855100</v>
      </c>
      <c r="M7" s="25">
        <f>IF(Triangulo1!N19=0,"-",Triangulo1!N19)</f>
        <v>19152179</v>
      </c>
      <c r="N7" s="25">
        <f>IF(Triangulo1!O19=0,"-",Triangulo1!O19)</f>
        <v>19349458</v>
      </c>
      <c r="O7" s="25">
        <f>IF(Triangulo1!P19=0,"-",Triangulo1!P19)</f>
        <v>19426010</v>
      </c>
      <c r="P7" s="25">
        <f>IF(Triangulo1!Q19=0,"-",Triangulo1!Q19)</f>
        <v>19444545</v>
      </c>
      <c r="Q7" s="25">
        <f>IF(Triangulo1!R19=0,"-",Triangulo1!R19)</f>
        <v>19453256</v>
      </c>
      <c r="R7" s="25">
        <f>IF(Triangulo1!S19=0,"-",Triangulo1!S19)</f>
        <v>19457999</v>
      </c>
      <c r="S7" s="26">
        <f>IF(Triangulo1!T19=0,"-",Triangulo1!T19)</f>
        <v>19459976</v>
      </c>
      <c r="T7" s="25">
        <f t="shared" si="1"/>
        <v>19461127.688388702</v>
      </c>
      <c r="U7" s="25">
        <f t="shared" si="1"/>
        <v>19461713.454955243</v>
      </c>
      <c r="V7" s="25">
        <f t="shared" si="1"/>
        <v>19461881.305641357</v>
      </c>
      <c r="W7" s="32">
        <f t="shared" si="0"/>
        <v>19461881.305641357</v>
      </c>
      <c r="X7" s="28">
        <f>S7</f>
        <v>19459976</v>
      </c>
      <c r="Y7" s="27">
        <f>W7-X7</f>
        <v>1905.3056413568556</v>
      </c>
    </row>
    <row r="8" spans="1:25" ht="15" customHeight="1" x14ac:dyDescent="0.25">
      <c r="A8" s="29" t="s">
        <v>72</v>
      </c>
      <c r="B8" s="30" t="s">
        <v>12</v>
      </c>
      <c r="C8" s="31">
        <f>IF(Triangulo1!D20=0,"-",Triangulo1!D20)</f>
        <v>6106533</v>
      </c>
      <c r="D8" s="31">
        <f>IF(Triangulo1!E20=0,"-",Triangulo1!E20)</f>
        <v>7227067</v>
      </c>
      <c r="E8" s="31">
        <f>IF(Triangulo1!F20=0,"-",Triangulo1!F20)</f>
        <v>8316481</v>
      </c>
      <c r="F8" s="31">
        <f>IF(Triangulo1!G20=0,"-",Triangulo1!G20)</f>
        <v>8778769</v>
      </c>
      <c r="G8" s="31">
        <f>IF(Triangulo1!H20=0,"-",Triangulo1!H20)</f>
        <v>9616196</v>
      </c>
      <c r="H8" s="31">
        <f>IF(Triangulo1!I20=0,"-",Triangulo1!I20)</f>
        <v>9944940</v>
      </c>
      <c r="I8" s="31">
        <f>IF(Triangulo1!J20=0,"-",Triangulo1!J20)</f>
        <v>10596973</v>
      </c>
      <c r="J8" s="31">
        <f>IF(Triangulo1!K20=0,"-",Triangulo1!K20)</f>
        <v>10938865</v>
      </c>
      <c r="K8" s="31">
        <f>IF(Triangulo1!L20=0,"-",Triangulo1!L20)</f>
        <v>11091033</v>
      </c>
      <c r="L8" s="31">
        <f>IF(Triangulo1!M20=0,"-",Triangulo1!M20)</f>
        <v>11574757</v>
      </c>
      <c r="M8" s="31">
        <f>IF(Triangulo1!N20=0,"-",Triangulo1!N20)</f>
        <v>11660948</v>
      </c>
      <c r="N8" s="31">
        <f>IF(Triangulo1!O20=0,"-",Triangulo1!O20)</f>
        <v>11754449</v>
      </c>
      <c r="O8" s="31">
        <f>IF(Triangulo1!P20=0,"-",Triangulo1!P20)</f>
        <v>11785976</v>
      </c>
      <c r="P8" s="31">
        <f>IF(Triangulo1!Q20=0,"-",Triangulo1!Q20)</f>
        <v>11801623</v>
      </c>
      <c r="Q8" s="31">
        <f>IF(Triangulo1!R20=0,"-",Triangulo1!R20)</f>
        <v>11808422</v>
      </c>
      <c r="R8" s="26">
        <f>IF(Triangulo1!S20=0,"-",Triangulo1!S20)</f>
        <v>11812430</v>
      </c>
      <c r="S8" s="25">
        <f t="shared" si="1"/>
        <v>11813869.571538638</v>
      </c>
      <c r="T8" s="25">
        <f t="shared" si="1"/>
        <v>11814568.744878378</v>
      </c>
      <c r="U8" s="25">
        <f t="shared" si="1"/>
        <v>11814924.355276687</v>
      </c>
      <c r="V8" s="25">
        <f t="shared" si="1"/>
        <v>11815026.25499708</v>
      </c>
      <c r="W8" s="32">
        <f t="shared" si="0"/>
        <v>11815026.25499708</v>
      </c>
      <c r="X8" s="28">
        <f>R8</f>
        <v>11812430</v>
      </c>
      <c r="Y8" s="27">
        <f>W8-X8</f>
        <v>2596.254997080192</v>
      </c>
    </row>
    <row r="9" spans="1:25" ht="15" customHeight="1" x14ac:dyDescent="0.25">
      <c r="A9" s="23" t="s">
        <v>73</v>
      </c>
      <c r="B9" s="24" t="s">
        <v>13</v>
      </c>
      <c r="C9" s="25">
        <f>IF(Triangulo1!D21=0,"-",Triangulo1!D21)</f>
        <v>3511339</v>
      </c>
      <c r="D9" s="25">
        <f>IF(Triangulo1!E21=0,"-",Triangulo1!E21)</f>
        <v>5097855</v>
      </c>
      <c r="E9" s="25">
        <f>IF(Triangulo1!F21=0,"-",Triangulo1!F21)</f>
        <v>6037374</v>
      </c>
      <c r="F9" s="25">
        <f>IF(Triangulo1!G21=0,"-",Triangulo1!G21)</f>
        <v>6436248</v>
      </c>
      <c r="G9" s="25">
        <f>IF(Triangulo1!H21=0,"-",Triangulo1!H21)</f>
        <v>7366573</v>
      </c>
      <c r="H9" s="25">
        <f>IF(Triangulo1!I21=0,"-",Triangulo1!I21)</f>
        <v>8575992</v>
      </c>
      <c r="I9" s="25">
        <f>IF(Triangulo1!J21=0,"-",Triangulo1!J21)</f>
        <v>9082448</v>
      </c>
      <c r="J9" s="25">
        <f>IF(Triangulo1!K21=0,"-",Triangulo1!K21)</f>
        <v>12082448</v>
      </c>
      <c r="K9" s="25">
        <f>IF(Triangulo1!L21=0,"-",Triangulo1!L21)</f>
        <v>12687409</v>
      </c>
      <c r="L9" s="25">
        <f>IF(Triangulo1!M21=0,"-",Triangulo1!M21)</f>
        <v>12838372</v>
      </c>
      <c r="M9" s="25">
        <f>IF(Triangulo1!N21=0,"-",Triangulo1!N21)</f>
        <v>12930641</v>
      </c>
      <c r="N9" s="25">
        <f>IF(Triangulo1!O21=0,"-",Triangulo1!O21)</f>
        <v>12990612</v>
      </c>
      <c r="O9" s="25">
        <f>IF(Triangulo1!P21=0,"-",Triangulo1!P21)</f>
        <v>13017211</v>
      </c>
      <c r="P9" s="25">
        <f>IF(Triangulo1!Q21=0,"-",Triangulo1!Q21)</f>
        <v>13032985</v>
      </c>
      <c r="Q9" s="26">
        <f>IF(Triangulo1!R21=0,"-",Triangulo1!R21)</f>
        <v>13041104</v>
      </c>
      <c r="R9" s="25">
        <f t="shared" si="1"/>
        <v>13046227.951759923</v>
      </c>
      <c r="S9" s="25">
        <f t="shared" si="1"/>
        <v>13047817.885282995</v>
      </c>
      <c r="T9" s="25">
        <f t="shared" si="1"/>
        <v>13048590.086664762</v>
      </c>
      <c r="U9" s="25">
        <f t="shared" si="1"/>
        <v>13048982.840257239</v>
      </c>
      <c r="V9" s="25">
        <f t="shared" si="1"/>
        <v>13049095.383314041</v>
      </c>
      <c r="W9" s="32">
        <f t="shared" si="0"/>
        <v>13049095.383314041</v>
      </c>
      <c r="X9" s="28">
        <f>Q9</f>
        <v>13041104</v>
      </c>
      <c r="Y9" s="27">
        <f t="shared" ref="Y8:Y23" si="2">W9-X9</f>
        <v>7991.3833140414208</v>
      </c>
    </row>
    <row r="10" spans="1:25" ht="15" customHeight="1" x14ac:dyDescent="0.25">
      <c r="A10" s="29" t="s">
        <v>74</v>
      </c>
      <c r="B10" s="30" t="s">
        <v>14</v>
      </c>
      <c r="C10" s="31">
        <f>IF(Triangulo1!D22=0,"-",Triangulo1!D22)</f>
        <v>4141271</v>
      </c>
      <c r="D10" s="31">
        <f>IF(Triangulo1!E22=0,"-",Triangulo1!E22)</f>
        <v>5675304</v>
      </c>
      <c r="E10" s="31">
        <f>IF(Triangulo1!F22=0,"-",Triangulo1!F22)</f>
        <v>6514051</v>
      </c>
      <c r="F10" s="31">
        <f>IF(Triangulo1!G22=0,"-",Triangulo1!G22)</f>
        <v>7799341</v>
      </c>
      <c r="G10" s="31">
        <f>IF(Triangulo1!H22=0,"-",Triangulo1!H22)</f>
        <v>8118940</v>
      </c>
      <c r="H10" s="31">
        <f>IF(Triangulo1!I22=0,"-",Triangulo1!I22)</f>
        <v>8328067</v>
      </c>
      <c r="I10" s="31">
        <f>IF(Triangulo1!J22=0,"-",Triangulo1!J22)</f>
        <v>9073367</v>
      </c>
      <c r="J10" s="31">
        <f>IF(Triangulo1!K22=0,"-",Triangulo1!K22)</f>
        <v>9580777</v>
      </c>
      <c r="K10" s="31">
        <f>IF(Triangulo1!L22=0,"-",Triangulo1!L22)</f>
        <v>10084545</v>
      </c>
      <c r="L10" s="31">
        <f>IF(Triangulo1!M22=0,"-",Triangulo1!M22)</f>
        <v>10574369</v>
      </c>
      <c r="M10" s="31">
        <f>IF(Triangulo1!N22=0,"-",Triangulo1!N22)</f>
        <v>10704764</v>
      </c>
      <c r="N10" s="31">
        <f>IF(Triangulo1!O22=0,"-",Triangulo1!O22)</f>
        <v>10779530</v>
      </c>
      <c r="O10" s="31">
        <f>IF(Triangulo1!P22=0,"-",Triangulo1!P22)</f>
        <v>10810916</v>
      </c>
      <c r="P10" s="26">
        <f>IF(Triangulo1!Q22=0,"-",Triangulo1!Q22)</f>
        <v>10825407</v>
      </c>
      <c r="Q10" s="25">
        <f t="shared" si="1"/>
        <v>10833173.296474602</v>
      </c>
      <c r="R10" s="25">
        <f t="shared" si="1"/>
        <v>10837429.734992234</v>
      </c>
      <c r="S10" s="25">
        <f t="shared" si="1"/>
        <v>10838750.484016649</v>
      </c>
      <c r="T10" s="25">
        <f t="shared" si="1"/>
        <v>10839391.947453216</v>
      </c>
      <c r="U10" s="25">
        <f t="shared" si="1"/>
        <v>10839718.205700224</v>
      </c>
      <c r="V10" s="25">
        <f t="shared" si="1"/>
        <v>10839811.694597917</v>
      </c>
      <c r="W10" s="32">
        <f t="shared" si="0"/>
        <v>10839811.694597917</v>
      </c>
      <c r="X10" s="28">
        <f>P10</f>
        <v>10825407</v>
      </c>
      <c r="Y10" s="27">
        <f t="shared" si="2"/>
        <v>14404.694597916678</v>
      </c>
    </row>
    <row r="11" spans="1:25" ht="15" customHeight="1" x14ac:dyDescent="0.25">
      <c r="A11" s="23" t="s">
        <v>75</v>
      </c>
      <c r="B11" s="24" t="s">
        <v>15</v>
      </c>
      <c r="C11" s="25">
        <f>IF(Triangulo1!D23=0,"-",Triangulo1!D23)</f>
        <v>6591656</v>
      </c>
      <c r="D11" s="25">
        <f>IF(Triangulo1!E23=0,"-",Triangulo1!E23)</f>
        <v>9149839</v>
      </c>
      <c r="E11" s="25">
        <f>IF(Triangulo1!F23=0,"-",Triangulo1!F23)</f>
        <v>9876574</v>
      </c>
      <c r="F11" s="25">
        <f>IF(Triangulo1!G23=0,"-",Triangulo1!G23)</f>
        <v>11324778</v>
      </c>
      <c r="G11" s="25">
        <f>IF(Triangulo1!H23=0,"-",Triangulo1!H23)</f>
        <v>11791969</v>
      </c>
      <c r="H11" s="25">
        <f>IF(Triangulo1!I23=0,"-",Triangulo1!I23)</f>
        <v>12446387</v>
      </c>
      <c r="I11" s="25">
        <f>IF(Triangulo1!J23=0,"-",Triangulo1!J23)</f>
        <v>12820241</v>
      </c>
      <c r="J11" s="25">
        <f>IF(Triangulo1!K23=0,"-",Triangulo1!K23)</f>
        <v>13419392</v>
      </c>
      <c r="K11" s="25">
        <f>IF(Triangulo1!L23=0,"-",Triangulo1!L23)</f>
        <v>13586619</v>
      </c>
      <c r="L11" s="25">
        <f>IF(Triangulo1!M23=0,"-",Triangulo1!M23)</f>
        <v>13861205</v>
      </c>
      <c r="M11" s="25">
        <f>IF(Triangulo1!N23=0,"-",Triangulo1!N23)</f>
        <v>13987078</v>
      </c>
      <c r="N11" s="25">
        <f>IF(Triangulo1!O23=0,"-",Triangulo1!O23)</f>
        <v>14043493</v>
      </c>
      <c r="O11" s="26">
        <f>IF(Triangulo1!P23=0,"-",Triangulo1!P23)</f>
        <v>14079323</v>
      </c>
      <c r="P11" s="25">
        <f t="shared" si="1"/>
        <v>14098786.834447153</v>
      </c>
      <c r="Q11" s="25">
        <f t="shared" si="1"/>
        <v>14108901.498818528</v>
      </c>
      <c r="R11" s="25">
        <f t="shared" si="1"/>
        <v>14114444.996567298</v>
      </c>
      <c r="S11" s="25">
        <f t="shared" si="1"/>
        <v>14116165.112860112</v>
      </c>
      <c r="T11" s="25">
        <f t="shared" si="1"/>
        <v>14117000.541611589</v>
      </c>
      <c r="U11" s="25">
        <f t="shared" si="1"/>
        <v>14117425.453624371</v>
      </c>
      <c r="V11" s="25">
        <f t="shared" si="1"/>
        <v>14117547.211636791</v>
      </c>
      <c r="W11" s="32">
        <f t="shared" si="0"/>
        <v>14117547.211636791</v>
      </c>
      <c r="X11" s="28">
        <f>O11</f>
        <v>14079323</v>
      </c>
      <c r="Y11" s="27">
        <f t="shared" si="2"/>
        <v>38224.211636791006</v>
      </c>
    </row>
    <row r="12" spans="1:25" ht="15" customHeight="1" x14ac:dyDescent="0.25">
      <c r="A12" s="29" t="s">
        <v>76</v>
      </c>
      <c r="B12" s="30" t="s">
        <v>16</v>
      </c>
      <c r="C12" s="31">
        <f>IF(Triangulo1!D24=0,"-",Triangulo1!D24)</f>
        <v>6289704</v>
      </c>
      <c r="D12" s="31">
        <f>IF(Triangulo1!E24=0,"-",Triangulo1!E24)</f>
        <v>9074583</v>
      </c>
      <c r="E12" s="31">
        <f>IF(Triangulo1!F24=0,"-",Triangulo1!F24)</f>
        <v>11031640</v>
      </c>
      <c r="F12" s="31">
        <f>IF(Triangulo1!G24=0,"-",Triangulo1!G24)</f>
        <v>12328713</v>
      </c>
      <c r="G12" s="31">
        <f>IF(Triangulo1!H24=0,"-",Triangulo1!H24)</f>
        <v>12743016</v>
      </c>
      <c r="H12" s="31">
        <f>IF(Triangulo1!I24=0,"-",Triangulo1!I24)</f>
        <v>13716063</v>
      </c>
      <c r="I12" s="31">
        <f>IF(Triangulo1!J24=0,"-",Triangulo1!J24)</f>
        <v>13936735</v>
      </c>
      <c r="J12" s="31">
        <f>IF(Triangulo1!K24=0,"-",Triangulo1!K24)</f>
        <v>14684360</v>
      </c>
      <c r="K12" s="31">
        <f>IF(Triangulo1!L24=0,"-",Triangulo1!L24)</f>
        <v>15224487</v>
      </c>
      <c r="L12" s="31">
        <f>IF(Triangulo1!M24=0,"-",Triangulo1!M24)</f>
        <v>15505624</v>
      </c>
      <c r="M12" s="31">
        <f>IF(Triangulo1!N24=0,"-",Triangulo1!N24)</f>
        <v>15616491</v>
      </c>
      <c r="N12" s="26">
        <f>IF(Triangulo1!O24=0,"-",Triangulo1!O24)</f>
        <v>15669883</v>
      </c>
      <c r="O12" s="25">
        <f t="shared" si="1"/>
        <v>15718375.069475604</v>
      </c>
      <c r="P12" s="25">
        <f t="shared" si="1"/>
        <v>15740104.796830431</v>
      </c>
      <c r="Q12" s="25">
        <f t="shared" si="1"/>
        <v>15751396.9653737</v>
      </c>
      <c r="R12" s="25">
        <f t="shared" si="1"/>
        <v>15757585.812437721</v>
      </c>
      <c r="S12" s="25">
        <f t="shared" si="1"/>
        <v>15759506.177007349</v>
      </c>
      <c r="T12" s="25">
        <f t="shared" si="1"/>
        <v>15760438.862652786</v>
      </c>
      <c r="U12" s="25">
        <f t="shared" si="1"/>
        <v>15760913.241029391</v>
      </c>
      <c r="V12" s="25">
        <f t="shared" si="1"/>
        <v>15761049.173567265</v>
      </c>
      <c r="W12" s="32">
        <f t="shared" si="0"/>
        <v>15761049.173567265</v>
      </c>
      <c r="X12" s="28">
        <f>N12</f>
        <v>15669883</v>
      </c>
      <c r="Y12" s="27">
        <f t="shared" si="2"/>
        <v>91166.173567265272</v>
      </c>
    </row>
    <row r="13" spans="1:25" ht="15" customHeight="1" x14ac:dyDescent="0.25">
      <c r="A13" s="23" t="s">
        <v>77</v>
      </c>
      <c r="B13" s="24" t="s">
        <v>17</v>
      </c>
      <c r="C13" s="25">
        <f>IF(Triangulo1!D25=0,"-",Triangulo1!D25)</f>
        <v>4959185</v>
      </c>
      <c r="D13" s="25">
        <f>IF(Triangulo1!E25=0,"-",Triangulo1!E25)</f>
        <v>7332815</v>
      </c>
      <c r="E13" s="25">
        <f>IF(Triangulo1!F25=0,"-",Triangulo1!F25)</f>
        <v>8942057</v>
      </c>
      <c r="F13" s="25">
        <f>IF(Triangulo1!G25=0,"-",Triangulo1!G25)</f>
        <v>10413724</v>
      </c>
      <c r="G13" s="25">
        <f>IF(Triangulo1!H25=0,"-",Triangulo1!H25)</f>
        <v>11109326</v>
      </c>
      <c r="H13" s="25">
        <f>IF(Triangulo1!I25=0,"-",Triangulo1!I25)</f>
        <v>11743877</v>
      </c>
      <c r="I13" s="25">
        <f>IF(Triangulo1!J25=0,"-",Triangulo1!J25)</f>
        <v>12264947</v>
      </c>
      <c r="J13" s="25">
        <f>IF(Triangulo1!K25=0,"-",Triangulo1!K25)</f>
        <v>13331758</v>
      </c>
      <c r="K13" s="25">
        <f>IF(Triangulo1!L25=0,"-",Triangulo1!L25)</f>
        <v>13881470</v>
      </c>
      <c r="L13" s="25">
        <f>IF(Triangulo1!M25=0,"-",Triangulo1!M25)</f>
        <v>14105853</v>
      </c>
      <c r="M13" s="26">
        <f>IF(Triangulo1!N25=0,"-",Triangulo1!N25)</f>
        <v>14231236</v>
      </c>
      <c r="N13" s="25">
        <f t="shared" si="1"/>
        <v>14349282.694395084</v>
      </c>
      <c r="O13" s="25">
        <f t="shared" si="1"/>
        <v>14393688.029989593</v>
      </c>
      <c r="P13" s="25">
        <f t="shared" si="1"/>
        <v>14413586.455567278</v>
      </c>
      <c r="Q13" s="25">
        <f t="shared" si="1"/>
        <v>14423926.961534051</v>
      </c>
      <c r="R13" s="25">
        <f t="shared" si="1"/>
        <v>14429594.235251028</v>
      </c>
      <c r="S13" s="25">
        <f t="shared" si="1"/>
        <v>14431352.758533295</v>
      </c>
      <c r="T13" s="25">
        <f t="shared" si="1"/>
        <v>14432206.840851037</v>
      </c>
      <c r="U13" s="25">
        <f t="shared" si="1"/>
        <v>14432641.240356766</v>
      </c>
      <c r="V13" s="25">
        <f t="shared" si="1"/>
        <v>14432765.716998572</v>
      </c>
      <c r="W13" s="32">
        <f t="shared" si="0"/>
        <v>14432765.716998572</v>
      </c>
      <c r="X13" s="28">
        <f>M13</f>
        <v>14231236</v>
      </c>
      <c r="Y13" s="27">
        <f t="shared" si="2"/>
        <v>201529.71699857153</v>
      </c>
    </row>
    <row r="14" spans="1:25" ht="15" customHeight="1" x14ac:dyDescent="0.25">
      <c r="A14" s="29" t="s">
        <v>78</v>
      </c>
      <c r="B14" s="30" t="s">
        <v>18</v>
      </c>
      <c r="C14" s="31">
        <f>IF(Triangulo1!D26=0,"-",Triangulo1!D26)</f>
        <v>6194048</v>
      </c>
      <c r="D14" s="31">
        <f>IF(Triangulo1!E26=0,"-",Triangulo1!E26)</f>
        <v>7741218</v>
      </c>
      <c r="E14" s="31">
        <f>IF(Triangulo1!F26=0,"-",Triangulo1!F26)</f>
        <v>9386858</v>
      </c>
      <c r="F14" s="31">
        <f>IF(Triangulo1!G26=0,"-",Triangulo1!G26)</f>
        <v>9734366</v>
      </c>
      <c r="G14" s="31">
        <f>IF(Triangulo1!H26=0,"-",Triangulo1!H26)</f>
        <v>10964336</v>
      </c>
      <c r="H14" s="31">
        <f>IF(Triangulo1!I26=0,"-",Triangulo1!I26)</f>
        <v>11346897</v>
      </c>
      <c r="I14" s="31">
        <f>IF(Triangulo1!J26=0,"-",Triangulo1!J26)</f>
        <v>13064544</v>
      </c>
      <c r="J14" s="31">
        <f>IF(Triangulo1!K26=0,"-",Triangulo1!K26)</f>
        <v>14121948</v>
      </c>
      <c r="K14" s="31">
        <f>IF(Triangulo1!L26=0,"-",Triangulo1!L26)</f>
        <v>14605429</v>
      </c>
      <c r="L14" s="26">
        <f>IF(Triangulo1!M26=0,"-",Triangulo1!M26)</f>
        <v>14862271</v>
      </c>
      <c r="M14" s="25">
        <f t="shared" si="1"/>
        <v>15037771.202736467</v>
      </c>
      <c r="N14" s="25">
        <f t="shared" si="1"/>
        <v>15162508.026829092</v>
      </c>
      <c r="O14" s="25">
        <f t="shared" si="1"/>
        <v>15209429.972108543</v>
      </c>
      <c r="P14" s="25">
        <f t="shared" si="1"/>
        <v>15230456.112854989</v>
      </c>
      <c r="Q14" s="25">
        <f t="shared" si="1"/>
        <v>15241382.652394414</v>
      </c>
      <c r="R14" s="25">
        <f t="shared" si="1"/>
        <v>15247371.110845892</v>
      </c>
      <c r="S14" s="25">
        <f t="shared" si="1"/>
        <v>15249229.295951769</v>
      </c>
      <c r="T14" s="25">
        <f t="shared" si="1"/>
        <v>15250131.78217872</v>
      </c>
      <c r="U14" s="25">
        <f t="shared" si="1"/>
        <v>15250590.80066297</v>
      </c>
      <c r="V14" s="25">
        <f>U14*U$26</f>
        <v>15250722.331842663</v>
      </c>
      <c r="W14" s="32">
        <f t="shared" si="0"/>
        <v>15250722.331842663</v>
      </c>
      <c r="X14" s="28">
        <f>L14</f>
        <v>14862271</v>
      </c>
      <c r="Y14" s="27">
        <f t="shared" si="2"/>
        <v>388451.33184266277</v>
      </c>
    </row>
    <row r="15" spans="1:25" ht="15" customHeight="1" x14ac:dyDescent="0.25">
      <c r="A15" s="23" t="s">
        <v>79</v>
      </c>
      <c r="B15" s="24" t="s">
        <v>19</v>
      </c>
      <c r="C15" s="25">
        <f>IF(Triangulo1!D27=0,"-",Triangulo1!D27)</f>
        <v>6500694</v>
      </c>
      <c r="D15" s="25">
        <f>IF(Triangulo1!E27=0,"-",Triangulo1!E27)</f>
        <v>9436157</v>
      </c>
      <c r="E15" s="25">
        <f>IF(Triangulo1!F27=0,"-",Triangulo1!F27)</f>
        <v>11552953</v>
      </c>
      <c r="F15" s="25">
        <f>IF(Triangulo1!G27=0,"-",Triangulo1!G27)</f>
        <v>12130358</v>
      </c>
      <c r="G15" s="25">
        <f>IF(Triangulo1!H27=0,"-",Triangulo1!H27)</f>
        <v>13369514</v>
      </c>
      <c r="H15" s="25">
        <f>IF(Triangulo1!I27=0,"-",Triangulo1!I27)</f>
        <v>15030308</v>
      </c>
      <c r="I15" s="25">
        <f>IF(Triangulo1!J27=0,"-",Triangulo1!J27)</f>
        <v>16697100</v>
      </c>
      <c r="J15" s="25">
        <f>IF(Triangulo1!K27=0,"-",Triangulo1!K27)</f>
        <v>17828453</v>
      </c>
      <c r="K15" s="26">
        <f>IF(Triangulo1!L27=0,"-",Triangulo1!L27)</f>
        <v>18294564</v>
      </c>
      <c r="L15" s="25">
        <f t="shared" si="1"/>
        <v>18730329.052977845</v>
      </c>
      <c r="M15" s="25">
        <f t="shared" si="1"/>
        <v>18951504.978656925</v>
      </c>
      <c r="N15" s="25">
        <f t="shared" si="1"/>
        <v>19108705.837144721</v>
      </c>
      <c r="O15" s="25">
        <f t="shared" si="1"/>
        <v>19167839.698644754</v>
      </c>
      <c r="P15" s="25">
        <f t="shared" si="1"/>
        <v>19194338.107595522</v>
      </c>
      <c r="Q15" s="25">
        <f t="shared" si="1"/>
        <v>19208108.39081696</v>
      </c>
      <c r="R15" s="25">
        <f t="shared" si="1"/>
        <v>19215655.406835999</v>
      </c>
      <c r="S15" s="25">
        <f t="shared" si="1"/>
        <v>19217997.203622941</v>
      </c>
      <c r="T15" s="25">
        <f t="shared" si="1"/>
        <v>19219134.571121931</v>
      </c>
      <c r="U15" s="25">
        <f t="shared" si="1"/>
        <v>19219713.053861979</v>
      </c>
      <c r="V15" s="25">
        <f t="shared" si="1"/>
        <v>19219878.81737661</v>
      </c>
      <c r="W15" s="32">
        <f t="shared" si="0"/>
        <v>19219878.81737661</v>
      </c>
      <c r="X15" s="28">
        <f>K15</f>
        <v>18294564</v>
      </c>
      <c r="Y15" s="27">
        <f t="shared" si="2"/>
        <v>925314.81737660989</v>
      </c>
    </row>
    <row r="16" spans="1:25" ht="15" customHeight="1" x14ac:dyDescent="0.25">
      <c r="A16" s="29" t="s">
        <v>80</v>
      </c>
      <c r="B16" s="30" t="s">
        <v>20</v>
      </c>
      <c r="C16" s="31">
        <f>IF(Triangulo1!D28=0,"-",Triangulo1!D28)</f>
        <v>5205434</v>
      </c>
      <c r="D16" s="31">
        <f>IF(Triangulo1!E28=0,"-",Triangulo1!E28)</f>
        <v>7752400</v>
      </c>
      <c r="E16" s="31">
        <f>IF(Triangulo1!F28=0,"-",Triangulo1!F28)</f>
        <v>9411446</v>
      </c>
      <c r="F16" s="31">
        <f>IF(Triangulo1!G28=0,"-",Triangulo1!G28)</f>
        <v>10805763</v>
      </c>
      <c r="G16" s="31">
        <f>IF(Triangulo1!H28=0,"-",Triangulo1!H28)</f>
        <v>13284336</v>
      </c>
      <c r="H16" s="31">
        <f>IF(Triangulo1!I28=0,"-",Triangulo1!I28)</f>
        <v>15384835</v>
      </c>
      <c r="I16" s="31">
        <f>IF(Triangulo1!J28=0,"-",Triangulo1!J28)</f>
        <v>17438864</v>
      </c>
      <c r="J16" s="26">
        <f>IF(Triangulo1!K28=0,"-",Triangulo1!K28)</f>
        <v>18514044</v>
      </c>
      <c r="K16" s="25">
        <f t="shared" si="1"/>
        <v>19059916.436369751</v>
      </c>
      <c r="L16" s="25">
        <f t="shared" si="1"/>
        <v>19513911.704890389</v>
      </c>
      <c r="M16" s="25">
        <f t="shared" si="1"/>
        <v>19744340.517579231</v>
      </c>
      <c r="N16" s="25">
        <f t="shared" si="1"/>
        <v>19908117.868408855</v>
      </c>
      <c r="O16" s="25">
        <f t="shared" si="1"/>
        <v>19969725.592908356</v>
      </c>
      <c r="P16" s="25">
        <f t="shared" si="1"/>
        <v>19997332.561858173</v>
      </c>
      <c r="Q16" s="25">
        <f t="shared" si="1"/>
        <v>20011678.924390003</v>
      </c>
      <c r="R16" s="25">
        <f t="shared" si="1"/>
        <v>20019541.669556644</v>
      </c>
      <c r="S16" s="25">
        <f t="shared" si="1"/>
        <v>20021981.435329147</v>
      </c>
      <c r="T16" s="25">
        <f t="shared" si="1"/>
        <v>20023166.384557135</v>
      </c>
      <c r="U16" s="25">
        <f t="shared" si="1"/>
        <v>20023769.068102103</v>
      </c>
      <c r="V16" s="25">
        <f t="shared" si="1"/>
        <v>20023941.766327493</v>
      </c>
      <c r="W16" s="32">
        <f t="shared" si="0"/>
        <v>20023941.766327493</v>
      </c>
      <c r="X16" s="28">
        <f>J16</f>
        <v>18514044</v>
      </c>
      <c r="Y16" s="27">
        <f t="shared" si="2"/>
        <v>1509897.7663274929</v>
      </c>
    </row>
    <row r="17" spans="1:25" ht="15" customHeight="1" x14ac:dyDescent="0.25">
      <c r="A17" s="23" t="s">
        <v>81</v>
      </c>
      <c r="B17" s="24" t="s">
        <v>21</v>
      </c>
      <c r="C17" s="25">
        <f>IF(Triangulo1!D29=0,"-",Triangulo1!D29)</f>
        <v>5184519</v>
      </c>
      <c r="D17" s="25">
        <f>IF(Triangulo1!E29=0,"-",Triangulo1!E29)</f>
        <v>7275135</v>
      </c>
      <c r="E17" s="25">
        <f>IF(Triangulo1!F29=0,"-",Triangulo1!F29)</f>
        <v>7974797</v>
      </c>
      <c r="F17" s="25">
        <f>IF(Triangulo1!G29=0,"-",Triangulo1!G29)</f>
        <v>11597296</v>
      </c>
      <c r="G17" s="25">
        <f>IF(Triangulo1!H29=0,"-",Triangulo1!H29)</f>
        <v>14585912</v>
      </c>
      <c r="H17" s="25">
        <f>IF(Triangulo1!I29=0,"-",Triangulo1!I29)</f>
        <v>16285147</v>
      </c>
      <c r="I17" s="26">
        <f>IF(Triangulo1!J29=0,"-",Triangulo1!J29)</f>
        <v>18338971</v>
      </c>
      <c r="J17" s="25">
        <f t="shared" si="1"/>
        <v>19526481.876443196</v>
      </c>
      <c r="K17" s="25">
        <f t="shared" si="1"/>
        <v>20102205.269756068</v>
      </c>
      <c r="L17" s="25">
        <f t="shared" si="1"/>
        <v>20581027.205296416</v>
      </c>
      <c r="M17" s="25">
        <f t="shared" si="1"/>
        <v>20824056.985001974</v>
      </c>
      <c r="N17" s="25">
        <f t="shared" si="1"/>
        <v>20996790.477087576</v>
      </c>
      <c r="O17" s="25">
        <f t="shared" si="1"/>
        <v>21061767.211283974</v>
      </c>
      <c r="P17" s="25">
        <f t="shared" si="1"/>
        <v>21090883.863424487</v>
      </c>
      <c r="Q17" s="25">
        <f t="shared" si="1"/>
        <v>21106014.75476139</v>
      </c>
      <c r="R17" s="25">
        <f t="shared" si="1"/>
        <v>21114307.473034907</v>
      </c>
      <c r="S17" s="25">
        <f t="shared" si="1"/>
        <v>21116880.657053456</v>
      </c>
      <c r="T17" s="25">
        <f t="shared" si="1"/>
        <v>21118130.40506231</v>
      </c>
      <c r="U17" s="25">
        <f t="shared" si="1"/>
        <v>21118766.046271656</v>
      </c>
      <c r="V17" s="25">
        <f t="shared" si="1"/>
        <v>21118948.188475065</v>
      </c>
      <c r="W17" s="32">
        <f t="shared" si="0"/>
        <v>21118948.188475065</v>
      </c>
      <c r="X17" s="28">
        <f>I17</f>
        <v>18338971</v>
      </c>
      <c r="Y17" s="27">
        <f t="shared" si="2"/>
        <v>2779977.1884750649</v>
      </c>
    </row>
    <row r="18" spans="1:25" ht="15" customHeight="1" x14ac:dyDescent="0.25">
      <c r="A18" s="29" t="s">
        <v>82</v>
      </c>
      <c r="B18" s="30" t="s">
        <v>22</v>
      </c>
      <c r="C18" s="31">
        <f>IF(Triangulo1!D30=0,"-",Triangulo1!D30)</f>
        <v>3419011</v>
      </c>
      <c r="D18" s="31">
        <f>IF(Triangulo1!E30=0,"-",Triangulo1!E30)</f>
        <v>4773306</v>
      </c>
      <c r="E18" s="31">
        <f>IF(Triangulo1!F30=0,"-",Triangulo1!F30)</f>
        <v>8697825</v>
      </c>
      <c r="F18" s="31">
        <f>IF(Triangulo1!G30=0,"-",Triangulo1!G30)</f>
        <v>12220494</v>
      </c>
      <c r="G18" s="31">
        <f>IF(Triangulo1!H30=0,"-",Triangulo1!H30)</f>
        <v>14462971</v>
      </c>
      <c r="H18" s="26">
        <f>IF(Triangulo1!I30=0,"-",Triangulo1!I30)</f>
        <v>16656668</v>
      </c>
      <c r="I18" s="25">
        <f t="shared" si="1"/>
        <v>17836125.264240157</v>
      </c>
      <c r="J18" s="25">
        <f t="shared" si="1"/>
        <v>18991075.165458087</v>
      </c>
      <c r="K18" s="25">
        <f t="shared" si="1"/>
        <v>19551012.501128763</v>
      </c>
      <c r="L18" s="25">
        <f t="shared" si="1"/>
        <v>20016705.370241407</v>
      </c>
      <c r="M18" s="25">
        <f t="shared" si="1"/>
        <v>20253071.39065602</v>
      </c>
      <c r="N18" s="25">
        <f t="shared" si="1"/>
        <v>20421068.613737319</v>
      </c>
      <c r="O18" s="25">
        <f t="shared" si="1"/>
        <v>20484263.717235118</v>
      </c>
      <c r="P18" s="25">
        <f t="shared" si="1"/>
        <v>20512582.004823525</v>
      </c>
      <c r="Q18" s="25">
        <f t="shared" si="1"/>
        <v>20527298.014421046</v>
      </c>
      <c r="R18" s="25">
        <f t="shared" si="1"/>
        <v>20535363.350360971</v>
      </c>
      <c r="S18" s="25">
        <f t="shared" si="1"/>
        <v>20537865.978915364</v>
      </c>
      <c r="T18" s="25">
        <f t="shared" si="1"/>
        <v>20539081.459436852</v>
      </c>
      <c r="U18" s="25">
        <f t="shared" si="1"/>
        <v>20539699.671670955</v>
      </c>
      <c r="V18" s="25">
        <f t="shared" si="1"/>
        <v>20539876.819623034</v>
      </c>
      <c r="W18" s="32">
        <f t="shared" si="0"/>
        <v>20539876.819623034</v>
      </c>
      <c r="X18" s="28">
        <f>H18</f>
        <v>16656668</v>
      </c>
      <c r="Y18" s="27">
        <f t="shared" si="2"/>
        <v>3883208.8196230344</v>
      </c>
    </row>
    <row r="19" spans="1:25" ht="15" customHeight="1" x14ac:dyDescent="0.25">
      <c r="A19" s="23" t="s">
        <v>83</v>
      </c>
      <c r="B19" s="24" t="s">
        <v>23</v>
      </c>
      <c r="C19" s="25">
        <f>IF(Triangulo1!D31=0,"-",Triangulo1!D31)</f>
        <v>5498188</v>
      </c>
      <c r="D19" s="25">
        <f>IF(Triangulo1!E31=0,"-",Triangulo1!E31)</f>
        <v>10669557</v>
      </c>
      <c r="E19" s="25">
        <f>IF(Triangulo1!F31=0,"-",Triangulo1!F31)</f>
        <v>14420577</v>
      </c>
      <c r="F19" s="25">
        <f>IF(Triangulo1!G31=0,"-",Triangulo1!G31)</f>
        <v>17838126</v>
      </c>
      <c r="G19" s="26">
        <f>IF(Triangulo1!H31=0,"-",Triangulo1!H31)</f>
        <v>20243242</v>
      </c>
      <c r="H19" s="25">
        <f t="shared" si="1"/>
        <v>21991557.420583855</v>
      </c>
      <c r="I19" s="25">
        <f t="shared" si="1"/>
        <v>23548777.757307991</v>
      </c>
      <c r="J19" s="25">
        <f t="shared" si="1"/>
        <v>25073641.377723057</v>
      </c>
      <c r="K19" s="25">
        <f t="shared" si="1"/>
        <v>25812918.529031496</v>
      </c>
      <c r="L19" s="25">
        <f t="shared" si="1"/>
        <v>26427766.076659098</v>
      </c>
      <c r="M19" s="25">
        <f t="shared" si="1"/>
        <v>26739836.708686035</v>
      </c>
      <c r="N19" s="25">
        <f t="shared" si="1"/>
        <v>26961641.008194856</v>
      </c>
      <c r="O19" s="25">
        <f t="shared" si="1"/>
        <v>27045076.587704014</v>
      </c>
      <c r="P19" s="25">
        <f t="shared" si="1"/>
        <v>27082464.812501017</v>
      </c>
      <c r="Q19" s="25">
        <f t="shared" si="1"/>
        <v>27101894.146751162</v>
      </c>
      <c r="R19" s="25">
        <f t="shared" si="1"/>
        <v>27112542.692933336</v>
      </c>
      <c r="S19" s="25">
        <f t="shared" si="1"/>
        <v>27115846.877152912</v>
      </c>
      <c r="T19" s="25">
        <f t="shared" si="1"/>
        <v>27117451.658474237</v>
      </c>
      <c r="U19" s="25">
        <f t="shared" si="1"/>
        <v>27118267.875129592</v>
      </c>
      <c r="V19" s="25">
        <f t="shared" si="1"/>
        <v>27118501.761004012</v>
      </c>
      <c r="W19" s="32">
        <f t="shared" si="0"/>
        <v>27118501.761004012</v>
      </c>
      <c r="X19" s="28">
        <f>G19</f>
        <v>20243242</v>
      </c>
      <c r="Y19" s="27">
        <f t="shared" si="2"/>
        <v>6875259.7610040121</v>
      </c>
    </row>
    <row r="20" spans="1:25" ht="15" customHeight="1" x14ac:dyDescent="0.25">
      <c r="A20" s="29" t="s">
        <v>84</v>
      </c>
      <c r="B20" s="30" t="s">
        <v>24</v>
      </c>
      <c r="C20" s="31">
        <f>IF(Triangulo1!D32=0,"-",Triangulo1!D32)</f>
        <v>6382667</v>
      </c>
      <c r="D20" s="31">
        <f>IF(Triangulo1!E32=0,"-",Triangulo1!E32)</f>
        <v>10460689</v>
      </c>
      <c r="E20" s="31">
        <f>IF(Triangulo1!F32=0,"-",Triangulo1!F32)</f>
        <v>15242265</v>
      </c>
      <c r="F20" s="26">
        <f>IF(Triangulo1!G32=0,"-",Triangulo1!G32)</f>
        <v>19075882</v>
      </c>
      <c r="G20" s="25">
        <f t="shared" si="1"/>
        <v>21256060.877122454</v>
      </c>
      <c r="H20" s="25">
        <f t="shared" si="1"/>
        <v>23091848.79154557</v>
      </c>
      <c r="I20" s="25">
        <f t="shared" si="1"/>
        <v>24726980.667976301</v>
      </c>
      <c r="J20" s="25">
        <f t="shared" si="1"/>
        <v>26328136.942492604</v>
      </c>
      <c r="K20" s="25">
        <f t="shared" si="1"/>
        <v>27104401.936670803</v>
      </c>
      <c r="L20" s="25">
        <f t="shared" si="1"/>
        <v>27750011.809956998</v>
      </c>
      <c r="M20" s="25">
        <f t="shared" si="1"/>
        <v>28077696.098487791</v>
      </c>
      <c r="N20" s="25">
        <f t="shared" si="1"/>
        <v>28310597.809249684</v>
      </c>
      <c r="O20" s="25">
        <f t="shared" si="1"/>
        <v>28398207.874740411</v>
      </c>
      <c r="P20" s="25">
        <f t="shared" si="1"/>
        <v>28437466.723810766</v>
      </c>
      <c r="Q20" s="25">
        <f t="shared" si="1"/>
        <v>28457868.155143902</v>
      </c>
      <c r="R20" s="25">
        <f t="shared" si="1"/>
        <v>28469049.474119443</v>
      </c>
      <c r="S20" s="25">
        <f t="shared" si="1"/>
        <v>28472518.97475183</v>
      </c>
      <c r="T20" s="25">
        <f t="shared" si="1"/>
        <v>28474204.047205172</v>
      </c>
      <c r="U20" s="25">
        <f t="shared" si="1"/>
        <v>28475061.101174846</v>
      </c>
      <c r="V20" s="25">
        <f>U20*U$26</f>
        <v>28475306.688931242</v>
      </c>
      <c r="W20" s="32">
        <f t="shared" si="0"/>
        <v>28475306.688931242</v>
      </c>
      <c r="X20" s="28">
        <f>F20</f>
        <v>19075882</v>
      </c>
      <c r="Y20" s="27">
        <f t="shared" si="2"/>
        <v>9399424.6889312416</v>
      </c>
    </row>
    <row r="21" spans="1:25" ht="15" customHeight="1" x14ac:dyDescent="0.25">
      <c r="A21" s="23" t="s">
        <v>85</v>
      </c>
      <c r="B21" s="24" t="s">
        <v>25</v>
      </c>
      <c r="C21" s="25">
        <f>IF(Triangulo1!D33=0,"-",Triangulo1!D33)</f>
        <v>3022770</v>
      </c>
      <c r="D21" s="25">
        <f>IF(Triangulo1!E33=0,"-",Triangulo1!E33)</f>
        <v>7899209</v>
      </c>
      <c r="E21" s="26">
        <f>IF(Triangulo1!F33=0,"-",Triangulo1!F33)</f>
        <v>11259161</v>
      </c>
      <c r="F21" s="25">
        <f t="shared" si="1"/>
        <v>13059054.386347048</v>
      </c>
      <c r="G21" s="25">
        <f t="shared" si="1"/>
        <v>14551571.195179645</v>
      </c>
      <c r="H21" s="25">
        <f t="shared" si="1"/>
        <v>15808323.26652555</v>
      </c>
      <c r="I21" s="25">
        <f t="shared" si="1"/>
        <v>16927709.311331164</v>
      </c>
      <c r="J21" s="25">
        <f t="shared" si="1"/>
        <v>18023836.183469985</v>
      </c>
      <c r="K21" s="25">
        <f t="shared" si="1"/>
        <v>18555255.217053358</v>
      </c>
      <c r="L21" s="25">
        <f t="shared" si="1"/>
        <v>18997229.771498967</v>
      </c>
      <c r="M21" s="25">
        <f t="shared" si="1"/>
        <v>19221557.377712671</v>
      </c>
      <c r="N21" s="25">
        <f t="shared" si="1"/>
        <v>19380998.294128112</v>
      </c>
      <c r="O21" s="25">
        <f t="shared" si="1"/>
        <v>19440974.792726438</v>
      </c>
      <c r="P21" s="25">
        <f t="shared" si="1"/>
        <v>19467850.794850752</v>
      </c>
      <c r="Q21" s="25">
        <f t="shared" si="1"/>
        <v>19481817.299851086</v>
      </c>
      <c r="R21" s="25">
        <f t="shared" si="1"/>
        <v>19489471.858241241</v>
      </c>
      <c r="S21" s="25">
        <f t="shared" si="1"/>
        <v>19491847.024823409</v>
      </c>
      <c r="T21" s="25">
        <f t="shared" si="1"/>
        <v>19493000.599416349</v>
      </c>
      <c r="U21" s="25">
        <f t="shared" si="1"/>
        <v>19493587.325335603</v>
      </c>
      <c r="V21" s="25">
        <f t="shared" si="1"/>
        <v>19493755.450923055</v>
      </c>
      <c r="W21" s="32">
        <f t="shared" si="0"/>
        <v>19493755.450923055</v>
      </c>
      <c r="X21" s="28">
        <f>E21</f>
        <v>11259161</v>
      </c>
      <c r="Y21" s="27">
        <f t="shared" si="2"/>
        <v>8234594.4509230554</v>
      </c>
    </row>
    <row r="22" spans="1:25" ht="15" customHeight="1" x14ac:dyDescent="0.25">
      <c r="A22" s="29" t="s">
        <v>86</v>
      </c>
      <c r="B22" s="30" t="s">
        <v>26</v>
      </c>
      <c r="C22" s="31">
        <f>IF(Triangulo1!D34=0,"-",Triangulo1!D34)</f>
        <v>6936281</v>
      </c>
      <c r="D22" s="26">
        <f>IF(Triangulo1!E34=0,"-",Triangulo1!E34)</f>
        <v>21936281</v>
      </c>
      <c r="E22" s="25">
        <f t="shared" si="1"/>
        <v>27153136.214293741</v>
      </c>
      <c r="F22" s="25">
        <f t="shared" si="1"/>
        <v>31493845.996371448</v>
      </c>
      <c r="G22" s="25">
        <f t="shared" si="1"/>
        <v>35093271.585219011</v>
      </c>
      <c r="H22" s="25">
        <f t="shared" si="1"/>
        <v>38124115.551376984</v>
      </c>
      <c r="I22" s="25">
        <f t="shared" si="1"/>
        <v>40823680.976454958</v>
      </c>
      <c r="J22" s="25">
        <f t="shared" si="1"/>
        <v>43467153.457871035</v>
      </c>
      <c r="K22" s="25">
        <f t="shared" si="1"/>
        <v>44748749.254019402</v>
      </c>
      <c r="L22" s="25">
        <f t="shared" si="1"/>
        <v>45814636.426261939</v>
      </c>
      <c r="M22" s="25">
        <f t="shared" si="1"/>
        <v>46355635.711035207</v>
      </c>
      <c r="N22" s="25">
        <f t="shared" si="1"/>
        <v>46740151.122224398</v>
      </c>
      <c r="O22" s="25">
        <f t="shared" si="1"/>
        <v>46884793.341666572</v>
      </c>
      <c r="P22" s="25">
        <f t="shared" si="1"/>
        <v>46949608.805854104</v>
      </c>
      <c r="Q22" s="25">
        <f t="shared" si="1"/>
        <v>46983291.103559203</v>
      </c>
      <c r="R22" s="25">
        <f t="shared" si="1"/>
        <v>47001751.206103981</v>
      </c>
      <c r="S22" s="25">
        <f t="shared" si="1"/>
        <v>47007479.272496961</v>
      </c>
      <c r="T22" s="25">
        <f t="shared" si="1"/>
        <v>47010261.288675204</v>
      </c>
      <c r="U22" s="25">
        <f t="shared" si="1"/>
        <v>47011676.265226826</v>
      </c>
      <c r="V22" s="25">
        <f>U22*U$26</f>
        <v>47012081.725009941</v>
      </c>
      <c r="W22" s="32">
        <f t="shared" si="0"/>
        <v>47012081.725009941</v>
      </c>
      <c r="X22" s="28">
        <f>D22</f>
        <v>21936281</v>
      </c>
      <c r="Y22" s="27">
        <f t="shared" si="2"/>
        <v>25075800.725009941</v>
      </c>
    </row>
    <row r="23" spans="1:25" ht="15" customHeight="1" x14ac:dyDescent="0.25">
      <c r="A23" s="23" t="s">
        <v>87</v>
      </c>
      <c r="B23" s="24" t="s">
        <v>27</v>
      </c>
      <c r="C23" s="26">
        <f>IF(Triangulo1!D35=0,"-",Triangulo1!D35)</f>
        <v>6691248</v>
      </c>
      <c r="D23" s="25">
        <f>C23*C$26</f>
        <v>10789638.645354578</v>
      </c>
      <c r="E23" s="25">
        <f t="shared" si="1"/>
        <v>13355615.194768915</v>
      </c>
      <c r="F23" s="25">
        <f t="shared" si="1"/>
        <v>15490648.47652594</v>
      </c>
      <c r="G23" s="25">
        <f t="shared" si="1"/>
        <v>17261071.705263201</v>
      </c>
      <c r="H23" s="25">
        <f t="shared" si="1"/>
        <v>18751830.835550502</v>
      </c>
      <c r="I23" s="25">
        <f t="shared" si="1"/>
        <v>20079646.404474165</v>
      </c>
      <c r="J23" s="25">
        <f t="shared" si="1"/>
        <v>21379871.946051531</v>
      </c>
      <c r="K23" s="25">
        <f t="shared" si="1"/>
        <v>22010241.12895206</v>
      </c>
      <c r="L23" s="25">
        <f t="shared" si="1"/>
        <v>22534511.283278391</v>
      </c>
      <c r="M23" s="25">
        <f t="shared" si="1"/>
        <v>22800608.65822079</v>
      </c>
      <c r="N23" s="25">
        <f t="shared" si="1"/>
        <v>22989737.450849827</v>
      </c>
      <c r="O23" s="25">
        <f t="shared" si="1"/>
        <v>23060881.565052371</v>
      </c>
      <c r="P23" s="25">
        <f t="shared" si="1"/>
        <v>23092761.874992527</v>
      </c>
      <c r="Q23" s="25">
        <f t="shared" si="1"/>
        <v>23109328.941259746</v>
      </c>
      <c r="R23" s="25">
        <f t="shared" si="1"/>
        <v>23118408.77734565</v>
      </c>
      <c r="S23" s="25">
        <f t="shared" si="1"/>
        <v>23121226.199611388</v>
      </c>
      <c r="T23" s="25">
        <f t="shared" si="1"/>
        <v>23122594.569631301</v>
      </c>
      <c r="U23" s="25">
        <f t="shared" si="1"/>
        <v>23123290.543834206</v>
      </c>
      <c r="V23" s="25">
        <f t="shared" si="1"/>
        <v>23123489.974382397</v>
      </c>
      <c r="W23" s="32">
        <f t="shared" si="0"/>
        <v>23123489.974382397</v>
      </c>
      <c r="X23" s="28">
        <f>C23</f>
        <v>6691248</v>
      </c>
      <c r="Y23" s="27">
        <f>W23-X23</f>
        <v>16432241.974382397</v>
      </c>
    </row>
    <row r="24" spans="1:25" ht="15" customHeight="1" x14ac:dyDescent="0.25">
      <c r="A24" s="33" t="s">
        <v>92</v>
      </c>
      <c r="B24" s="37"/>
      <c r="C24" s="42">
        <f>SUM(D4:D22)</f>
        <v>168946224</v>
      </c>
      <c r="D24" s="42">
        <f>SUM(E4:E21)</f>
        <v>181971639</v>
      </c>
      <c r="E24" s="42">
        <f>SUM(F4:F20)</f>
        <v>198002634</v>
      </c>
      <c r="F24" s="42">
        <f>SUM(G4:G19)</f>
        <v>199376256</v>
      </c>
      <c r="G24" s="42">
        <f>SUM(H4:H18)</f>
        <v>194603906</v>
      </c>
      <c r="H24" s="42">
        <f>SUM(I4:I17)</f>
        <v>190547667</v>
      </c>
      <c r="I24" s="42">
        <f>SUM(J4:J16)</f>
        <v>183359796</v>
      </c>
      <c r="J24" s="42">
        <f>SUM(K4:K15)</f>
        <v>169706103</v>
      </c>
      <c r="K24" s="42">
        <f>SUM(L4:L14)</f>
        <v>155018067</v>
      </c>
      <c r="L24" s="42">
        <f>SUM(M4:M13)</f>
        <v>141810817</v>
      </c>
      <c r="M24" s="42">
        <f>SUM(N4:N12)</f>
        <v>128637841</v>
      </c>
      <c r="N24" s="42">
        <f>SUM(O4:O11)</f>
        <v>113317549</v>
      </c>
      <c r="O24" s="42">
        <f>SUM(P4:P10)</f>
        <v>99375417</v>
      </c>
      <c r="P24" s="42">
        <f>SUM(Q4:Q9)</f>
        <v>88613537</v>
      </c>
      <c r="Q24" s="42">
        <f>SUM(R4:R8)</f>
        <v>75602126</v>
      </c>
      <c r="R24" s="42">
        <f>SUM(S4:S7)</f>
        <v>63797470</v>
      </c>
      <c r="S24" s="42">
        <f>SUM(T4:T6)</f>
        <v>44340118</v>
      </c>
      <c r="T24" s="42">
        <f>SUM(U4:U5)</f>
        <v>32460190</v>
      </c>
      <c r="U24" s="42">
        <f>SUM(V4)</f>
        <v>14725343</v>
      </c>
      <c r="V24" s="42">
        <f>V4</f>
        <v>14725343</v>
      </c>
      <c r="W24" s="32"/>
      <c r="X24" s="28"/>
      <c r="Y24" s="27"/>
    </row>
    <row r="25" spans="1:25" ht="15" customHeight="1" x14ac:dyDescent="0.25">
      <c r="A25" s="35" t="s">
        <v>93</v>
      </c>
      <c r="B25" s="36"/>
      <c r="C25" s="40">
        <f>SUM(C4:C22)</f>
        <v>104772840</v>
      </c>
      <c r="D25" s="40">
        <f>SUM(D4:D21)</f>
        <v>147009943</v>
      </c>
      <c r="E25" s="40">
        <f>SUM(E4:E20)</f>
        <v>170712478</v>
      </c>
      <c r="F25" s="40">
        <f>SUM(F4:F19)</f>
        <v>178926752</v>
      </c>
      <c r="G25" s="40">
        <f>SUM(G4:G18)</f>
        <v>179133014</v>
      </c>
      <c r="H25" s="40">
        <f>SUM(H4:H17)</f>
        <v>177947238</v>
      </c>
      <c r="I25" s="40">
        <f>SUM(I4:I16)</f>
        <v>172208696</v>
      </c>
      <c r="J25" s="40">
        <f>SUM(J4:J15)</f>
        <v>164845752</v>
      </c>
      <c r="K25" s="40">
        <f>SUM(K4:K14)</f>
        <v>151411539</v>
      </c>
      <c r="L25" s="40">
        <f>SUM(L4:L13)</f>
        <v>140155796</v>
      </c>
      <c r="M25" s="40">
        <f>SUM(M4:M12)</f>
        <v>127579581</v>
      </c>
      <c r="N25" s="25">
        <f>SUM(N4:N11)</f>
        <v>112967958</v>
      </c>
      <c r="O25" s="25">
        <f>SUM(O4:O10)</f>
        <v>99238226</v>
      </c>
      <c r="P25" s="40">
        <f>SUM(P4:P9)</f>
        <v>88550010</v>
      </c>
      <c r="Q25" s="40">
        <f>SUM(Q4:Q8)</f>
        <v>75572433</v>
      </c>
      <c r="R25" s="40">
        <f>SUM(R4:R7)</f>
        <v>63789696</v>
      </c>
      <c r="S25" s="40">
        <f>SUM(S4:S6)</f>
        <v>44337494</v>
      </c>
      <c r="T25" s="40">
        <f>SUM(T4:T5)</f>
        <v>32459213</v>
      </c>
      <c r="U25" s="40">
        <f>SUM(U4)</f>
        <v>14725216</v>
      </c>
      <c r="V25" s="40">
        <f>SUM(V4)</f>
        <v>14725343</v>
      </c>
      <c r="W25" s="32"/>
      <c r="X25" s="28"/>
      <c r="Y25" s="27"/>
    </row>
    <row r="26" spans="1:25" ht="15" customHeight="1" x14ac:dyDescent="0.25">
      <c r="A26" s="35" t="s">
        <v>37</v>
      </c>
      <c r="B26" s="36"/>
      <c r="C26" s="41">
        <f>C24/C25</f>
        <v>1.6125001861169364</v>
      </c>
      <c r="D26" s="41">
        <f t="shared" ref="D26:V26" si="3">D24/D25</f>
        <v>1.2378185807472899</v>
      </c>
      <c r="E26" s="41">
        <f>E24/E25</f>
        <v>1.1598603471739188</v>
      </c>
      <c r="F26" s="41">
        <f t="shared" si="3"/>
        <v>1.1142898072614653</v>
      </c>
      <c r="G26" s="41">
        <f t="shared" si="3"/>
        <v>1.0863653865612957</v>
      </c>
      <c r="H26" s="41">
        <f t="shared" si="3"/>
        <v>1.0708099161392997</v>
      </c>
      <c r="I26" s="41">
        <f t="shared" si="3"/>
        <v>1.0647534082715544</v>
      </c>
      <c r="J26" s="41">
        <f t="shared" si="3"/>
        <v>1.0294842356629244</v>
      </c>
      <c r="K26" s="41">
        <f t="shared" si="3"/>
        <v>1.0238193735023062</v>
      </c>
      <c r="L26" s="41">
        <f t="shared" si="3"/>
        <v>1.0118084378044558</v>
      </c>
      <c r="M26" s="41">
        <f t="shared" si="3"/>
        <v>1.0082949010469002</v>
      </c>
      <c r="N26" s="41">
        <f t="shared" si="3"/>
        <v>1.0030946031617214</v>
      </c>
      <c r="O26" s="41">
        <f t="shared" si="3"/>
        <v>1.0013824410766876</v>
      </c>
      <c r="P26" s="41">
        <f t="shared" si="3"/>
        <v>1.0007174138094395</v>
      </c>
      <c r="Q26" s="41">
        <f t="shared" si="3"/>
        <v>1.0003929078212952</v>
      </c>
      <c r="R26" s="41">
        <f t="shared" si="3"/>
        <v>1.0001218692122313</v>
      </c>
      <c r="S26" s="41">
        <f t="shared" si="3"/>
        <v>1.0000591824156773</v>
      </c>
      <c r="T26" s="41">
        <f t="shared" si="3"/>
        <v>1.0000300993126359</v>
      </c>
      <c r="U26" s="41">
        <f>U24/U25</f>
        <v>1.0000086246612614</v>
      </c>
      <c r="V26" s="41">
        <f>V24/V25</f>
        <v>1</v>
      </c>
      <c r="W26" s="32"/>
      <c r="X26" s="28"/>
      <c r="Y26" s="27"/>
    </row>
    <row r="27" spans="1:25" ht="19.5" customHeight="1" x14ac:dyDescent="0.25">
      <c r="A27" s="54" t="s">
        <v>94</v>
      </c>
      <c r="B27" s="55"/>
      <c r="C27" s="55"/>
      <c r="D27" s="55"/>
      <c r="E27" s="55"/>
      <c r="F27" s="55"/>
      <c r="G27" s="55"/>
      <c r="H27" s="55"/>
      <c r="I27" s="55"/>
      <c r="J27" s="55"/>
      <c r="K27" s="55"/>
      <c r="L27" s="55"/>
      <c r="M27" s="55"/>
      <c r="N27" s="55"/>
      <c r="O27" s="55"/>
      <c r="P27" s="55"/>
      <c r="Q27" s="55"/>
      <c r="R27" s="55"/>
      <c r="S27" s="55"/>
      <c r="T27" s="55"/>
      <c r="U27" s="55"/>
      <c r="V27" s="55"/>
      <c r="W27" s="34">
        <f>+SUM(W4:W23)</f>
        <v>385195515.30173111</v>
      </c>
      <c r="X27" s="34">
        <f>+SUM(X4:X23)</f>
        <v>309332913</v>
      </c>
      <c r="Y27" s="34">
        <f>SUM(Y4:Y24)</f>
        <v>75862602.301731095</v>
      </c>
    </row>
  </sheetData>
  <mergeCells count="3">
    <mergeCell ref="A1:Y1"/>
    <mergeCell ref="A2:Y2"/>
    <mergeCell ref="A27:V2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BCC9C-02D9-4AC3-87B4-0857DE25104B}">
  <dimension ref="A1:AC33"/>
  <sheetViews>
    <sheetView showGridLines="0" zoomScale="85" zoomScaleNormal="85" workbookViewId="0">
      <pane xSplit="2" ySplit="3" topLeftCell="F4" activePane="bottomRight" state="frozen"/>
      <selection pane="topRight" activeCell="C1" sqref="C1"/>
      <selection pane="bottomLeft" activeCell="A4" sqref="A4"/>
      <selection pane="bottomRight" activeCell="Z30" sqref="Z30"/>
    </sheetView>
  </sheetViews>
  <sheetFormatPr baseColWidth="10" defaultColWidth="8.7109375" defaultRowHeight="15" x14ac:dyDescent="0.25"/>
  <cols>
    <col min="1" max="2" width="10" style="17" customWidth="1"/>
    <col min="3" max="26" width="12" style="17" customWidth="1"/>
    <col min="27" max="27" width="12.7109375" style="17" bestFit="1" customWidth="1"/>
    <col min="28" max="29" width="12" style="17" customWidth="1"/>
    <col min="30" max="16384" width="8.7109375" style="17"/>
  </cols>
  <sheetData>
    <row r="1" spans="1:29" ht="25.5" customHeight="1" x14ac:dyDescent="0.25">
      <c r="A1" s="51" t="s">
        <v>38</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row>
    <row r="2" spans="1:29" ht="15.75" customHeight="1" x14ac:dyDescent="0.25">
      <c r="A2" s="52" t="s">
        <v>39</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row>
    <row r="3" spans="1:29" ht="31.5" customHeight="1" x14ac:dyDescent="0.25">
      <c r="A3" s="18" t="s">
        <v>40</v>
      </c>
      <c r="B3" s="18" t="s">
        <v>41</v>
      </c>
      <c r="C3" s="19" t="s">
        <v>42</v>
      </c>
      <c r="D3" s="19" t="s">
        <v>43</v>
      </c>
      <c r="E3" s="19" t="s">
        <v>44</v>
      </c>
      <c r="F3" s="19" t="s">
        <v>45</v>
      </c>
      <c r="G3" s="19" t="s">
        <v>46</v>
      </c>
      <c r="H3" s="19" t="s">
        <v>47</v>
      </c>
      <c r="I3" s="19" t="s">
        <v>48</v>
      </c>
      <c r="J3" s="19" t="s">
        <v>49</v>
      </c>
      <c r="K3" s="19" t="s">
        <v>50</v>
      </c>
      <c r="L3" s="19" t="s">
        <v>51</v>
      </c>
      <c r="M3" s="19" t="s">
        <v>52</v>
      </c>
      <c r="N3" s="19" t="s">
        <v>53</v>
      </c>
      <c r="O3" s="19" t="s">
        <v>54</v>
      </c>
      <c r="P3" s="19" t="s">
        <v>55</v>
      </c>
      <c r="Q3" s="19" t="s">
        <v>56</v>
      </c>
      <c r="R3" s="19" t="s">
        <v>57</v>
      </c>
      <c r="S3" s="19" t="s">
        <v>58</v>
      </c>
      <c r="T3" s="19" t="s">
        <v>59</v>
      </c>
      <c r="U3" s="19" t="s">
        <v>60</v>
      </c>
      <c r="V3" s="19" t="s">
        <v>61</v>
      </c>
      <c r="W3" s="19" t="s">
        <v>62</v>
      </c>
      <c r="X3" s="19" t="s">
        <v>63</v>
      </c>
      <c r="Y3" s="19" t="s">
        <v>64</v>
      </c>
      <c r="Z3" s="19" t="s">
        <v>65</v>
      </c>
      <c r="AA3" s="20" t="s">
        <v>66</v>
      </c>
      <c r="AB3" s="21" t="s">
        <v>67</v>
      </c>
      <c r="AC3" s="22" t="s">
        <v>68</v>
      </c>
    </row>
    <row r="4" spans="1:29" ht="15" customHeight="1" x14ac:dyDescent="0.25">
      <c r="A4" s="29" t="s">
        <v>98</v>
      </c>
      <c r="B4" s="30" t="s">
        <v>7</v>
      </c>
      <c r="C4" s="31">
        <f>IF(Triangulo1!D16=0,"-",Triangulo1!D16)</f>
        <v>6418198</v>
      </c>
      <c r="D4" s="31">
        <f>IF(Triangulo1!E16=0,"-",Triangulo1!E16)</f>
        <v>8351947</v>
      </c>
      <c r="E4" s="31">
        <f>IF(Triangulo1!F16=0,"-",Triangulo1!F16)</f>
        <v>9393090</v>
      </c>
      <c r="F4" s="31">
        <f>IF(Triangulo1!G16=0,"-",Triangulo1!G16)</f>
        <v>11183194</v>
      </c>
      <c r="G4" s="31">
        <f>IF(Triangulo1!H16=0,"-",Triangulo1!H16)</f>
        <v>12100800</v>
      </c>
      <c r="H4" s="31">
        <f>IF(Triangulo1!I16=0,"-",Triangulo1!I16)</f>
        <v>12721118</v>
      </c>
      <c r="I4" s="31">
        <f>IF(Triangulo1!J16=0,"-",Triangulo1!J16)</f>
        <v>13073728</v>
      </c>
      <c r="J4" s="31">
        <f>IF(Triangulo1!K16=0,"-",Triangulo1!K16)</f>
        <v>13548698</v>
      </c>
      <c r="K4" s="31">
        <f>IF(Triangulo1!L16=0,"-",Triangulo1!L16)</f>
        <v>13729852</v>
      </c>
      <c r="L4" s="31">
        <f>IF(Triangulo1!M16=0,"-",Triangulo1!M16)</f>
        <v>14178002</v>
      </c>
      <c r="M4" s="31">
        <f>IF(Triangulo1!N16=0,"-",Triangulo1!N16)</f>
        <v>14403018</v>
      </c>
      <c r="N4" s="31">
        <f>IF(Triangulo1!O16=0,"-",Triangulo1!O16)</f>
        <v>14589694</v>
      </c>
      <c r="O4" s="31">
        <f>IF(Triangulo1!P16=0,"-",Triangulo1!P16)</f>
        <v>14666170</v>
      </c>
      <c r="P4" s="31">
        <f>IF(Triangulo1!Q16=0,"-",Triangulo1!Q16)</f>
        <v>14699145</v>
      </c>
      <c r="Q4" s="31">
        <f>IF(Triangulo1!R16=0,"-",Triangulo1!R16)</f>
        <v>14709918</v>
      </c>
      <c r="R4" s="31">
        <f>IF(Triangulo1!S16=0,"-",Triangulo1!S16)</f>
        <v>14721902</v>
      </c>
      <c r="S4" s="31">
        <f>IF(Triangulo1!T16=0,"-",Triangulo1!T16)</f>
        <v>14723975</v>
      </c>
      <c r="T4" s="31">
        <f>IF(Triangulo1!U16=0,"-",Triangulo1!U16)</f>
        <v>14724778</v>
      </c>
      <c r="U4" s="31">
        <f>IF(Triangulo1!V16=0,"-",Triangulo1!V16)</f>
        <v>14725216</v>
      </c>
      <c r="V4" s="31">
        <f>IF(Triangulo1!W16=0,"-",Triangulo1!W16)</f>
        <v>14725343</v>
      </c>
      <c r="W4" s="31">
        <f>IF(Triangulo1!X16=0,"-",Triangulo1!X16)</f>
        <v>14725356</v>
      </c>
      <c r="X4" s="31">
        <f>IF(Triangulo1!Y16=0,"-",Triangulo1!Y16)</f>
        <v>14725361</v>
      </c>
      <c r="Y4" s="31">
        <f>IF(Triangulo1!Z16=0,"-",Triangulo1!Z16)</f>
        <v>14725369</v>
      </c>
      <c r="Z4" s="26">
        <f>IF(Triangulo1!AA16=0,"-",Triangulo1!AA16)</f>
        <v>14725385</v>
      </c>
      <c r="AA4" s="32">
        <f>+Z4</f>
        <v>14725385</v>
      </c>
      <c r="AB4" s="28">
        <f>+Z4</f>
        <v>14725385</v>
      </c>
      <c r="AC4" s="27">
        <f>AA4-AB4</f>
        <v>0</v>
      </c>
    </row>
    <row r="5" spans="1:29" ht="15" customHeight="1" x14ac:dyDescent="0.25">
      <c r="A5" s="23" t="s">
        <v>69</v>
      </c>
      <c r="B5" s="24" t="s">
        <v>8</v>
      </c>
      <c r="C5" s="25">
        <f>IF(Triangulo1!D17=0,"-",Triangulo1!D17)</f>
        <v>7475822</v>
      </c>
      <c r="D5" s="25">
        <f>IF(Triangulo1!E17=0,"-",Triangulo1!E17)</f>
        <v>10450029</v>
      </c>
      <c r="E5" s="25">
        <f>IF(Triangulo1!F17=0,"-",Triangulo1!F17)</f>
        <v>12515657</v>
      </c>
      <c r="F5" s="25">
        <f>IF(Triangulo1!G17=0,"-",Triangulo1!G17)</f>
        <v>13149304</v>
      </c>
      <c r="G5" s="25">
        <f>IF(Triangulo1!H17=0,"-",Triangulo1!H17)</f>
        <v>14417681</v>
      </c>
      <c r="H5" s="25">
        <f>IF(Triangulo1!I17=0,"-",Triangulo1!I17)</f>
        <v>15145227</v>
      </c>
      <c r="I5" s="25">
        <f>IF(Triangulo1!J17=0,"-",Triangulo1!J17)</f>
        <v>15971980</v>
      </c>
      <c r="J5" s="25">
        <f>IF(Triangulo1!K17=0,"-",Triangulo1!K17)</f>
        <v>16442175</v>
      </c>
      <c r="K5" s="25">
        <f>IF(Triangulo1!L17=0,"-",Triangulo1!L17)</f>
        <v>16761977</v>
      </c>
      <c r="L5" s="25">
        <f>IF(Triangulo1!M17=0,"-",Triangulo1!M17)</f>
        <v>17230340</v>
      </c>
      <c r="M5" s="25">
        <f>IF(Triangulo1!N17=0,"-",Triangulo1!N17)</f>
        <v>17479823</v>
      </c>
      <c r="N5" s="25">
        <f>IF(Triangulo1!O17=0,"-",Triangulo1!O17)</f>
        <v>17658472</v>
      </c>
      <c r="O5" s="25">
        <f>IF(Triangulo1!P17=0,"-",Triangulo1!P17)</f>
        <v>17691106</v>
      </c>
      <c r="P5" s="25">
        <f>IF(Triangulo1!Q17=0,"-",Triangulo1!Q17)</f>
        <v>17707511</v>
      </c>
      <c r="Q5" s="25">
        <f>IF(Triangulo1!R17=0,"-",Triangulo1!R17)</f>
        <v>17727251</v>
      </c>
      <c r="R5" s="25">
        <f>IF(Triangulo1!S17=0,"-",Triangulo1!S17)</f>
        <v>17731572</v>
      </c>
      <c r="S5" s="25">
        <f>IF(Triangulo1!T17=0,"-",Triangulo1!T17)</f>
        <v>17733454</v>
      </c>
      <c r="T5" s="25">
        <f>IF(Triangulo1!U17=0,"-",Triangulo1!U17)</f>
        <v>17734435</v>
      </c>
      <c r="U5" s="25">
        <f>IF(Triangulo1!V17=0,"-",Triangulo1!V17)</f>
        <v>17734974</v>
      </c>
      <c r="V5" s="25">
        <f>IF(Triangulo1!W17=0,"-",Triangulo1!W17)</f>
        <v>17735197</v>
      </c>
      <c r="W5" s="25">
        <f>IF(Triangulo1!X17=0,"-",Triangulo1!X17)</f>
        <v>17735258</v>
      </c>
      <c r="X5" s="25">
        <f>IF(Triangulo1!Y17=0,"-",Triangulo1!Y17)</f>
        <v>17735268</v>
      </c>
      <c r="Y5" s="26">
        <f>IF(Triangulo1!Z17=0,"-",Triangulo1!Z17)</f>
        <v>17735279</v>
      </c>
      <c r="Z5" s="32">
        <f>+Y5*Y$30</f>
        <v>17735298.270448435</v>
      </c>
      <c r="AA5" s="32">
        <f>+Z5</f>
        <v>17735298.270448435</v>
      </c>
      <c r="AB5" s="28">
        <f>+Y5</f>
        <v>17735279</v>
      </c>
      <c r="AC5" s="27">
        <f>AA5-AB5</f>
        <v>19.270448435097933</v>
      </c>
    </row>
    <row r="6" spans="1:29" ht="15" customHeight="1" x14ac:dyDescent="0.25">
      <c r="A6" s="29" t="s">
        <v>70</v>
      </c>
      <c r="B6" s="30" t="s">
        <v>10</v>
      </c>
      <c r="C6" s="31">
        <f>IF(Triangulo1!D18=0,"-",Triangulo1!D18)</f>
        <v>4944676</v>
      </c>
      <c r="D6" s="31">
        <f>IF(Triangulo1!E18=0,"-",Triangulo1!E18)</f>
        <v>5651989</v>
      </c>
      <c r="E6" s="31">
        <f>IF(Triangulo1!F18=0,"-",Triangulo1!F18)</f>
        <v>6603749</v>
      </c>
      <c r="F6" s="31">
        <f>IF(Triangulo1!G18=0,"-",Triangulo1!G18)</f>
        <v>7627857</v>
      </c>
      <c r="G6" s="31">
        <f>IF(Triangulo1!H18=0,"-",Triangulo1!H18)</f>
        <v>8503366</v>
      </c>
      <c r="H6" s="31">
        <f>IF(Triangulo1!I18=0,"-",Triangulo1!I18)</f>
        <v>9687265</v>
      </c>
      <c r="I6" s="31">
        <f>IF(Triangulo1!J18=0,"-",Triangulo1!J18)</f>
        <v>10329156</v>
      </c>
      <c r="J6" s="31">
        <f>IF(Triangulo1!K18=0,"-",Triangulo1!K18)</f>
        <v>10705380</v>
      </c>
      <c r="K6" s="31">
        <f>IF(Triangulo1!L18=0,"-",Triangulo1!L18)</f>
        <v>11007279</v>
      </c>
      <c r="L6" s="31">
        <f>IF(Triangulo1!M18=0,"-",Triangulo1!M18)</f>
        <v>11432174</v>
      </c>
      <c r="M6" s="31">
        <f>IF(Triangulo1!N18=0,"-",Triangulo1!N18)</f>
        <v>11644639</v>
      </c>
      <c r="N6" s="31">
        <f>IF(Triangulo1!O18=0,"-",Triangulo1!O18)</f>
        <v>11802250</v>
      </c>
      <c r="O6" s="31">
        <f>IF(Triangulo1!P18=0,"-",Triangulo1!P18)</f>
        <v>11840837</v>
      </c>
      <c r="P6" s="31">
        <f>IF(Triangulo1!Q18=0,"-",Triangulo1!Q18)</f>
        <v>11864201</v>
      </c>
      <c r="Q6" s="31">
        <f>IF(Triangulo1!R18=0,"-",Triangulo1!R18)</f>
        <v>11873586</v>
      </c>
      <c r="R6" s="31">
        <f>IF(Triangulo1!S18=0,"-",Triangulo1!S18)</f>
        <v>11878223</v>
      </c>
      <c r="S6" s="31">
        <f>IF(Triangulo1!T18=0,"-",Triangulo1!T18)</f>
        <v>11880065</v>
      </c>
      <c r="T6" s="31">
        <f>IF(Triangulo1!U18=0,"-",Triangulo1!U18)</f>
        <v>11880905</v>
      </c>
      <c r="U6" s="31">
        <f>IF(Triangulo1!V18=0,"-",Triangulo1!V18)</f>
        <v>11881492</v>
      </c>
      <c r="V6" s="31">
        <f>IF(Triangulo1!W18=0,"-",Triangulo1!W18)</f>
        <v>11881607</v>
      </c>
      <c r="W6" s="31">
        <f>IF(Triangulo1!X18=0,"-",Triangulo1!X18)</f>
        <v>11881725</v>
      </c>
      <c r="X6" s="26">
        <f>IF(Triangulo1!Y18=0,"-",Triangulo1!Y18)</f>
        <v>11881761</v>
      </c>
      <c r="Y6" s="32">
        <f>+X6*X$30</f>
        <v>11881767.912294572</v>
      </c>
      <c r="Z6" s="32">
        <f t="shared" ref="Z6" si="0">+Y6*Y$30</f>
        <v>11881780.822550785</v>
      </c>
      <c r="AA6" s="32">
        <f>+Z6</f>
        <v>11881780.822550785</v>
      </c>
      <c r="AB6" s="28">
        <f>+X6</f>
        <v>11881761</v>
      </c>
      <c r="AC6" s="27">
        <f>AA6-AB6</f>
        <v>19.822550784796476</v>
      </c>
    </row>
    <row r="7" spans="1:29" ht="15" customHeight="1" x14ac:dyDescent="0.25">
      <c r="A7" s="23" t="s">
        <v>71</v>
      </c>
      <c r="B7" s="24" t="s">
        <v>11</v>
      </c>
      <c r="C7" s="25">
        <f>IF(Triangulo1!D19=0,"-",Triangulo1!D19)</f>
        <v>5990844</v>
      </c>
      <c r="D7" s="25">
        <f>IF(Triangulo1!E19=0,"-",Triangulo1!E19)</f>
        <v>12990844</v>
      </c>
      <c r="E7" s="25">
        <f>IF(Triangulo1!F19=0,"-",Triangulo1!F19)</f>
        <v>14795084</v>
      </c>
      <c r="F7" s="25">
        <f>IF(Triangulo1!G19=0,"-",Triangulo1!G19)</f>
        <v>15558421</v>
      </c>
      <c r="G7" s="25">
        <f>IF(Triangulo1!H19=0,"-",Triangulo1!H19)</f>
        <v>16698078</v>
      </c>
      <c r="H7" s="25">
        <f>IF(Triangulo1!I19=0,"-",Triangulo1!I19)</f>
        <v>17591115</v>
      </c>
      <c r="I7" s="25">
        <f>IF(Triangulo1!J19=0,"-",Triangulo1!J19)</f>
        <v>17858613</v>
      </c>
      <c r="J7" s="25">
        <f>IF(Triangulo1!K19=0,"-",Triangulo1!K19)</f>
        <v>18161498</v>
      </c>
      <c r="K7" s="25">
        <f>IF(Triangulo1!L19=0,"-",Triangulo1!L19)</f>
        <v>18751439</v>
      </c>
      <c r="L7" s="25">
        <f>IF(Triangulo1!M19=0,"-",Triangulo1!M19)</f>
        <v>18855100</v>
      </c>
      <c r="M7" s="25">
        <f>IF(Triangulo1!N19=0,"-",Triangulo1!N19)</f>
        <v>19152179</v>
      </c>
      <c r="N7" s="25">
        <f>IF(Triangulo1!O19=0,"-",Triangulo1!O19)</f>
        <v>19349458</v>
      </c>
      <c r="O7" s="25">
        <f>IF(Triangulo1!P19=0,"-",Triangulo1!P19)</f>
        <v>19426010</v>
      </c>
      <c r="P7" s="25">
        <f>IF(Triangulo1!Q19=0,"-",Triangulo1!Q19)</f>
        <v>19444545</v>
      </c>
      <c r="Q7" s="25">
        <f>IF(Triangulo1!R19=0,"-",Triangulo1!R19)</f>
        <v>19453256</v>
      </c>
      <c r="R7" s="25">
        <f>IF(Triangulo1!S19=0,"-",Triangulo1!S19)</f>
        <v>19457999</v>
      </c>
      <c r="S7" s="25">
        <f>IF(Triangulo1!T19=0,"-",Triangulo1!T19)</f>
        <v>19459976</v>
      </c>
      <c r="T7" s="25">
        <f>IF(Triangulo1!U19=0,"-",Triangulo1!U19)</f>
        <v>19461146</v>
      </c>
      <c r="U7" s="25">
        <f>IF(Triangulo1!V19=0,"-",Triangulo1!V19)</f>
        <v>19461559</v>
      </c>
      <c r="V7" s="25">
        <f>IF(Triangulo1!W19=0,"-",Triangulo1!W19)</f>
        <v>19461649</v>
      </c>
      <c r="W7" s="26">
        <f>IF(Triangulo1!X19=0,"-",Triangulo1!X19)</f>
        <v>19461650</v>
      </c>
      <c r="X7" s="32">
        <f>+W7*W$30</f>
        <v>19461675.515922997</v>
      </c>
      <c r="Y7" s="32">
        <f t="shared" ref="Y7:Z7" si="1">+X7*X$30</f>
        <v>19461686.837883946</v>
      </c>
      <c r="Z7" s="32">
        <f t="shared" si="1"/>
        <v>19461707.984178439</v>
      </c>
      <c r="AA7" s="32">
        <f>+Z7</f>
        <v>19461707.984178439</v>
      </c>
      <c r="AB7" s="28">
        <f>+W7</f>
        <v>19461650</v>
      </c>
      <c r="AC7" s="27">
        <f>AA7-AB7</f>
        <v>57.984178438782692</v>
      </c>
    </row>
    <row r="8" spans="1:29" ht="15" customHeight="1" x14ac:dyDescent="0.25">
      <c r="A8" s="29" t="s">
        <v>72</v>
      </c>
      <c r="B8" s="30" t="s">
        <v>12</v>
      </c>
      <c r="C8" s="31">
        <f>IF(Triangulo1!D20=0,"-",Triangulo1!D20)</f>
        <v>6106533</v>
      </c>
      <c r="D8" s="31">
        <f>IF(Triangulo1!E20=0,"-",Triangulo1!E20)</f>
        <v>7227067</v>
      </c>
      <c r="E8" s="31">
        <f>IF(Triangulo1!F20=0,"-",Triangulo1!F20)</f>
        <v>8316481</v>
      </c>
      <c r="F8" s="31">
        <f>IF(Triangulo1!G20=0,"-",Triangulo1!G20)</f>
        <v>8778769</v>
      </c>
      <c r="G8" s="31">
        <f>IF(Triangulo1!H20=0,"-",Triangulo1!H20)</f>
        <v>9616196</v>
      </c>
      <c r="H8" s="31">
        <f>IF(Triangulo1!I20=0,"-",Triangulo1!I20)</f>
        <v>9944940</v>
      </c>
      <c r="I8" s="31">
        <f>IF(Triangulo1!J20=0,"-",Triangulo1!J20)</f>
        <v>10596973</v>
      </c>
      <c r="J8" s="31">
        <f>IF(Triangulo1!K20=0,"-",Triangulo1!K20)</f>
        <v>10938865</v>
      </c>
      <c r="K8" s="31">
        <f>IF(Triangulo1!L20=0,"-",Triangulo1!L20)</f>
        <v>11091033</v>
      </c>
      <c r="L8" s="31">
        <f>IF(Triangulo1!M20=0,"-",Triangulo1!M20)</f>
        <v>11574757</v>
      </c>
      <c r="M8" s="31">
        <f>IF(Triangulo1!N20=0,"-",Triangulo1!N20)</f>
        <v>11660948</v>
      </c>
      <c r="N8" s="31">
        <f>IF(Triangulo1!O20=0,"-",Triangulo1!O20)</f>
        <v>11754449</v>
      </c>
      <c r="O8" s="31">
        <f>IF(Triangulo1!P20=0,"-",Triangulo1!P20)</f>
        <v>11785976</v>
      </c>
      <c r="P8" s="31">
        <f>IF(Triangulo1!Q20=0,"-",Triangulo1!Q20)</f>
        <v>11801623</v>
      </c>
      <c r="Q8" s="31">
        <f>IF(Triangulo1!R20=0,"-",Triangulo1!R20)</f>
        <v>11808422</v>
      </c>
      <c r="R8" s="31">
        <f>IF(Triangulo1!S20=0,"-",Triangulo1!S20)</f>
        <v>11812430</v>
      </c>
      <c r="S8" s="31">
        <f>IF(Triangulo1!T20=0,"-",Triangulo1!T20)</f>
        <v>11814677</v>
      </c>
      <c r="T8" s="31">
        <f>IF(Triangulo1!U20=0,"-",Triangulo1!U20)</f>
        <v>11815553</v>
      </c>
      <c r="U8" s="31">
        <f>IF(Triangulo1!V20=0,"-",Triangulo1!V20)</f>
        <v>11815994</v>
      </c>
      <c r="V8" s="26">
        <f>IF(Triangulo1!W20=0,"-",Triangulo1!W20)</f>
        <v>11816173</v>
      </c>
      <c r="W8" s="32">
        <f>+V8*V$30</f>
        <v>11816215.257646352</v>
      </c>
      <c r="X8" s="32">
        <f t="shared" ref="X8:Z8" si="2">+W8*W$30</f>
        <v>11816230.749736622</v>
      </c>
      <c r="Y8" s="32">
        <f t="shared" si="2"/>
        <v>11816237.623908529</v>
      </c>
      <c r="Z8" s="32">
        <f t="shared" si="2"/>
        <v>11816250.462962138</v>
      </c>
      <c r="AA8" s="32">
        <f>+Z8</f>
        <v>11816250.462962138</v>
      </c>
      <c r="AB8" s="28">
        <f>+V8</f>
        <v>11816173</v>
      </c>
      <c r="AC8" s="27">
        <f t="shared" ref="AC8:AC25" si="3">AA8-AB8</f>
        <v>77.462962137535214</v>
      </c>
    </row>
    <row r="9" spans="1:29" ht="15" customHeight="1" x14ac:dyDescent="0.25">
      <c r="A9" s="23" t="s">
        <v>73</v>
      </c>
      <c r="B9" s="24" t="s">
        <v>13</v>
      </c>
      <c r="C9" s="25">
        <f>IF(Triangulo1!D21=0,"-",Triangulo1!D21)</f>
        <v>3511339</v>
      </c>
      <c r="D9" s="25">
        <f>IF(Triangulo1!E21=0,"-",Triangulo1!E21)</f>
        <v>5097855</v>
      </c>
      <c r="E9" s="25">
        <f>IF(Triangulo1!F21=0,"-",Triangulo1!F21)</f>
        <v>6037374</v>
      </c>
      <c r="F9" s="25">
        <f>IF(Triangulo1!G21=0,"-",Triangulo1!G21)</f>
        <v>6436248</v>
      </c>
      <c r="G9" s="25">
        <f>IF(Triangulo1!H21=0,"-",Triangulo1!H21)</f>
        <v>7366573</v>
      </c>
      <c r="H9" s="25">
        <f>IF(Triangulo1!I21=0,"-",Triangulo1!I21)</f>
        <v>8575992</v>
      </c>
      <c r="I9" s="25">
        <f>IF(Triangulo1!J21=0,"-",Triangulo1!J21)</f>
        <v>9082448</v>
      </c>
      <c r="J9" s="25">
        <f>IF(Triangulo1!K21=0,"-",Triangulo1!K21)</f>
        <v>12082448</v>
      </c>
      <c r="K9" s="25">
        <f>IF(Triangulo1!L21=0,"-",Triangulo1!L21)</f>
        <v>12687409</v>
      </c>
      <c r="L9" s="25">
        <f>IF(Triangulo1!M21=0,"-",Triangulo1!M21)</f>
        <v>12838372</v>
      </c>
      <c r="M9" s="25">
        <f>IF(Triangulo1!N21=0,"-",Triangulo1!N21)</f>
        <v>12930641</v>
      </c>
      <c r="N9" s="25">
        <f>IF(Triangulo1!O21=0,"-",Triangulo1!O21)</f>
        <v>12990612</v>
      </c>
      <c r="O9" s="25">
        <f>IF(Triangulo1!P21=0,"-",Triangulo1!P21)</f>
        <v>13017211</v>
      </c>
      <c r="P9" s="25">
        <f>IF(Triangulo1!Q21=0,"-",Triangulo1!Q21)</f>
        <v>13032985</v>
      </c>
      <c r="Q9" s="25">
        <f>IF(Triangulo1!R21=0,"-",Triangulo1!R21)</f>
        <v>13041104</v>
      </c>
      <c r="R9" s="25">
        <f>IF(Triangulo1!S21=0,"-",Triangulo1!S21)</f>
        <v>13045224</v>
      </c>
      <c r="S9" s="25">
        <f>IF(Triangulo1!T21=0,"-",Triangulo1!T21)</f>
        <v>13046906</v>
      </c>
      <c r="T9" s="25">
        <f>IF(Triangulo1!U21=0,"-",Triangulo1!U21)</f>
        <v>13047997</v>
      </c>
      <c r="U9" s="26">
        <f>IF(Triangulo1!V21=0,"-",Triangulo1!V21)</f>
        <v>13048471</v>
      </c>
      <c r="V9" s="32">
        <f>+U9*U$30</f>
        <v>13048603.183788795</v>
      </c>
      <c r="W9" s="32">
        <f t="shared" ref="W9:Z9" si="4">+V9*V$30</f>
        <v>13048649.848919606</v>
      </c>
      <c r="X9" s="32">
        <f t="shared" si="4"/>
        <v>13048666.956839271</v>
      </c>
      <c r="Y9" s="32">
        <f t="shared" si="4"/>
        <v>13048674.547989251</v>
      </c>
      <c r="Z9" s="32">
        <f t="shared" si="4"/>
        <v>13048688.726159779</v>
      </c>
      <c r="AA9" s="32">
        <f t="shared" ref="AA9:AA27" si="5">+Z9</f>
        <v>13048688.726159779</v>
      </c>
      <c r="AB9" s="28">
        <f>+U9</f>
        <v>13048471</v>
      </c>
      <c r="AC9" s="27">
        <f t="shared" si="3"/>
        <v>217.72615977935493</v>
      </c>
    </row>
    <row r="10" spans="1:29" ht="15" customHeight="1" x14ac:dyDescent="0.25">
      <c r="A10" s="29" t="s">
        <v>74</v>
      </c>
      <c r="B10" s="30" t="s">
        <v>14</v>
      </c>
      <c r="C10" s="31">
        <f>IF(Triangulo1!D22=0,"-",Triangulo1!D22)</f>
        <v>4141271</v>
      </c>
      <c r="D10" s="31">
        <f>IF(Triangulo1!E22=0,"-",Triangulo1!E22)</f>
        <v>5675304</v>
      </c>
      <c r="E10" s="31">
        <f>IF(Triangulo1!F22=0,"-",Triangulo1!F22)</f>
        <v>6514051</v>
      </c>
      <c r="F10" s="31">
        <f>IF(Triangulo1!G22=0,"-",Triangulo1!G22)</f>
        <v>7799341</v>
      </c>
      <c r="G10" s="31">
        <f>IF(Triangulo1!H22=0,"-",Triangulo1!H22)</f>
        <v>8118940</v>
      </c>
      <c r="H10" s="31">
        <f>IF(Triangulo1!I22=0,"-",Triangulo1!I22)</f>
        <v>8328067</v>
      </c>
      <c r="I10" s="31">
        <f>IF(Triangulo1!J22=0,"-",Triangulo1!J22)</f>
        <v>9073367</v>
      </c>
      <c r="J10" s="31">
        <f>IF(Triangulo1!K22=0,"-",Triangulo1!K22)</f>
        <v>9580777</v>
      </c>
      <c r="K10" s="31">
        <f>IF(Triangulo1!L22=0,"-",Triangulo1!L22)</f>
        <v>10084545</v>
      </c>
      <c r="L10" s="31">
        <f>IF(Triangulo1!M22=0,"-",Triangulo1!M22)</f>
        <v>10574369</v>
      </c>
      <c r="M10" s="31">
        <f>IF(Triangulo1!N22=0,"-",Triangulo1!N22)</f>
        <v>10704764</v>
      </c>
      <c r="N10" s="31">
        <f>IF(Triangulo1!O22=0,"-",Triangulo1!O22)</f>
        <v>10779530</v>
      </c>
      <c r="O10" s="31">
        <f>IF(Triangulo1!P22=0,"-",Triangulo1!P22)</f>
        <v>10810916</v>
      </c>
      <c r="P10" s="31">
        <f>IF(Triangulo1!Q22=0,"-",Triangulo1!Q22)</f>
        <v>10825407</v>
      </c>
      <c r="Q10" s="31">
        <f>IF(Triangulo1!R22=0,"-",Triangulo1!R22)</f>
        <v>10831969</v>
      </c>
      <c r="R10" s="31">
        <f>IF(Triangulo1!S22=0,"-",Triangulo1!S22)</f>
        <v>10836654</v>
      </c>
      <c r="S10" s="31">
        <f>IF(Triangulo1!T22=0,"-",Triangulo1!T22)</f>
        <v>10839043</v>
      </c>
      <c r="T10" s="26">
        <f>IF(Triangulo1!U22=0,"-",Triangulo1!U22)</f>
        <v>10840140</v>
      </c>
      <c r="U10" s="32">
        <f>+T10*T$30</f>
        <v>10840509.320882216</v>
      </c>
      <c r="V10" s="32">
        <f t="shared" ref="V10:Z10" si="6">+U10*U$30</f>
        <v>10840619.137549205</v>
      </c>
      <c r="W10" s="32">
        <f t="shared" si="6"/>
        <v>10840657.906366296</v>
      </c>
      <c r="X10" s="32">
        <f t="shared" si="6"/>
        <v>10840672.119415671</v>
      </c>
      <c r="Y10" s="32">
        <f t="shared" si="6"/>
        <v>10840678.426049767</v>
      </c>
      <c r="Z10" s="32">
        <f t="shared" si="6"/>
        <v>10840690.20509957</v>
      </c>
      <c r="AA10" s="32">
        <f>+Z10</f>
        <v>10840690.20509957</v>
      </c>
      <c r="AB10" s="28">
        <f>+T10</f>
        <v>10840140</v>
      </c>
      <c r="AC10" s="27">
        <f t="shared" si="3"/>
        <v>550.2050995696336</v>
      </c>
    </row>
    <row r="11" spans="1:29" ht="15" customHeight="1" x14ac:dyDescent="0.25">
      <c r="A11" s="23" t="s">
        <v>75</v>
      </c>
      <c r="B11" s="24" t="s">
        <v>15</v>
      </c>
      <c r="C11" s="25">
        <f>IF(Triangulo1!D23=0,"-",Triangulo1!D23)</f>
        <v>6591656</v>
      </c>
      <c r="D11" s="25">
        <f>IF(Triangulo1!E23=0,"-",Triangulo1!E23)</f>
        <v>9149839</v>
      </c>
      <c r="E11" s="25">
        <f>IF(Triangulo1!F23=0,"-",Triangulo1!F23)</f>
        <v>9876574</v>
      </c>
      <c r="F11" s="25">
        <f>IF(Triangulo1!G23=0,"-",Triangulo1!G23)</f>
        <v>11324778</v>
      </c>
      <c r="G11" s="25">
        <f>IF(Triangulo1!H23=0,"-",Triangulo1!H23)</f>
        <v>11791969</v>
      </c>
      <c r="H11" s="25">
        <f>IF(Triangulo1!I23=0,"-",Triangulo1!I23)</f>
        <v>12446387</v>
      </c>
      <c r="I11" s="25">
        <f>IF(Triangulo1!J23=0,"-",Triangulo1!J23)</f>
        <v>12820241</v>
      </c>
      <c r="J11" s="25">
        <f>IF(Triangulo1!K23=0,"-",Triangulo1!K23)</f>
        <v>13419392</v>
      </c>
      <c r="K11" s="25">
        <f>IF(Triangulo1!L23=0,"-",Triangulo1!L23)</f>
        <v>13586619</v>
      </c>
      <c r="L11" s="25">
        <f>IF(Triangulo1!M23=0,"-",Triangulo1!M23)</f>
        <v>13861205</v>
      </c>
      <c r="M11" s="25">
        <f>IF(Triangulo1!N23=0,"-",Triangulo1!N23)</f>
        <v>13987078</v>
      </c>
      <c r="N11" s="25">
        <f>IF(Triangulo1!O23=0,"-",Triangulo1!O23)</f>
        <v>14043493</v>
      </c>
      <c r="O11" s="25">
        <f>IF(Triangulo1!P23=0,"-",Triangulo1!P23)</f>
        <v>14079323</v>
      </c>
      <c r="P11" s="25">
        <f>IF(Triangulo1!Q23=0,"-",Triangulo1!Q23)</f>
        <v>14095393</v>
      </c>
      <c r="Q11" s="25">
        <f>IF(Triangulo1!R23=0,"-",Triangulo1!R23)</f>
        <v>14104571</v>
      </c>
      <c r="R11" s="25">
        <f>IF(Triangulo1!S23=0,"-",Triangulo1!S23)</f>
        <v>14109322</v>
      </c>
      <c r="S11" s="26">
        <f>IF(Triangulo1!T23=0,"-",Triangulo1!T23)</f>
        <v>14111136</v>
      </c>
      <c r="T11" s="32">
        <f>+S11*S$30</f>
        <v>14112143.254468869</v>
      </c>
      <c r="U11" s="32">
        <f t="shared" ref="U11:Y11" si="7">+T11*T$30</f>
        <v>14112624.051690741</v>
      </c>
      <c r="V11" s="32">
        <f t="shared" si="7"/>
        <v>14112767.015576471</v>
      </c>
      <c r="W11" s="32">
        <f t="shared" si="7"/>
        <v>14112817.486428378</v>
      </c>
      <c r="X11" s="32">
        <f t="shared" si="7"/>
        <v>14112835.989564763</v>
      </c>
      <c r="Y11" s="32">
        <f t="shared" si="7"/>
        <v>14112844.199802253</v>
      </c>
      <c r="Z11" s="32">
        <f>+Y11*Y$30</f>
        <v>14112859.534257179</v>
      </c>
      <c r="AA11" s="32">
        <f>+Z11</f>
        <v>14112859.534257179</v>
      </c>
      <c r="AB11" s="28">
        <f>+S11</f>
        <v>14111136</v>
      </c>
      <c r="AC11" s="27">
        <f t="shared" si="3"/>
        <v>1723.5342571791261</v>
      </c>
    </row>
    <row r="12" spans="1:29" ht="15" customHeight="1" x14ac:dyDescent="0.25">
      <c r="A12" s="29" t="s">
        <v>76</v>
      </c>
      <c r="B12" s="30" t="s">
        <v>16</v>
      </c>
      <c r="C12" s="31">
        <f>IF(Triangulo1!D24=0,"-",Triangulo1!D24)</f>
        <v>6289704</v>
      </c>
      <c r="D12" s="31">
        <f>IF(Triangulo1!E24=0,"-",Triangulo1!E24)</f>
        <v>9074583</v>
      </c>
      <c r="E12" s="31">
        <f>IF(Triangulo1!F24=0,"-",Triangulo1!F24)</f>
        <v>11031640</v>
      </c>
      <c r="F12" s="31">
        <f>IF(Triangulo1!G24=0,"-",Triangulo1!G24)</f>
        <v>12328713</v>
      </c>
      <c r="G12" s="31">
        <f>IF(Triangulo1!H24=0,"-",Triangulo1!H24)</f>
        <v>12743016</v>
      </c>
      <c r="H12" s="31">
        <f>IF(Triangulo1!I24=0,"-",Triangulo1!I24)</f>
        <v>13716063</v>
      </c>
      <c r="I12" s="31">
        <f>IF(Triangulo1!J24=0,"-",Triangulo1!J24)</f>
        <v>13936735</v>
      </c>
      <c r="J12" s="31">
        <f>IF(Triangulo1!K24=0,"-",Triangulo1!K24)</f>
        <v>14684360</v>
      </c>
      <c r="K12" s="31">
        <f>IF(Triangulo1!L24=0,"-",Triangulo1!L24)</f>
        <v>15224487</v>
      </c>
      <c r="L12" s="31">
        <f>IF(Triangulo1!M24=0,"-",Triangulo1!M24)</f>
        <v>15505624</v>
      </c>
      <c r="M12" s="31">
        <f>IF(Triangulo1!N24=0,"-",Triangulo1!N24)</f>
        <v>15616491</v>
      </c>
      <c r="N12" s="31">
        <f>IF(Triangulo1!O24=0,"-",Triangulo1!O24)</f>
        <v>15669883</v>
      </c>
      <c r="O12" s="31">
        <f>IF(Triangulo1!P24=0,"-",Triangulo1!P24)</f>
        <v>15701026</v>
      </c>
      <c r="P12" s="31">
        <f>IF(Triangulo1!Q24=0,"-",Triangulo1!Q24)</f>
        <v>15717007</v>
      </c>
      <c r="Q12" s="31">
        <f>IF(Triangulo1!R24=0,"-",Triangulo1!R24)</f>
        <v>15725357</v>
      </c>
      <c r="R12" s="26">
        <f>IF(Triangulo1!S24=0,"-",Triangulo1!S24)</f>
        <v>15729334</v>
      </c>
      <c r="S12" s="32">
        <f>+R12*R30</f>
        <v>15731637.970991097</v>
      </c>
      <c r="T12" s="32">
        <f t="shared" ref="T12:Z12" si="8">+S12*S30</f>
        <v>15732760.897072239</v>
      </c>
      <c r="U12" s="32">
        <f t="shared" si="8"/>
        <v>15733296.908335395</v>
      </c>
      <c r="V12" s="32">
        <f t="shared" si="8"/>
        <v>15733456.289982148</v>
      </c>
      <c r="W12" s="32">
        <f t="shared" si="8"/>
        <v>15733512.55683198</v>
      </c>
      <c r="X12" s="32">
        <f t="shared" si="8"/>
        <v>15733533.18484116</v>
      </c>
      <c r="Y12" s="32">
        <f t="shared" si="8"/>
        <v>15733542.337930171</v>
      </c>
      <c r="Z12" s="32">
        <f t="shared" si="8"/>
        <v>15733559.433371203</v>
      </c>
      <c r="AA12" s="32">
        <f t="shared" si="5"/>
        <v>15733559.433371203</v>
      </c>
      <c r="AB12" s="28">
        <f>+R12</f>
        <v>15729334</v>
      </c>
      <c r="AC12" s="27">
        <f t="shared" si="3"/>
        <v>4225.4333712030202</v>
      </c>
    </row>
    <row r="13" spans="1:29" ht="15" customHeight="1" x14ac:dyDescent="0.25">
      <c r="A13" s="23" t="s">
        <v>77</v>
      </c>
      <c r="B13" s="24" t="s">
        <v>17</v>
      </c>
      <c r="C13" s="25">
        <f>IF(Triangulo1!D25=0,"-",Triangulo1!D25)</f>
        <v>4959185</v>
      </c>
      <c r="D13" s="25">
        <f>IF(Triangulo1!E25=0,"-",Triangulo1!E25)</f>
        <v>7332815</v>
      </c>
      <c r="E13" s="25">
        <f>IF(Triangulo1!F25=0,"-",Triangulo1!F25)</f>
        <v>8942057</v>
      </c>
      <c r="F13" s="25">
        <f>IF(Triangulo1!G25=0,"-",Triangulo1!G25)</f>
        <v>10413724</v>
      </c>
      <c r="G13" s="25">
        <f>IF(Triangulo1!H25=0,"-",Triangulo1!H25)</f>
        <v>11109326</v>
      </c>
      <c r="H13" s="25">
        <f>IF(Triangulo1!I25=0,"-",Triangulo1!I25)</f>
        <v>11743877</v>
      </c>
      <c r="I13" s="25">
        <f>IF(Triangulo1!J25=0,"-",Triangulo1!J25)</f>
        <v>12264947</v>
      </c>
      <c r="J13" s="25">
        <f>IF(Triangulo1!K25=0,"-",Triangulo1!K25)</f>
        <v>13331758</v>
      </c>
      <c r="K13" s="25">
        <f>IF(Triangulo1!L25=0,"-",Triangulo1!L25)</f>
        <v>13881470</v>
      </c>
      <c r="L13" s="25">
        <f>IF(Triangulo1!M25=0,"-",Triangulo1!M25)</f>
        <v>14105853</v>
      </c>
      <c r="M13" s="25">
        <f>IF(Triangulo1!N25=0,"-",Triangulo1!N25)</f>
        <v>14231236</v>
      </c>
      <c r="N13" s="25">
        <f>IF(Triangulo1!O25=0,"-",Triangulo1!O25)</f>
        <v>14285043</v>
      </c>
      <c r="O13" s="25">
        <f>IF(Triangulo1!P25=0,"-",Triangulo1!P25)</f>
        <v>14317196</v>
      </c>
      <c r="P13" s="25">
        <f>IF(Triangulo1!Q25=0,"-",Triangulo1!Q25)</f>
        <v>14335249</v>
      </c>
      <c r="Q13" s="26">
        <f>IF(Triangulo1!R25=0,"-",Triangulo1!R25)</f>
        <v>14343596</v>
      </c>
      <c r="R13" s="32">
        <f>+Q13*Q30</f>
        <v>14348967.496809669</v>
      </c>
      <c r="S13" s="32">
        <f t="shared" ref="S13:Z13" si="9">+R13*R30</f>
        <v>14351069.277143462</v>
      </c>
      <c r="T13" s="32">
        <f t="shared" si="9"/>
        <v>14352093.65807654</v>
      </c>
      <c r="U13" s="32">
        <f t="shared" si="9"/>
        <v>14352582.630349172</v>
      </c>
      <c r="V13" s="32">
        <f t="shared" si="9"/>
        <v>14352728.025066383</v>
      </c>
      <c r="W13" s="32">
        <f t="shared" si="9"/>
        <v>14352779.354080021</v>
      </c>
      <c r="X13" s="32">
        <f t="shared" si="9"/>
        <v>14352798.171827374</v>
      </c>
      <c r="Y13" s="32">
        <f t="shared" si="9"/>
        <v>14352806.521664482</v>
      </c>
      <c r="Z13" s="32">
        <f t="shared" si="9"/>
        <v>14352822.116852919</v>
      </c>
      <c r="AA13" s="32">
        <f t="shared" si="5"/>
        <v>14352822.116852919</v>
      </c>
      <c r="AB13" s="28">
        <f>+Q13</f>
        <v>14343596</v>
      </c>
      <c r="AC13" s="27">
        <f t="shared" si="3"/>
        <v>9226.1168529186398</v>
      </c>
    </row>
    <row r="14" spans="1:29" ht="15" customHeight="1" x14ac:dyDescent="0.25">
      <c r="A14" s="29" t="s">
        <v>78</v>
      </c>
      <c r="B14" s="30" t="s">
        <v>18</v>
      </c>
      <c r="C14" s="31">
        <f>IF(Triangulo1!D26=0,"-",Triangulo1!D26)</f>
        <v>6194048</v>
      </c>
      <c r="D14" s="31">
        <f>IF(Triangulo1!E26=0,"-",Triangulo1!E26)</f>
        <v>7741218</v>
      </c>
      <c r="E14" s="31">
        <f>IF(Triangulo1!F26=0,"-",Triangulo1!F26)</f>
        <v>9386858</v>
      </c>
      <c r="F14" s="31">
        <f>IF(Triangulo1!G26=0,"-",Triangulo1!G26)</f>
        <v>9734366</v>
      </c>
      <c r="G14" s="31">
        <f>IF(Triangulo1!H26=0,"-",Triangulo1!H26)</f>
        <v>10964336</v>
      </c>
      <c r="H14" s="31">
        <f>IF(Triangulo1!I26=0,"-",Triangulo1!I26)</f>
        <v>11346897</v>
      </c>
      <c r="I14" s="31">
        <f>IF(Triangulo1!J26=0,"-",Triangulo1!J26)</f>
        <v>13064544</v>
      </c>
      <c r="J14" s="31">
        <f>IF(Triangulo1!K26=0,"-",Triangulo1!K26)</f>
        <v>14121948</v>
      </c>
      <c r="K14" s="31">
        <f>IF(Triangulo1!L26=0,"-",Triangulo1!L26)</f>
        <v>14605429</v>
      </c>
      <c r="L14" s="31">
        <f>IF(Triangulo1!M26=0,"-",Triangulo1!M26)</f>
        <v>14862271</v>
      </c>
      <c r="M14" s="31">
        <f>IF(Triangulo1!N26=0,"-",Triangulo1!N26)</f>
        <v>15012968</v>
      </c>
      <c r="N14" s="31">
        <f>IF(Triangulo1!O26=0,"-",Triangulo1!O26)</f>
        <v>15074585</v>
      </c>
      <c r="O14" s="31">
        <f>IF(Triangulo1!P26=0,"-",Triangulo1!P26)</f>
        <v>15104696</v>
      </c>
      <c r="P14" s="26">
        <f>IF(Triangulo1!Q26=0,"-",Triangulo1!Q26)</f>
        <v>15119935</v>
      </c>
      <c r="Q14" s="32">
        <f>+P14*P30</f>
        <v>15129999.761737982</v>
      </c>
      <c r="R14" s="32">
        <f t="shared" ref="R14:Z14" si="10">+Q14*Q30</f>
        <v>15135665.756893622</v>
      </c>
      <c r="S14" s="32">
        <f t="shared" si="10"/>
        <v>15137882.769694978</v>
      </c>
      <c r="T14" s="32">
        <f t="shared" si="10"/>
        <v>15138963.313463319</v>
      </c>
      <c r="U14" s="32">
        <f t="shared" si="10"/>
        <v>15139479.094190022</v>
      </c>
      <c r="V14" s="32">
        <f t="shared" si="10"/>
        <v>15139632.460335914</v>
      </c>
      <c r="W14" s="32">
        <f t="shared" si="10"/>
        <v>15139686.603520378</v>
      </c>
      <c r="X14" s="32">
        <f t="shared" si="10"/>
        <v>15139706.452971866</v>
      </c>
      <c r="Y14" s="32">
        <f t="shared" si="10"/>
        <v>15139715.260598172</v>
      </c>
      <c r="Z14" s="32">
        <f t="shared" si="10"/>
        <v>15139731.710810332</v>
      </c>
      <c r="AA14" s="32">
        <f t="shared" si="5"/>
        <v>15139731.710810332</v>
      </c>
      <c r="AB14" s="28">
        <f>+P14</f>
        <v>15119935</v>
      </c>
      <c r="AC14" s="27">
        <f t="shared" si="3"/>
        <v>19796.710810331628</v>
      </c>
    </row>
    <row r="15" spans="1:29" ht="15" customHeight="1" x14ac:dyDescent="0.25">
      <c r="A15" s="23" t="s">
        <v>79</v>
      </c>
      <c r="B15" s="24" t="s">
        <v>19</v>
      </c>
      <c r="C15" s="25">
        <f>IF(Triangulo1!D27=0,"-",Triangulo1!D27)</f>
        <v>6500694</v>
      </c>
      <c r="D15" s="25">
        <f>IF(Triangulo1!E27=0,"-",Triangulo1!E27)</f>
        <v>9436157</v>
      </c>
      <c r="E15" s="25">
        <f>IF(Triangulo1!F27=0,"-",Triangulo1!F27)</f>
        <v>11552953</v>
      </c>
      <c r="F15" s="25">
        <f>IF(Triangulo1!G27=0,"-",Triangulo1!G27)</f>
        <v>12130358</v>
      </c>
      <c r="G15" s="25">
        <f>IF(Triangulo1!H27=0,"-",Triangulo1!H27)</f>
        <v>13369514</v>
      </c>
      <c r="H15" s="25">
        <f>IF(Triangulo1!I27=0,"-",Triangulo1!I27)</f>
        <v>15030308</v>
      </c>
      <c r="I15" s="25">
        <f>IF(Triangulo1!J27=0,"-",Triangulo1!J27)</f>
        <v>16697100</v>
      </c>
      <c r="J15" s="25">
        <f>IF(Triangulo1!K27=0,"-",Triangulo1!K27)</f>
        <v>17828453</v>
      </c>
      <c r="K15" s="25">
        <f>IF(Triangulo1!L27=0,"-",Triangulo1!L27)</f>
        <v>18294564</v>
      </c>
      <c r="L15" s="25">
        <f>IF(Triangulo1!M27=0,"-",Triangulo1!M27)</f>
        <v>18522862</v>
      </c>
      <c r="M15" s="25">
        <f>IF(Triangulo1!N27=0,"-",Triangulo1!N27)</f>
        <v>18641988</v>
      </c>
      <c r="N15" s="25">
        <f>IF(Triangulo1!O27=0,"-",Triangulo1!O27)</f>
        <v>18693587</v>
      </c>
      <c r="O15" s="26">
        <f>IF(Triangulo1!P27=0,"-",Triangulo1!P27)</f>
        <v>18730024</v>
      </c>
      <c r="P15" s="32">
        <f>+O15*O30</f>
        <v>18754563.400075365</v>
      </c>
      <c r="Q15" s="32">
        <f t="shared" ref="Q15:Z15" si="11">+P15*P30</f>
        <v>18767047.594757527</v>
      </c>
      <c r="R15" s="32">
        <f t="shared" si="11"/>
        <v>18774075.61871206</v>
      </c>
      <c r="S15" s="32">
        <f t="shared" si="11"/>
        <v>18776825.57148248</v>
      </c>
      <c r="T15" s="32">
        <f t="shared" si="11"/>
        <v>18778165.863395765</v>
      </c>
      <c r="U15" s="32">
        <f t="shared" si="11"/>
        <v>18778805.630851083</v>
      </c>
      <c r="V15" s="32">
        <f t="shared" si="11"/>
        <v>18778995.864149477</v>
      </c>
      <c r="W15" s="32">
        <f t="shared" si="11"/>
        <v>18779063.022625074</v>
      </c>
      <c r="X15" s="32">
        <f t="shared" si="11"/>
        <v>18779087.643616922</v>
      </c>
      <c r="Y15" s="32">
        <f t="shared" si="11"/>
        <v>18779098.568477772</v>
      </c>
      <c r="Z15" s="32">
        <f t="shared" si="11"/>
        <v>18779118.973099016</v>
      </c>
      <c r="AA15" s="32">
        <f t="shared" si="5"/>
        <v>18779118.973099016</v>
      </c>
      <c r="AB15" s="28">
        <f>+O15</f>
        <v>18730024</v>
      </c>
      <c r="AC15" s="27">
        <f t="shared" si="3"/>
        <v>49094.973099015653</v>
      </c>
    </row>
    <row r="16" spans="1:29" ht="15" customHeight="1" x14ac:dyDescent="0.25">
      <c r="A16" s="29" t="s">
        <v>80</v>
      </c>
      <c r="B16" s="30" t="s">
        <v>20</v>
      </c>
      <c r="C16" s="31">
        <f>IF(Triangulo1!D28=0,"-",Triangulo1!D28)</f>
        <v>5205434</v>
      </c>
      <c r="D16" s="31">
        <f>IF(Triangulo1!E28=0,"-",Triangulo1!E28)</f>
        <v>7752400</v>
      </c>
      <c r="E16" s="31">
        <f>IF(Triangulo1!F28=0,"-",Triangulo1!F28)</f>
        <v>9411446</v>
      </c>
      <c r="F16" s="31">
        <f>IF(Triangulo1!G28=0,"-",Triangulo1!G28)</f>
        <v>10805763</v>
      </c>
      <c r="G16" s="31">
        <f>IF(Triangulo1!H28=0,"-",Triangulo1!H28)</f>
        <v>13284336</v>
      </c>
      <c r="H16" s="31">
        <f>IF(Triangulo1!I28=0,"-",Triangulo1!I28)</f>
        <v>15384835</v>
      </c>
      <c r="I16" s="31">
        <f>IF(Triangulo1!J28=0,"-",Triangulo1!J28)</f>
        <v>17438864</v>
      </c>
      <c r="J16" s="31">
        <f>IF(Triangulo1!K28=0,"-",Triangulo1!K28)</f>
        <v>18514044</v>
      </c>
      <c r="K16" s="31">
        <f>IF(Triangulo1!L28=0,"-",Triangulo1!L28)</f>
        <v>19125680</v>
      </c>
      <c r="L16" s="31">
        <f>IF(Triangulo1!M28=0,"-",Triangulo1!M28)</f>
        <v>19431036</v>
      </c>
      <c r="M16" s="31">
        <f>IF(Triangulo1!N28=0,"-",Triangulo1!N28)</f>
        <v>19572822</v>
      </c>
      <c r="N16" s="26">
        <f>IF(Triangulo1!O28=0,"-",Triangulo1!O28)</f>
        <v>19627354</v>
      </c>
      <c r="O16" s="32">
        <f>+N16*N30</f>
        <v>19680827.370107926</v>
      </c>
      <c r="P16" s="32">
        <f t="shared" ref="P16:Z16" si="12">+O16*O30</f>
        <v>19706612.478373099</v>
      </c>
      <c r="Q16" s="32">
        <f t="shared" si="12"/>
        <v>19719730.415669627</v>
      </c>
      <c r="R16" s="32">
        <f t="shared" si="12"/>
        <v>19727115.20739238</v>
      </c>
      <c r="S16" s="32">
        <f t="shared" si="12"/>
        <v>19730004.757654067</v>
      </c>
      <c r="T16" s="32">
        <f t="shared" si="12"/>
        <v>19731413.087604467</v>
      </c>
      <c r="U16" s="32">
        <f t="shared" si="12"/>
        <v>19732085.331956375</v>
      </c>
      <c r="V16" s="32">
        <f t="shared" si="12"/>
        <v>19732285.222181063</v>
      </c>
      <c r="W16" s="32">
        <f t="shared" si="12"/>
        <v>19732355.789862379</v>
      </c>
      <c r="X16" s="32">
        <f t="shared" si="12"/>
        <v>19732381.660704311</v>
      </c>
      <c r="Y16" s="32">
        <f t="shared" si="12"/>
        <v>19732393.140150383</v>
      </c>
      <c r="Z16" s="32">
        <f t="shared" si="12"/>
        <v>19732414.580583572</v>
      </c>
      <c r="AA16" s="32">
        <f t="shared" si="5"/>
        <v>19732414.580583572</v>
      </c>
      <c r="AB16" s="28">
        <f>+N16</f>
        <v>19627354</v>
      </c>
      <c r="AC16" s="27">
        <f t="shared" si="3"/>
        <v>105060.58058357239</v>
      </c>
    </row>
    <row r="17" spans="1:29" ht="15" customHeight="1" x14ac:dyDescent="0.25">
      <c r="A17" s="23" t="s">
        <v>81</v>
      </c>
      <c r="B17" s="24" t="s">
        <v>21</v>
      </c>
      <c r="C17" s="25">
        <f>IF(Triangulo1!D29=0,"-",Triangulo1!D29)</f>
        <v>5184519</v>
      </c>
      <c r="D17" s="25">
        <f>IF(Triangulo1!E29=0,"-",Triangulo1!E29)</f>
        <v>7275135</v>
      </c>
      <c r="E17" s="25">
        <f>IF(Triangulo1!F29=0,"-",Triangulo1!F29)</f>
        <v>7974797</v>
      </c>
      <c r="F17" s="25">
        <f>IF(Triangulo1!G29=0,"-",Triangulo1!G29)</f>
        <v>11597296</v>
      </c>
      <c r="G17" s="25">
        <f>IF(Triangulo1!H29=0,"-",Triangulo1!H29)</f>
        <v>14585912</v>
      </c>
      <c r="H17" s="25">
        <f>IF(Triangulo1!I29=0,"-",Triangulo1!I29)</f>
        <v>16285147</v>
      </c>
      <c r="I17" s="25">
        <f>IF(Triangulo1!J29=0,"-",Triangulo1!J29)</f>
        <v>18338971</v>
      </c>
      <c r="J17" s="25">
        <f>IF(Triangulo1!K29=0,"-",Triangulo1!K29)</f>
        <v>19214501</v>
      </c>
      <c r="K17" s="25">
        <f>IF(Triangulo1!L29=0,"-",Triangulo1!L29)</f>
        <v>19700684</v>
      </c>
      <c r="L17" s="25">
        <f>IF(Triangulo1!M29=0,"-",Triangulo1!M29)</f>
        <v>19926910</v>
      </c>
      <c r="M17" s="26">
        <f>IF(Triangulo1!N29=0,"-",Triangulo1!N29)</f>
        <v>20049671</v>
      </c>
      <c r="N17" s="32">
        <f>+M17*M30</f>
        <v>20184696.13914388</v>
      </c>
      <c r="O17" s="32">
        <f t="shared" ref="O17:Z17" si="13">+N17*N30</f>
        <v>20239687.949408498</v>
      </c>
      <c r="P17" s="32">
        <f t="shared" si="13"/>
        <v>20266205.256593533</v>
      </c>
      <c r="Q17" s="32">
        <f t="shared" si="13"/>
        <v>20279695.693373892</v>
      </c>
      <c r="R17" s="32">
        <f t="shared" si="13"/>
        <v>20287290.185070258</v>
      </c>
      <c r="S17" s="32">
        <f t="shared" si="13"/>
        <v>20290261.787559871</v>
      </c>
      <c r="T17" s="32">
        <f t="shared" si="13"/>
        <v>20291710.108719844</v>
      </c>
      <c r="U17" s="32">
        <f t="shared" si="13"/>
        <v>20292401.442252345</v>
      </c>
      <c r="V17" s="32">
        <f t="shared" si="13"/>
        <v>20292607.008598503</v>
      </c>
      <c r="W17" s="32">
        <f t="shared" si="13"/>
        <v>20292679.580133341</v>
      </c>
      <c r="X17" s="32">
        <f t="shared" si="13"/>
        <v>20292706.1856087</v>
      </c>
      <c r="Y17" s="32">
        <f t="shared" si="13"/>
        <v>20292717.991027344</v>
      </c>
      <c r="Z17" s="32">
        <f t="shared" si="13"/>
        <v>20292740.040287223</v>
      </c>
      <c r="AA17" s="32">
        <f t="shared" si="5"/>
        <v>20292740.040287223</v>
      </c>
      <c r="AB17" s="28">
        <f>+M17</f>
        <v>20049671</v>
      </c>
      <c r="AC17" s="27">
        <f t="shared" si="3"/>
        <v>243069.04028722271</v>
      </c>
    </row>
    <row r="18" spans="1:29" ht="15" customHeight="1" x14ac:dyDescent="0.25">
      <c r="A18" s="29" t="s">
        <v>82</v>
      </c>
      <c r="B18" s="30" t="s">
        <v>22</v>
      </c>
      <c r="C18" s="31">
        <f>IF(Triangulo1!D30=0,"-",Triangulo1!D30)</f>
        <v>3419011</v>
      </c>
      <c r="D18" s="31">
        <f>IF(Triangulo1!E30=0,"-",Triangulo1!E30)</f>
        <v>4773306</v>
      </c>
      <c r="E18" s="31">
        <f>IF(Triangulo1!F30=0,"-",Triangulo1!F30)</f>
        <v>8697825</v>
      </c>
      <c r="F18" s="31">
        <f>IF(Triangulo1!G30=0,"-",Triangulo1!G30)</f>
        <v>12220494</v>
      </c>
      <c r="G18" s="31">
        <f>IF(Triangulo1!H30=0,"-",Triangulo1!H30)</f>
        <v>14462971</v>
      </c>
      <c r="H18" s="31">
        <f>IF(Triangulo1!I30=0,"-",Triangulo1!I30)</f>
        <v>16656668</v>
      </c>
      <c r="I18" s="31">
        <f>IF(Triangulo1!J30=0,"-",Triangulo1!J30)</f>
        <v>19017438</v>
      </c>
      <c r="J18" s="31">
        <f>IF(Triangulo1!K30=0,"-",Triangulo1!K30)</f>
        <v>19939378</v>
      </c>
      <c r="K18" s="31">
        <f>IF(Triangulo1!L30=0,"-",Triangulo1!L30)</f>
        <v>20384099</v>
      </c>
      <c r="L18" s="26">
        <f>IF(Triangulo1!M30=0,"-",Triangulo1!M30)</f>
        <v>20688336</v>
      </c>
      <c r="M18" s="32">
        <f>+L18*L30</f>
        <v>20905273.245285667</v>
      </c>
      <c r="N18" s="32">
        <f t="shared" ref="N18:Y18" si="14">+M18*M30</f>
        <v>21046060.46462635</v>
      </c>
      <c r="O18" s="32">
        <f t="shared" si="14"/>
        <v>21103399.002492368</v>
      </c>
      <c r="P18" s="32">
        <f t="shared" si="14"/>
        <v>21131047.912663132</v>
      </c>
      <c r="Q18" s="32">
        <f t="shared" si="14"/>
        <v>21145114.042081997</v>
      </c>
      <c r="R18" s="32">
        <f t="shared" si="14"/>
        <v>21153032.622096181</v>
      </c>
      <c r="S18" s="32">
        <f t="shared" si="14"/>
        <v>21156131.03513357</v>
      </c>
      <c r="T18" s="32">
        <f t="shared" si="14"/>
        <v>21157641.16213746</v>
      </c>
      <c r="U18" s="32">
        <f t="shared" si="14"/>
        <v>21158361.997726262</v>
      </c>
      <c r="V18" s="32">
        <f t="shared" si="14"/>
        <v>21158576.336437177</v>
      </c>
      <c r="W18" s="32">
        <f t="shared" si="14"/>
        <v>21158652.004899051</v>
      </c>
      <c r="X18" s="32">
        <f t="shared" si="14"/>
        <v>21158679.745739896</v>
      </c>
      <c r="Y18" s="32">
        <f t="shared" si="14"/>
        <v>21158692.054944497</v>
      </c>
      <c r="Z18" s="32">
        <f>+Y18*Y30</f>
        <v>21158715.045137335</v>
      </c>
      <c r="AA18" s="32">
        <f t="shared" si="5"/>
        <v>21158715.045137335</v>
      </c>
      <c r="AB18" s="28">
        <f>+L18</f>
        <v>20688336</v>
      </c>
      <c r="AC18" s="27">
        <f t="shared" si="3"/>
        <v>470379.04513733461</v>
      </c>
    </row>
    <row r="19" spans="1:29" ht="15" customHeight="1" x14ac:dyDescent="0.25">
      <c r="A19" s="23" t="s">
        <v>83</v>
      </c>
      <c r="B19" s="24" t="s">
        <v>23</v>
      </c>
      <c r="C19" s="25">
        <f>IF(Triangulo1!D31=0,"-",Triangulo1!D31)</f>
        <v>5498188</v>
      </c>
      <c r="D19" s="25">
        <f>IF(Triangulo1!E31=0,"-",Triangulo1!E31)</f>
        <v>10669557</v>
      </c>
      <c r="E19" s="25">
        <f>IF(Triangulo1!F31=0,"-",Triangulo1!F31)</f>
        <v>14420577</v>
      </c>
      <c r="F19" s="25">
        <f>IF(Triangulo1!G31=0,"-",Triangulo1!G31)</f>
        <v>17838126</v>
      </c>
      <c r="G19" s="25">
        <f>IF(Triangulo1!H31=0,"-",Triangulo1!H31)</f>
        <v>20243242</v>
      </c>
      <c r="H19" s="25">
        <f>IF(Triangulo1!I31=0,"-",Triangulo1!I31)</f>
        <v>22179116</v>
      </c>
      <c r="I19" s="25">
        <f>IF(Triangulo1!J31=0,"-",Triangulo1!J31)</f>
        <v>24155749</v>
      </c>
      <c r="J19" s="25">
        <f>IF(Triangulo1!K31=0,"-",Triangulo1!K31)</f>
        <v>25145296</v>
      </c>
      <c r="K19" s="26">
        <f>IF(Triangulo1!L31=0,"-",Triangulo1!L31)</f>
        <v>25647723</v>
      </c>
      <c r="L19" s="32">
        <f>+K19*K30</f>
        <v>26222360.597075976</v>
      </c>
      <c r="M19" s="32">
        <f t="shared" ref="M19:Z19" si="15">+L19*L30</f>
        <v>26497327.451482106</v>
      </c>
      <c r="N19" s="32">
        <f t="shared" si="15"/>
        <v>26675774.535530385</v>
      </c>
      <c r="O19" s="32">
        <f t="shared" si="15"/>
        <v>26748450.840479795</v>
      </c>
      <c r="P19" s="32">
        <f t="shared" si="15"/>
        <v>26783495.693415955</v>
      </c>
      <c r="Q19" s="32">
        <f t="shared" si="15"/>
        <v>26801324.440871846</v>
      </c>
      <c r="R19" s="32">
        <f t="shared" si="15"/>
        <v>26811361.200742174</v>
      </c>
      <c r="S19" s="32">
        <f t="shared" si="15"/>
        <v>26815288.423499241</v>
      </c>
      <c r="T19" s="32">
        <f t="shared" si="15"/>
        <v>26817202.501791634</v>
      </c>
      <c r="U19" s="32">
        <f t="shared" si="15"/>
        <v>26818116.157232109</v>
      </c>
      <c r="V19" s="32">
        <f t="shared" si="15"/>
        <v>26818387.830457427</v>
      </c>
      <c r="W19" s="32">
        <f t="shared" si="15"/>
        <v>26818483.739847772</v>
      </c>
      <c r="X19" s="32">
        <f t="shared" si="15"/>
        <v>26818518.901222371</v>
      </c>
      <c r="Y19" s="32">
        <f t="shared" si="15"/>
        <v>26818534.503076561</v>
      </c>
      <c r="Z19" s="32">
        <f t="shared" si="15"/>
        <v>26818563.643028982</v>
      </c>
      <c r="AA19" s="32">
        <f t="shared" si="5"/>
        <v>26818563.643028982</v>
      </c>
      <c r="AB19" s="28">
        <f>+K19</f>
        <v>25647723</v>
      </c>
      <c r="AC19" s="27">
        <f t="shared" si="3"/>
        <v>1170840.643028982</v>
      </c>
    </row>
    <row r="20" spans="1:29" ht="15" customHeight="1" x14ac:dyDescent="0.25">
      <c r="A20" s="29" t="s">
        <v>84</v>
      </c>
      <c r="B20" s="30" t="s">
        <v>24</v>
      </c>
      <c r="C20" s="31">
        <f>IF(Triangulo1!D32=0,"-",Triangulo1!D32)</f>
        <v>6382667</v>
      </c>
      <c r="D20" s="31">
        <f>IF(Triangulo1!E32=0,"-",Triangulo1!E32)</f>
        <v>10460689</v>
      </c>
      <c r="E20" s="31">
        <f>IF(Triangulo1!F32=0,"-",Triangulo1!F32)</f>
        <v>15242265</v>
      </c>
      <c r="F20" s="31">
        <f>IF(Triangulo1!G32=0,"-",Triangulo1!G32)</f>
        <v>19075882</v>
      </c>
      <c r="G20" s="31">
        <f>IF(Triangulo1!H32=0,"-",Triangulo1!H32)</f>
        <v>21908553</v>
      </c>
      <c r="H20" s="31">
        <f>IF(Triangulo1!I32=0,"-",Triangulo1!I32)</f>
        <v>23938666</v>
      </c>
      <c r="I20" s="31">
        <f>IF(Triangulo1!J32=0,"-",Triangulo1!J32)</f>
        <v>25653115</v>
      </c>
      <c r="J20" s="26">
        <f>IF(Triangulo1!K32=0,"-",Triangulo1!K32)</f>
        <v>26811464</v>
      </c>
      <c r="K20" s="32">
        <f>+J20*J30</f>
        <v>27584886.375309914</v>
      </c>
      <c r="L20" s="32">
        <f t="shared" ref="L20:Z20" si="16">+K20*K30</f>
        <v>28202926.145246681</v>
      </c>
      <c r="M20" s="32">
        <f t="shared" si="16"/>
        <v>28498661.148146138</v>
      </c>
      <c r="N20" s="32">
        <f t="shared" si="16"/>
        <v>28690586.276839904</v>
      </c>
      <c r="O20" s="32">
        <f t="shared" si="16"/>
        <v>28768751.797194552</v>
      </c>
      <c r="P20" s="32">
        <f t="shared" si="16"/>
        <v>28806443.575380217</v>
      </c>
      <c r="Q20" s="32">
        <f t="shared" si="16"/>
        <v>28825618.921775874</v>
      </c>
      <c r="R20" s="32">
        <f t="shared" si="16"/>
        <v>28836413.754541311</v>
      </c>
      <c r="S20" s="32">
        <f t="shared" si="16"/>
        <v>28840637.599033248</v>
      </c>
      <c r="T20" s="32">
        <f t="shared" si="16"/>
        <v>28842696.246976737</v>
      </c>
      <c r="U20" s="32">
        <f t="shared" si="16"/>
        <v>28843678.910486933</v>
      </c>
      <c r="V20" s="32">
        <f t="shared" si="16"/>
        <v>28843971.103094112</v>
      </c>
      <c r="W20" s="32">
        <f t="shared" si="16"/>
        <v>28844074.256486524</v>
      </c>
      <c r="X20" s="32">
        <f t="shared" si="16"/>
        <v>28844112.073587213</v>
      </c>
      <c r="Y20" s="32">
        <f t="shared" si="16"/>
        <v>28844128.853843886</v>
      </c>
      <c r="Z20" s="32">
        <f t="shared" si="16"/>
        <v>28844160.194726527</v>
      </c>
      <c r="AA20" s="32">
        <f t="shared" si="5"/>
        <v>28844160.194726527</v>
      </c>
      <c r="AB20" s="28">
        <f>+J20</f>
        <v>26811464</v>
      </c>
      <c r="AC20" s="27">
        <f t="shared" si="3"/>
        <v>2032696.1947265267</v>
      </c>
    </row>
    <row r="21" spans="1:29" ht="15" customHeight="1" x14ac:dyDescent="0.25">
      <c r="A21" s="23" t="s">
        <v>85</v>
      </c>
      <c r="B21" s="24" t="s">
        <v>25</v>
      </c>
      <c r="C21" s="25">
        <f>IF(Triangulo1!D33=0,"-",Triangulo1!D33)</f>
        <v>3022770</v>
      </c>
      <c r="D21" s="25">
        <f>IF(Triangulo1!E33=0,"-",Triangulo1!E33)</f>
        <v>7899209</v>
      </c>
      <c r="E21" s="25">
        <f>IF(Triangulo1!F33=0,"-",Triangulo1!F33)</f>
        <v>11259161</v>
      </c>
      <c r="F21" s="25">
        <f>IF(Triangulo1!G33=0,"-",Triangulo1!G33)</f>
        <v>14497513</v>
      </c>
      <c r="G21" s="25">
        <f>IF(Triangulo1!H33=0,"-",Triangulo1!H33)</f>
        <v>17221120</v>
      </c>
      <c r="H21" s="25">
        <f>IF(Triangulo1!I33=0,"-",Triangulo1!I33)</f>
        <v>19234288</v>
      </c>
      <c r="I21" s="26">
        <f>IF(Triangulo1!J33=0,"-",Triangulo1!J33)</f>
        <v>21399003</v>
      </c>
      <c r="J21" s="32">
        <f>+I21*I30</f>
        <v>22805916.914872631</v>
      </c>
      <c r="K21" s="32">
        <f t="shared" ref="K21:Z21" si="17">+J21*J30</f>
        <v>23463792.457641251</v>
      </c>
      <c r="L21" s="32">
        <f t="shared" si="17"/>
        <v>23989499.059983626</v>
      </c>
      <c r="M21" s="32">
        <f t="shared" si="17"/>
        <v>24241052.198034745</v>
      </c>
      <c r="N21" s="32">
        <f t="shared" si="17"/>
        <v>24404304.325515226</v>
      </c>
      <c r="O21" s="32">
        <f t="shared" si="17"/>
        <v>24470792.166791473</v>
      </c>
      <c r="P21" s="32">
        <f t="shared" si="17"/>
        <v>24502852.913704664</v>
      </c>
      <c r="Q21" s="32">
        <f t="shared" si="17"/>
        <v>24519163.524595335</v>
      </c>
      <c r="R21" s="32">
        <f t="shared" si="17"/>
        <v>24528345.643824577</v>
      </c>
      <c r="S21" s="32">
        <f t="shared" si="17"/>
        <v>24531938.459440481</v>
      </c>
      <c r="T21" s="32">
        <f t="shared" si="17"/>
        <v>24533689.551956583</v>
      </c>
      <c r="U21" s="32">
        <f t="shared" si="17"/>
        <v>24534525.408677008</v>
      </c>
      <c r="V21" s="32">
        <f t="shared" si="17"/>
        <v>24534773.948641945</v>
      </c>
      <c r="W21" s="32">
        <f t="shared" si="17"/>
        <v>24534861.691247001</v>
      </c>
      <c r="X21" s="32">
        <f t="shared" si="17"/>
        <v>24534893.858593635</v>
      </c>
      <c r="Y21" s="32">
        <f t="shared" si="17"/>
        <v>24534908.131933559</v>
      </c>
      <c r="Z21" s="32">
        <f t="shared" si="17"/>
        <v>24534934.790588439</v>
      </c>
      <c r="AA21" s="32">
        <f t="shared" si="5"/>
        <v>24534934.790588439</v>
      </c>
      <c r="AB21" s="28">
        <f>+I21</f>
        <v>21399003</v>
      </c>
      <c r="AC21" s="27">
        <f t="shared" si="3"/>
        <v>3135931.7905884385</v>
      </c>
    </row>
    <row r="22" spans="1:29" ht="15" customHeight="1" x14ac:dyDescent="0.25">
      <c r="A22" s="29" t="s">
        <v>86</v>
      </c>
      <c r="B22" s="30" t="s">
        <v>26</v>
      </c>
      <c r="C22" s="31">
        <f>IF(Triangulo1!D34=0,"-",Triangulo1!D34)</f>
        <v>6936281</v>
      </c>
      <c r="D22" s="31">
        <f>IF(Triangulo1!E34=0,"-",Triangulo1!E34)</f>
        <v>21936281</v>
      </c>
      <c r="E22" s="31">
        <f>IF(Triangulo1!F34=0,"-",Triangulo1!F34)</f>
        <v>25150070</v>
      </c>
      <c r="F22" s="31">
        <f>IF(Triangulo1!G34=0,"-",Triangulo1!G34)</f>
        <v>28898330</v>
      </c>
      <c r="G22" s="31">
        <f>IF(Triangulo1!H34=0,"-",Triangulo1!H34)</f>
        <v>31903741</v>
      </c>
      <c r="H22" s="26">
        <f>IF(Triangulo1!I34=0,"-",Triangulo1!I34)</f>
        <v>33589263</v>
      </c>
      <c r="I22" s="32">
        <f>H30*H22</f>
        <v>36211642.132845111</v>
      </c>
      <c r="J22" s="32">
        <f t="shared" ref="J22:Z22" si="18">I30*I22</f>
        <v>38592438.247369125</v>
      </c>
      <c r="K22" s="32">
        <f t="shared" si="18"/>
        <v>39705702.90379674</v>
      </c>
      <c r="L22" s="32">
        <f t="shared" si="18"/>
        <v>40595309.739727177</v>
      </c>
      <c r="M22" s="32">
        <f t="shared" si="18"/>
        <v>41020990.890035972</v>
      </c>
      <c r="N22" s="32">
        <f t="shared" si="18"/>
        <v>41297248.041724242</v>
      </c>
      <c r="O22" s="32">
        <f t="shared" si="18"/>
        <v>41409759.541184328</v>
      </c>
      <c r="P22" s="32">
        <f t="shared" si="18"/>
        <v>41464013.110555395</v>
      </c>
      <c r="Q22" s="32">
        <f t="shared" si="18"/>
        <v>41491614.116291083</v>
      </c>
      <c r="R22" s="32">
        <f t="shared" si="18"/>
        <v>41507152.205404416</v>
      </c>
      <c r="S22" s="32">
        <f t="shared" si="18"/>
        <v>41513232.009838879</v>
      </c>
      <c r="T22" s="32">
        <f t="shared" si="18"/>
        <v>41516195.228991412</v>
      </c>
      <c r="U22" s="32">
        <f t="shared" si="18"/>
        <v>41517609.675469801</v>
      </c>
      <c r="V22" s="32">
        <f t="shared" si="18"/>
        <v>41518030.25769347</v>
      </c>
      <c r="W22" s="32">
        <f t="shared" si="18"/>
        <v>41518178.73675178</v>
      </c>
      <c r="X22" s="32">
        <f t="shared" si="18"/>
        <v>41518233.170710444</v>
      </c>
      <c r="Y22" s="32">
        <f t="shared" si="18"/>
        <v>41518257.32422252</v>
      </c>
      <c r="Z22" s="32">
        <f t="shared" si="18"/>
        <v>41518302.436308824</v>
      </c>
      <c r="AA22" s="32">
        <f t="shared" si="5"/>
        <v>41518302.436308824</v>
      </c>
      <c r="AB22" s="28">
        <f>+H22</f>
        <v>33589263</v>
      </c>
      <c r="AC22" s="27">
        <f t="shared" si="3"/>
        <v>7929039.4363088235</v>
      </c>
    </row>
    <row r="23" spans="1:29" ht="15" customHeight="1" x14ac:dyDescent="0.25">
      <c r="A23" s="23" t="s">
        <v>87</v>
      </c>
      <c r="B23" s="24" t="s">
        <v>27</v>
      </c>
      <c r="C23" s="25">
        <f>IF(Triangulo1!D35=0,"-",Triangulo1!D35)</f>
        <v>6691248</v>
      </c>
      <c r="D23" s="25">
        <f>IF(Triangulo1!E35=0,"-",Triangulo1!E35)</f>
        <v>11756013</v>
      </c>
      <c r="E23" s="25">
        <f>IF(Triangulo1!F35=0,"-",Triangulo1!F35)</f>
        <v>15391294</v>
      </c>
      <c r="F23" s="25">
        <f>IF(Triangulo1!G35=0,"-",Triangulo1!G35)</f>
        <v>18736499</v>
      </c>
      <c r="G23" s="26">
        <f>IF(Triangulo1!H35=0,"-",Triangulo1!H35)</f>
        <v>21705785</v>
      </c>
      <c r="H23" s="32">
        <f>G30*G23</f>
        <v>23591861.053853434</v>
      </c>
      <c r="I23" s="32">
        <f t="shared" ref="I23:Z23" si="19">H30*H23</f>
        <v>25433723.560113437</v>
      </c>
      <c r="J23" s="32">
        <f t="shared" si="19"/>
        <v>27105907.053136334</v>
      </c>
      <c r="K23" s="32">
        <f t="shared" si="19"/>
        <v>27887823.140149202</v>
      </c>
      <c r="L23" s="32">
        <f t="shared" si="19"/>
        <v>28512650.212592833</v>
      </c>
      <c r="M23" s="32">
        <f t="shared" si="19"/>
        <v>28811632.972391091</v>
      </c>
      <c r="N23" s="32">
        <f t="shared" si="19"/>
        <v>29005665.819666214</v>
      </c>
      <c r="O23" s="32">
        <f t="shared" si="19"/>
        <v>29084689.752469476</v>
      </c>
      <c r="P23" s="32">
        <f t="shared" si="19"/>
        <v>29122795.461138282</v>
      </c>
      <c r="Q23" s="32">
        <f t="shared" si="19"/>
        <v>29142181.390870143</v>
      </c>
      <c r="R23" s="32">
        <f t="shared" si="19"/>
        <v>29153094.772310041</v>
      </c>
      <c r="S23" s="32">
        <f t="shared" si="19"/>
        <v>29157365.002992161</v>
      </c>
      <c r="T23" s="32">
        <f t="shared" si="19"/>
        <v>29159446.258973233</v>
      </c>
      <c r="U23" s="32">
        <f t="shared" si="19"/>
        <v>29160439.714077808</v>
      </c>
      <c r="V23" s="32">
        <f t="shared" si="19"/>
        <v>29160735.115539353</v>
      </c>
      <c r="W23" s="32">
        <f t="shared" si="19"/>
        <v>29160839.401760608</v>
      </c>
      <c r="X23" s="32">
        <f t="shared" si="19"/>
        <v>29160877.63416807</v>
      </c>
      <c r="Y23" s="32">
        <f t="shared" si="19"/>
        <v>29160894.598705247</v>
      </c>
      <c r="Z23" s="32">
        <f t="shared" si="19"/>
        <v>29160926.283772942</v>
      </c>
      <c r="AA23" s="32">
        <f t="shared" si="5"/>
        <v>29160926.283772942</v>
      </c>
      <c r="AB23" s="28">
        <f>+G23</f>
        <v>21705785</v>
      </c>
      <c r="AC23" s="27">
        <f t="shared" si="3"/>
        <v>7455141.2837729417</v>
      </c>
    </row>
    <row r="24" spans="1:29" ht="15" customHeight="1" x14ac:dyDescent="0.25">
      <c r="A24" s="29" t="s">
        <v>88</v>
      </c>
      <c r="B24" s="30" t="s">
        <v>28</v>
      </c>
      <c r="C24" s="31">
        <f>IF(Triangulo1!D36=0,"-",Triangulo1!D36)</f>
        <v>4191817</v>
      </c>
      <c r="D24" s="31">
        <f>IF(Triangulo1!E36=0,"-",Triangulo1!E36)</f>
        <v>9775450</v>
      </c>
      <c r="E24" s="31">
        <f>IF(Triangulo1!F36=0,"-",Triangulo1!F36)</f>
        <v>14374440</v>
      </c>
      <c r="F24" s="26">
        <f>IF(Triangulo1!G36=0,"-",Triangulo1!G36)</f>
        <v>17306094</v>
      </c>
      <c r="G24" s="32">
        <f>F30*F24</f>
        <v>19401740.757743519</v>
      </c>
      <c r="H24" s="32">
        <f t="shared" ref="H24:Z24" si="20">G30*G24</f>
        <v>21087611.996505544</v>
      </c>
      <c r="I24" s="32">
        <f t="shared" si="20"/>
        <v>22733962.905162584</v>
      </c>
      <c r="J24" s="32">
        <f t="shared" si="20"/>
        <v>24228646.033692986</v>
      </c>
      <c r="K24" s="32">
        <f t="shared" si="20"/>
        <v>24927562.622728255</v>
      </c>
      <c r="L24" s="32">
        <f t="shared" si="20"/>
        <v>25486065.01635148</v>
      </c>
      <c r="M24" s="32">
        <f t="shared" si="20"/>
        <v>25753311.098289568</v>
      </c>
      <c r="N24" s="32">
        <f t="shared" si="20"/>
        <v>25926747.580836449</v>
      </c>
      <c r="O24" s="32">
        <f t="shared" si="20"/>
        <v>25997383.21359086</v>
      </c>
      <c r="P24" s="32">
        <f t="shared" si="20"/>
        <v>26031444.044884555</v>
      </c>
      <c r="Q24" s="32">
        <f t="shared" si="20"/>
        <v>26048772.180356525</v>
      </c>
      <c r="R24" s="32">
        <f t="shared" si="20"/>
        <v>26058527.118843537</v>
      </c>
      <c r="S24" s="32">
        <f t="shared" si="20"/>
        <v>26062344.069424696</v>
      </c>
      <c r="T24" s="32">
        <f t="shared" si="20"/>
        <v>26064204.402464725</v>
      </c>
      <c r="U24" s="32">
        <f t="shared" si="20"/>
        <v>26065092.403446648</v>
      </c>
      <c r="V24" s="32">
        <f t="shared" si="20"/>
        <v>26065356.448381048</v>
      </c>
      <c r="W24" s="32">
        <f t="shared" si="20"/>
        <v>26065449.66473924</v>
      </c>
      <c r="X24" s="32">
        <f t="shared" si="20"/>
        <v>26065483.838820394</v>
      </c>
      <c r="Y24" s="32">
        <f t="shared" si="20"/>
        <v>26065499.00259136</v>
      </c>
      <c r="Z24" s="32">
        <f t="shared" si="20"/>
        <v>26065527.324325372</v>
      </c>
      <c r="AA24" s="32">
        <f t="shared" si="5"/>
        <v>26065527.324325372</v>
      </c>
      <c r="AB24" s="28">
        <f>+F24</f>
        <v>17306094</v>
      </c>
      <c r="AC24" s="27">
        <f t="shared" si="3"/>
        <v>8759433.3243253715</v>
      </c>
    </row>
    <row r="25" spans="1:29" ht="15" customHeight="1" x14ac:dyDescent="0.25">
      <c r="A25" s="23" t="s">
        <v>89</v>
      </c>
      <c r="B25" s="24" t="s">
        <v>29</v>
      </c>
      <c r="C25" s="25">
        <f>IF(Triangulo1!D37=0,"-",Triangulo1!D37)</f>
        <v>5916671</v>
      </c>
      <c r="D25" s="25">
        <f>IF(Triangulo1!E37=0,"-",Triangulo1!E37)</f>
        <v>11716355</v>
      </c>
      <c r="E25" s="26">
        <f>IF(Triangulo1!F37=0,"-",Triangulo1!F37)</f>
        <v>15374462</v>
      </c>
      <c r="F25" s="32">
        <f>E25*E30</f>
        <v>18036792.48623649</v>
      </c>
      <c r="G25" s="32">
        <f t="shared" ref="G25:Z25" si="21">F25*F30</f>
        <v>20220921.712269481</v>
      </c>
      <c r="H25" s="32">
        <f t="shared" si="21"/>
        <v>21977973.863498125</v>
      </c>
      <c r="I25" s="32">
        <f t="shared" si="21"/>
        <v>23693837.055907339</v>
      </c>
      <c r="J25" s="32">
        <f t="shared" si="21"/>
        <v>25251628.746047333</v>
      </c>
      <c r="K25" s="32">
        <f t="shared" si="21"/>
        <v>25980055.014945295</v>
      </c>
      <c r="L25" s="32">
        <f t="shared" si="21"/>
        <v>26562138.515523098</v>
      </c>
      <c r="M25" s="32">
        <f t="shared" si="21"/>
        <v>26840668.270572219</v>
      </c>
      <c r="N25" s="32">
        <f t="shared" si="21"/>
        <v>27021427.594151579</v>
      </c>
      <c r="O25" s="32">
        <f t="shared" si="21"/>
        <v>27095045.606981356</v>
      </c>
      <c r="P25" s="32">
        <f t="shared" si="21"/>
        <v>27130544.555846021</v>
      </c>
      <c r="Q25" s="32">
        <f t="shared" si="21"/>
        <v>27148604.320440002</v>
      </c>
      <c r="R25" s="32">
        <f t="shared" si="21"/>
        <v>27158771.132269766</v>
      </c>
      <c r="S25" s="32">
        <f t="shared" si="21"/>
        <v>27162749.242267467</v>
      </c>
      <c r="T25" s="32">
        <f t="shared" si="21"/>
        <v>27164688.122352038</v>
      </c>
      <c r="U25" s="32">
        <f t="shared" si="21"/>
        <v>27165613.616541456</v>
      </c>
      <c r="V25" s="32">
        <f t="shared" si="21"/>
        <v>27165888.809990007</v>
      </c>
      <c r="W25" s="32">
        <f t="shared" si="21"/>
        <v>27165985.962132428</v>
      </c>
      <c r="X25" s="32">
        <f t="shared" si="21"/>
        <v>27166021.579112794</v>
      </c>
      <c r="Y25" s="32">
        <f t="shared" si="21"/>
        <v>27166037.383129012</v>
      </c>
      <c r="Z25" s="32">
        <f t="shared" si="21"/>
        <v>27166066.900664236</v>
      </c>
      <c r="AA25" s="32">
        <f t="shared" si="5"/>
        <v>27166066.900664236</v>
      </c>
      <c r="AB25" s="28">
        <f>+E25</f>
        <v>15374462</v>
      </c>
      <c r="AC25" s="27">
        <f t="shared" si="3"/>
        <v>11791604.900664236</v>
      </c>
    </row>
    <row r="26" spans="1:29" ht="15" customHeight="1" x14ac:dyDescent="0.25">
      <c r="A26" s="29" t="s">
        <v>90</v>
      </c>
      <c r="B26" s="30" t="s">
        <v>30</v>
      </c>
      <c r="C26" s="31">
        <f>IF(Triangulo1!D38=0,"-",Triangulo1!D38)</f>
        <v>4926500</v>
      </c>
      <c r="D26" s="26">
        <f>IF(Triangulo1!E38=0,"-",Triangulo1!E38)</f>
        <v>9321834</v>
      </c>
      <c r="E26" s="32">
        <f>D26*D30</f>
        <v>11723765.133590285</v>
      </c>
      <c r="F26" s="32">
        <f t="shared" ref="F26:Z26" si="22">E26*E30</f>
        <v>13753919.90119346</v>
      </c>
      <c r="G26" s="32">
        <f t="shared" si="22"/>
        <v>15419423.257826108</v>
      </c>
      <c r="H26" s="32">
        <f t="shared" si="22"/>
        <v>16759259.848431632</v>
      </c>
      <c r="I26" s="32">
        <f t="shared" si="22"/>
        <v>18067687.881176975</v>
      </c>
      <c r="J26" s="32">
        <f t="shared" si="22"/>
        <v>19255578.807198316</v>
      </c>
      <c r="K26" s="32">
        <f t="shared" si="22"/>
        <v>19811038.796217587</v>
      </c>
      <c r="L26" s="32">
        <f t="shared" si="22"/>
        <v>20254905.401040066</v>
      </c>
      <c r="M26" s="32">
        <f t="shared" si="22"/>
        <v>20467297.706599265</v>
      </c>
      <c r="N26" s="32">
        <f t="shared" si="22"/>
        <v>20605135.365917105</v>
      </c>
      <c r="O26" s="32">
        <f t="shared" si="22"/>
        <v>20661272.633810963</v>
      </c>
      <c r="P26" s="32">
        <f t="shared" si="22"/>
        <v>20688342.286002934</v>
      </c>
      <c r="Q26" s="32">
        <f t="shared" si="22"/>
        <v>20702113.72323877</v>
      </c>
      <c r="R26" s="32">
        <f t="shared" si="22"/>
        <v>20709866.405189499</v>
      </c>
      <c r="S26" s="32">
        <f t="shared" si="22"/>
        <v>20712899.90498212</v>
      </c>
      <c r="T26" s="32">
        <f t="shared" si="22"/>
        <v>20714378.394098274</v>
      </c>
      <c r="U26" s="32">
        <f t="shared" si="22"/>
        <v>20715084.127834469</v>
      </c>
      <c r="V26" s="32">
        <f t="shared" si="22"/>
        <v>20715293.976046205</v>
      </c>
      <c r="W26" s="32">
        <f t="shared" si="22"/>
        <v>20715368.059217371</v>
      </c>
      <c r="X26" s="32">
        <f t="shared" si="22"/>
        <v>20715395.218874246</v>
      </c>
      <c r="Y26" s="32">
        <f t="shared" si="22"/>
        <v>20715407.270195086</v>
      </c>
      <c r="Z26" s="32">
        <f t="shared" si="22"/>
        <v>20715429.778732315</v>
      </c>
      <c r="AA26" s="32">
        <f t="shared" si="5"/>
        <v>20715429.778732315</v>
      </c>
      <c r="AB26" s="28">
        <f>+D26</f>
        <v>9321834</v>
      </c>
      <c r="AC26" s="27">
        <f>AA26-AB26</f>
        <v>11393595.778732315</v>
      </c>
    </row>
    <row r="27" spans="1:29" ht="15" customHeight="1" x14ac:dyDescent="0.25">
      <c r="A27" s="23" t="s">
        <v>91</v>
      </c>
      <c r="B27" s="24" t="s">
        <v>31</v>
      </c>
      <c r="C27" s="38">
        <f>IF(Triangulo1!D39=0,"-",Triangulo1!D39)</f>
        <v>5149958</v>
      </c>
      <c r="D27" s="39">
        <f>C27*C30</f>
        <v>8650245.9168198258</v>
      </c>
      <c r="E27" s="39">
        <f t="shared" ref="E27:Z27" si="23">D27*D30</f>
        <v>10879130.810159674</v>
      </c>
      <c r="F27" s="39">
        <f t="shared" si="23"/>
        <v>12763023.828311646</v>
      </c>
      <c r="G27" s="39">
        <f t="shared" si="23"/>
        <v>14308536.611543067</v>
      </c>
      <c r="H27" s="39">
        <f t="shared" si="23"/>
        <v>15551845.170469478</v>
      </c>
      <c r="I27" s="39">
        <f t="shared" si="23"/>
        <v>16766007.989471404</v>
      </c>
      <c r="J27" s="39">
        <f t="shared" si="23"/>
        <v>17868317.753026884</v>
      </c>
      <c r="K27" s="39">
        <f t="shared" si="23"/>
        <v>18383759.832554445</v>
      </c>
      <c r="L27" s="39">
        <f t="shared" si="23"/>
        <v>18795648.231980816</v>
      </c>
      <c r="M27" s="39">
        <f t="shared" si="23"/>
        <v>18992738.812431768</v>
      </c>
      <c r="N27" s="39">
        <f t="shared" si="23"/>
        <v>19120646.008558426</v>
      </c>
      <c r="O27" s="39">
        <f t="shared" si="23"/>
        <v>19172738.88774725</v>
      </c>
      <c r="P27" s="39">
        <f t="shared" si="23"/>
        <v>19197858.316857804</v>
      </c>
      <c r="Q27" s="39">
        <f t="shared" si="23"/>
        <v>19210637.595990863</v>
      </c>
      <c r="R27" s="39">
        <f t="shared" si="23"/>
        <v>19217831.738837507</v>
      </c>
      <c r="S27" s="39">
        <f t="shared" si="23"/>
        <v>19220646.691259399</v>
      </c>
      <c r="T27" s="39">
        <f t="shared" si="23"/>
        <v>19222018.663173947</v>
      </c>
      <c r="U27" s="39">
        <f t="shared" si="23"/>
        <v>19222673.552584108</v>
      </c>
      <c r="V27" s="39">
        <f t="shared" si="23"/>
        <v>19222868.282359034</v>
      </c>
      <c r="W27" s="39">
        <f t="shared" si="23"/>
        <v>19222937.028235532</v>
      </c>
      <c r="X27" s="39">
        <f t="shared" si="23"/>
        <v>19222962.231184971</v>
      </c>
      <c r="Y27" s="39">
        <f t="shared" si="23"/>
        <v>19222973.414272856</v>
      </c>
      <c r="Z27" s="39">
        <f t="shared" si="23"/>
        <v>19222994.301190842</v>
      </c>
      <c r="AA27" s="32">
        <f t="shared" si="5"/>
        <v>19222994.301190842</v>
      </c>
      <c r="AB27" s="28">
        <f>+C27</f>
        <v>5149958</v>
      </c>
      <c r="AC27" s="27">
        <f>AA27-AB27</f>
        <v>14073036.301190842</v>
      </c>
    </row>
    <row r="28" spans="1:29" ht="15" customHeight="1" x14ac:dyDescent="0.25">
      <c r="A28" s="33" t="s">
        <v>92</v>
      </c>
      <c r="B28" s="37"/>
      <c r="C28" s="42">
        <f>SUM(D4:D26)</f>
        <v>211515876</v>
      </c>
      <c r="D28" s="42">
        <f>SUM(E4:E25)</f>
        <v>252261905</v>
      </c>
      <c r="E28" s="42">
        <f>SUM(F4:F24)</f>
        <v>277441070</v>
      </c>
      <c r="F28" s="42">
        <f>SUM(G4:G23)</f>
        <v>292115455</v>
      </c>
      <c r="G28" s="42">
        <f>SUM(H4:H22)</f>
        <v>293545239</v>
      </c>
      <c r="H28" s="42">
        <f>SUM(I4:I21)</f>
        <v>280772972</v>
      </c>
      <c r="I28" s="42">
        <f>SUM(J4:J20)</f>
        <v>274470435</v>
      </c>
      <c r="J28" s="42">
        <f>SUM(K4:K19)</f>
        <v>254564289</v>
      </c>
      <c r="K28" s="42">
        <f>SUM(L4:L18)</f>
        <v>233587211</v>
      </c>
      <c r="L28" s="42">
        <f>SUM(M4:M17)</f>
        <v>215088266</v>
      </c>
      <c r="M28" s="42">
        <f>SUM(N4:N16)</f>
        <v>196318410</v>
      </c>
      <c r="N28" s="42">
        <f>SUM(O4:O15)</f>
        <v>177170491</v>
      </c>
      <c r="O28" s="42">
        <f>SUM(P4:P14)</f>
        <v>158643001</v>
      </c>
      <c r="P28" s="42">
        <f>SUM(Q4:Q13)</f>
        <v>143619030</v>
      </c>
      <c r="Q28" s="42">
        <f>SUM(R4:R12)</f>
        <v>129322660</v>
      </c>
      <c r="R28" s="42">
        <f>SUM(S4:S11)</f>
        <v>113609232</v>
      </c>
      <c r="S28" s="42">
        <f>SUM(T4:T10)</f>
        <v>99504954</v>
      </c>
      <c r="T28" s="42">
        <f>SUM(U4:U9)</f>
        <v>88667706</v>
      </c>
      <c r="U28" s="42">
        <f>SUM(V4:V8)</f>
        <v>75619969</v>
      </c>
      <c r="V28" s="42">
        <f>SUM(W4:W7)</f>
        <v>63803989</v>
      </c>
      <c r="W28" s="42">
        <f>SUM(X4:X6)</f>
        <v>44342390</v>
      </c>
      <c r="X28" s="42">
        <f>SUM(Y4:Y5)</f>
        <v>32460648</v>
      </c>
      <c r="Y28" s="42">
        <f>SUM(Z4)</f>
        <v>14725385</v>
      </c>
      <c r="Z28" s="42"/>
      <c r="AA28" s="32"/>
      <c r="AB28" s="28"/>
      <c r="AC28" s="27"/>
    </row>
    <row r="29" spans="1:29" ht="15" customHeight="1" x14ac:dyDescent="0.25">
      <c r="A29" s="35" t="s">
        <v>93</v>
      </c>
      <c r="B29" s="36"/>
      <c r="C29" s="40">
        <f>SUM(C4:C26)</f>
        <v>126499076</v>
      </c>
      <c r="D29" s="40">
        <f>SUM(D4:D25)</f>
        <v>202194042</v>
      </c>
      <c r="E29" s="40">
        <f>SUM(E4:E24)</f>
        <v>236887443</v>
      </c>
      <c r="F29" s="40">
        <f>SUM(F4:F23)</f>
        <v>260134976</v>
      </c>
      <c r="G29" s="40">
        <f>SUM(G4:G22)</f>
        <v>270409670</v>
      </c>
      <c r="H29" s="40">
        <f>SUM(H4:H21)</f>
        <v>259955976</v>
      </c>
      <c r="I29" s="40">
        <f>SUM(I4:I20)</f>
        <v>259373969</v>
      </c>
      <c r="J29" s="40">
        <f>SUM(J4:J19)</f>
        <v>247658971</v>
      </c>
      <c r="K29" s="40">
        <f>SUM(K4:K18)</f>
        <v>228916566</v>
      </c>
      <c r="L29" s="40">
        <f>SUM(L4:L17)</f>
        <v>212898875</v>
      </c>
      <c r="M29" s="40">
        <f>SUM(M4:M16)</f>
        <v>195038595</v>
      </c>
      <c r="N29" s="40">
        <f>SUM(N4:N15)</f>
        <v>176691056</v>
      </c>
      <c r="O29" s="40">
        <f>SUM(O4:O14)</f>
        <v>158440467</v>
      </c>
      <c r="P29" s="40">
        <f>SUM(P4:P13)</f>
        <v>143523066</v>
      </c>
      <c r="Q29" s="40">
        <f>SUM(Q4:Q12)</f>
        <v>129275434</v>
      </c>
      <c r="R29" s="40">
        <f>SUM(R4:R11)</f>
        <v>113593326</v>
      </c>
      <c r="S29" s="40">
        <f>SUM(S4:S10)</f>
        <v>99498096</v>
      </c>
      <c r="T29" s="40">
        <f>SUM(T4:T9)</f>
        <v>88664814</v>
      </c>
      <c r="U29" s="40">
        <f>SUM(U4:U8)</f>
        <v>75619235</v>
      </c>
      <c r="V29" s="40">
        <f>SUM(V4:V7)</f>
        <v>63803796</v>
      </c>
      <c r="W29" s="40">
        <f>SUM(W4:W6)</f>
        <v>44342339</v>
      </c>
      <c r="X29" s="40">
        <f>SUM(X4:X5)</f>
        <v>32460629</v>
      </c>
      <c r="Y29" s="40">
        <f>SUM(Y4)</f>
        <v>14725369</v>
      </c>
      <c r="Z29" s="40"/>
      <c r="AA29" s="32"/>
      <c r="AB29" s="28"/>
      <c r="AC29" s="27"/>
    </row>
    <row r="30" spans="1:29" ht="15" customHeight="1" x14ac:dyDescent="0.25">
      <c r="A30" s="35" t="s">
        <v>37</v>
      </c>
      <c r="B30" s="36"/>
      <c r="C30" s="41">
        <f>Triangulo1!D69</f>
        <v>1.6796730996291283</v>
      </c>
      <c r="D30" s="41">
        <f>Triangulo1!E69</f>
        <v>1.2576672287438593</v>
      </c>
      <c r="E30" s="41">
        <f>Triangulo1!F69</f>
        <v>1.1731657658158374</v>
      </c>
      <c r="F30" s="41">
        <f>Triangulo1!G69</f>
        <v>1.1210929952040893</v>
      </c>
      <c r="G30" s="41">
        <f>Triangulo1!H69</f>
        <v>1.086892782447326</v>
      </c>
      <c r="H30" s="41">
        <f>Triangulo1!I69</f>
        <v>1.0780719461705697</v>
      </c>
      <c r="I30" s="41">
        <f>Triangulo1!J69</f>
        <v>1.0657467039409561</v>
      </c>
      <c r="J30" s="41">
        <f>Triangulo1!K69</f>
        <v>1.0288467043541492</v>
      </c>
      <c r="K30" s="41">
        <f>Triangulo1!L69</f>
        <v>1.0224050141634786</v>
      </c>
      <c r="L30" s="41">
        <f>Triangulo1!M69</f>
        <v>1.0104859687741763</v>
      </c>
      <c r="M30" s="41">
        <f>Triangulo1!N69</f>
        <v>1.0067345314117064</v>
      </c>
      <c r="N30" s="41">
        <f>Triangulo1!O69</f>
        <v>1.0027244309196199</v>
      </c>
      <c r="O30" s="41">
        <f>Triangulo1!P69</f>
        <v>1.0013101638351005</v>
      </c>
      <c r="P30" s="41">
        <f>Triangulo1!Q69</f>
        <v>1.0006656617067455</v>
      </c>
      <c r="Q30" s="41">
        <f>Triangulo1!R69</f>
        <v>1.000374487458352</v>
      </c>
      <c r="R30" s="41">
        <f>Triangulo1!S69</f>
        <v>1.0001464760676515</v>
      </c>
      <c r="S30" s="41">
        <f>Triangulo1!T69</f>
        <v>1.0000713801120527</v>
      </c>
      <c r="T30" s="41">
        <f>Triangulo1!U69</f>
        <v>1.0000340697520711</v>
      </c>
      <c r="U30" s="41">
        <f>Triangulo1!V69</f>
        <v>1.0000101302128652</v>
      </c>
      <c r="V30" s="41">
        <f>Triangulo1!W69</f>
        <v>1.0000035762548798</v>
      </c>
      <c r="W30" s="41">
        <f>Triangulo1!X69</f>
        <v>1.0000013110873434</v>
      </c>
      <c r="X30" s="41">
        <f>Triangulo1!Y69</f>
        <v>1.0000005817567423</v>
      </c>
      <c r="Y30" s="41">
        <f>Triangulo1!Z69</f>
        <v>1.0000010865602078</v>
      </c>
      <c r="Z30" s="41">
        <f>Triangulo1!AA69</f>
        <v>1</v>
      </c>
      <c r="AA30" s="32"/>
      <c r="AB30" s="28"/>
      <c r="AC30" s="27"/>
    </row>
    <row r="31" spans="1:29" ht="15" customHeight="1" x14ac:dyDescent="0.25">
      <c r="A31" s="53" t="s">
        <v>95</v>
      </c>
      <c r="B31" s="53"/>
      <c r="C31" s="45">
        <f>+C30*D31</f>
        <v>3.7326506936931994</v>
      </c>
      <c r="D31" s="45">
        <f t="shared" ref="D31:X31" si="24">+D30*E31</f>
        <v>2.2222483020757839</v>
      </c>
      <c r="E31" s="45">
        <f t="shared" si="24"/>
        <v>1.766960489457402</v>
      </c>
      <c r="F31" s="45">
        <f t="shared" si="24"/>
        <v>1.5061473330911856</v>
      </c>
      <c r="G31" s="45">
        <f t="shared" si="24"/>
        <v>1.3434633340269859</v>
      </c>
      <c r="H31" s="45">
        <f t="shared" si="24"/>
        <v>1.2360587499734308</v>
      </c>
      <c r="I31" s="45">
        <f t="shared" si="24"/>
        <v>1.1465456961050213</v>
      </c>
      <c r="J31" s="45">
        <f t="shared" si="24"/>
        <v>1.0758144424611251</v>
      </c>
      <c r="K31" s="45">
        <f t="shared" si="24"/>
        <v>1.045650861210135</v>
      </c>
      <c r="L31" s="45">
        <f t="shared" si="24"/>
        <v>1.0227364368568514</v>
      </c>
      <c r="M31" s="45">
        <f t="shared" si="24"/>
        <v>1.0121233430856404</v>
      </c>
      <c r="N31" s="45">
        <f t="shared" si="24"/>
        <v>1.0053527633212078</v>
      </c>
      <c r="O31" s="45">
        <f t="shared" si="24"/>
        <v>1.0026211911473797</v>
      </c>
      <c r="P31" s="45">
        <f t="shared" si="24"/>
        <v>1.00130931189918</v>
      </c>
      <c r="Q31" s="45">
        <f t="shared" si="24"/>
        <v>1.0006432220241641</v>
      </c>
      <c r="R31" s="45">
        <f t="shared" si="24"/>
        <v>1.0002686339657612</v>
      </c>
      <c r="S31" s="45">
        <f>+S30*T31</f>
        <v>1.0001221400075218</v>
      </c>
      <c r="T31" s="45">
        <f>+T30*U31</f>
        <v>1.0000507562724807</v>
      </c>
      <c r="U31" s="45">
        <f t="shared" si="24"/>
        <v>1.0000166859519235</v>
      </c>
      <c r="V31" s="45">
        <f t="shared" si="24"/>
        <v>1.0000065556726478</v>
      </c>
      <c r="W31" s="45">
        <f t="shared" si="24"/>
        <v>1.000002979407113</v>
      </c>
      <c r="X31" s="45">
        <f t="shared" si="24"/>
        <v>1.0000016683175823</v>
      </c>
      <c r="Y31" s="45">
        <f>+Y30*Z31</f>
        <v>1.0000010865602078</v>
      </c>
      <c r="Z31" s="45">
        <v>1</v>
      </c>
      <c r="AA31" s="32"/>
      <c r="AB31" s="28"/>
      <c r="AC31" s="27"/>
    </row>
    <row r="32" spans="1:29" ht="15" customHeight="1" x14ac:dyDescent="0.25">
      <c r="A32" s="53" t="s">
        <v>96</v>
      </c>
      <c r="B32" s="53"/>
      <c r="C32" s="43">
        <f>1/C31</f>
        <v>0.26790612946709175</v>
      </c>
      <c r="D32" s="43">
        <f t="shared" ref="D32:Y32" si="25">1/D31</f>
        <v>0.44999471889163251</v>
      </c>
      <c r="E32" s="43">
        <f t="shared" si="25"/>
        <v>0.56594361105781144</v>
      </c>
      <c r="F32" s="43">
        <f t="shared" si="25"/>
        <v>0.66394566987521775</v>
      </c>
      <c r="G32" s="43">
        <f t="shared" si="25"/>
        <v>0.74434483969319343</v>
      </c>
      <c r="H32" s="43">
        <f t="shared" si="25"/>
        <v>0.80902303391444386</v>
      </c>
      <c r="I32" s="43">
        <f t="shared" si="25"/>
        <v>0.87218503666896319</v>
      </c>
      <c r="J32" s="43">
        <f t="shared" si="25"/>
        <v>0.92952832805656938</v>
      </c>
      <c r="K32" s="43">
        <f t="shared" si="25"/>
        <v>0.95634215692482372</v>
      </c>
      <c r="L32" s="43">
        <f t="shared" si="25"/>
        <v>0.97776901649585624</v>
      </c>
      <c r="M32" s="43">
        <f t="shared" si="25"/>
        <v>0.98802187187118884</v>
      </c>
      <c r="N32" s="43">
        <f t="shared" si="25"/>
        <v>0.99467573620275851</v>
      </c>
      <c r="O32" s="43">
        <f t="shared" si="25"/>
        <v>0.99738566153346508</v>
      </c>
      <c r="P32" s="43">
        <f t="shared" si="25"/>
        <v>0.9986924001568539</v>
      </c>
      <c r="Q32" s="43">
        <f t="shared" si="25"/>
        <v>0.99935719144445612</v>
      </c>
      <c r="R32" s="43">
        <f t="shared" si="25"/>
        <v>0.99973143817906585</v>
      </c>
      <c r="S32" s="43">
        <f t="shared" si="25"/>
        <v>0.99987787490883784</v>
      </c>
      <c r="T32" s="43">
        <f t="shared" si="25"/>
        <v>0.99994924630358772</v>
      </c>
      <c r="U32" s="43">
        <f t="shared" si="25"/>
        <v>0.9999833143264929</v>
      </c>
      <c r="V32" s="43">
        <f t="shared" si="25"/>
        <v>0.99999344437032867</v>
      </c>
      <c r="W32" s="43">
        <f t="shared" si="25"/>
        <v>0.99999702060176376</v>
      </c>
      <c r="X32" s="43">
        <f t="shared" si="25"/>
        <v>0.99999833168520103</v>
      </c>
      <c r="Y32" s="43">
        <f t="shared" si="25"/>
        <v>0.9999989134409728</v>
      </c>
      <c r="Z32" s="43">
        <v>1</v>
      </c>
      <c r="AA32" s="32"/>
      <c r="AB32" s="28"/>
      <c r="AC32" s="27"/>
    </row>
    <row r="33" spans="1:29" ht="19.5" customHeight="1" x14ac:dyDescent="0.25">
      <c r="A33" s="54" t="s">
        <v>94</v>
      </c>
      <c r="B33" s="55"/>
      <c r="C33" s="55"/>
      <c r="D33" s="55"/>
      <c r="E33" s="55"/>
      <c r="F33" s="55"/>
      <c r="G33" s="55"/>
      <c r="H33" s="55"/>
      <c r="I33" s="55"/>
      <c r="J33" s="55"/>
      <c r="K33" s="55"/>
      <c r="L33" s="55"/>
      <c r="M33" s="55"/>
      <c r="N33" s="55"/>
      <c r="O33" s="55"/>
      <c r="P33" s="55"/>
      <c r="Q33" s="55"/>
      <c r="R33" s="55"/>
      <c r="S33" s="55"/>
      <c r="T33" s="55"/>
      <c r="U33" s="55"/>
      <c r="V33" s="55"/>
      <c r="W33" s="55"/>
      <c r="X33" s="55"/>
      <c r="Y33" s="55"/>
      <c r="Z33" s="56"/>
      <c r="AA33" s="34">
        <f>+SUM(AA4:AA27)</f>
        <v>482858668.55913633</v>
      </c>
      <c r="AB33" s="34">
        <f>+SUM(AB4:AB27)</f>
        <v>414213831</v>
      </c>
      <c r="AC33" s="34">
        <f>SUM(AC4:AC28)</f>
        <v>68644837.559136406</v>
      </c>
    </row>
  </sheetData>
  <mergeCells count="5">
    <mergeCell ref="A1:AC1"/>
    <mergeCell ref="A2:AC2"/>
    <mergeCell ref="A31:B31"/>
    <mergeCell ref="A32:B32"/>
    <mergeCell ref="A33:Z3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05FC2-70E8-4CED-9F98-5B299840048C}">
  <dimension ref="A1:Y27"/>
  <sheetViews>
    <sheetView showGridLines="0" zoomScale="85" zoomScaleNormal="85" workbookViewId="0">
      <pane xSplit="2" ySplit="3" topLeftCell="L4" activePane="bottomRight" state="frozen"/>
      <selection pane="topRight" activeCell="C1" sqref="C1"/>
      <selection pane="bottomLeft" activeCell="A4" sqref="A4"/>
      <selection pane="bottomRight" activeCell="Y36" sqref="Y36"/>
    </sheetView>
  </sheetViews>
  <sheetFormatPr baseColWidth="10" defaultColWidth="8.7109375" defaultRowHeight="15" x14ac:dyDescent="0.25"/>
  <cols>
    <col min="1" max="2" width="10" style="17" customWidth="1"/>
    <col min="3" max="5" width="14.42578125" style="17" bestFit="1" customWidth="1"/>
    <col min="6" max="6" width="13.28515625" style="17" bestFit="1" customWidth="1"/>
    <col min="7" max="21" width="14.42578125" style="17" bestFit="1" customWidth="1"/>
    <col min="22" max="22" width="12.28515625" style="17" bestFit="1" customWidth="1"/>
    <col min="23" max="23" width="12.7109375" style="17" bestFit="1" customWidth="1"/>
    <col min="24" max="25" width="12" style="17" customWidth="1"/>
    <col min="26" max="16384" width="8.7109375" style="17"/>
  </cols>
  <sheetData>
    <row r="1" spans="1:25" ht="25.5" customHeight="1" x14ac:dyDescent="0.25">
      <c r="A1" s="51" t="s">
        <v>38</v>
      </c>
      <c r="B1" s="51"/>
      <c r="C1" s="51"/>
      <c r="D1" s="51"/>
      <c r="E1" s="51"/>
      <c r="F1" s="51"/>
      <c r="G1" s="51"/>
      <c r="H1" s="51"/>
      <c r="I1" s="51"/>
      <c r="J1" s="51"/>
      <c r="K1" s="51"/>
      <c r="L1" s="51"/>
      <c r="M1" s="51"/>
      <c r="N1" s="51"/>
      <c r="O1" s="51"/>
      <c r="P1" s="51"/>
      <c r="Q1" s="51"/>
      <c r="R1" s="51"/>
      <c r="S1" s="51"/>
      <c r="T1" s="51"/>
      <c r="U1" s="51"/>
      <c r="V1" s="51"/>
      <c r="W1" s="51"/>
      <c r="X1" s="51"/>
      <c r="Y1" s="51"/>
    </row>
    <row r="2" spans="1:25" ht="15.75" customHeight="1" x14ac:dyDescent="0.25">
      <c r="A2" s="52" t="s">
        <v>39</v>
      </c>
      <c r="B2" s="52"/>
      <c r="C2" s="52"/>
      <c r="D2" s="52"/>
      <c r="E2" s="52"/>
      <c r="F2" s="52"/>
      <c r="G2" s="52"/>
      <c r="H2" s="52"/>
      <c r="I2" s="52"/>
      <c r="J2" s="52"/>
      <c r="K2" s="52"/>
      <c r="L2" s="52"/>
      <c r="M2" s="52"/>
      <c r="N2" s="52"/>
      <c r="O2" s="52"/>
      <c r="P2" s="52"/>
      <c r="Q2" s="52"/>
      <c r="R2" s="52"/>
      <c r="S2" s="52"/>
      <c r="T2" s="52"/>
      <c r="U2" s="52"/>
      <c r="V2" s="52"/>
      <c r="W2" s="52"/>
      <c r="X2" s="52"/>
      <c r="Y2" s="52"/>
    </row>
    <row r="3" spans="1:25" ht="31.5" customHeight="1" x14ac:dyDescent="0.25">
      <c r="A3" s="18" t="s">
        <v>40</v>
      </c>
      <c r="B3" s="18" t="s">
        <v>41</v>
      </c>
      <c r="C3" s="19" t="s">
        <v>42</v>
      </c>
      <c r="D3" s="19" t="s">
        <v>43</v>
      </c>
      <c r="E3" s="19" t="s">
        <v>44</v>
      </c>
      <c r="F3" s="19" t="s">
        <v>45</v>
      </c>
      <c r="G3" s="19" t="s">
        <v>46</v>
      </c>
      <c r="H3" s="19" t="s">
        <v>47</v>
      </c>
      <c r="I3" s="19" t="s">
        <v>48</v>
      </c>
      <c r="J3" s="19" t="s">
        <v>49</v>
      </c>
      <c r="K3" s="19" t="s">
        <v>50</v>
      </c>
      <c r="L3" s="19" t="s">
        <v>51</v>
      </c>
      <c r="M3" s="19" t="s">
        <v>52</v>
      </c>
      <c r="N3" s="19" t="s">
        <v>53</v>
      </c>
      <c r="O3" s="19" t="s">
        <v>54</v>
      </c>
      <c r="P3" s="19" t="s">
        <v>55</v>
      </c>
      <c r="Q3" s="19" t="s">
        <v>56</v>
      </c>
      <c r="R3" s="19" t="s">
        <v>57</v>
      </c>
      <c r="S3" s="19" t="s">
        <v>58</v>
      </c>
      <c r="T3" s="19" t="s">
        <v>59</v>
      </c>
      <c r="U3" s="19" t="s">
        <v>60</v>
      </c>
      <c r="V3" s="19" t="s">
        <v>61</v>
      </c>
      <c r="W3" s="20" t="s">
        <v>66</v>
      </c>
      <c r="X3" s="21" t="s">
        <v>67</v>
      </c>
      <c r="Y3" s="22" t="s">
        <v>68</v>
      </c>
    </row>
    <row r="4" spans="1:25" ht="15" customHeight="1" x14ac:dyDescent="0.25">
      <c r="A4" s="29" t="s">
        <v>98</v>
      </c>
      <c r="B4" s="30" t="s">
        <v>7</v>
      </c>
      <c r="C4" s="31">
        <f>IF(Triangulo1!D16=0,"-",Triangulo1!D16)</f>
        <v>6418198</v>
      </c>
      <c r="D4" s="31">
        <f>IF(Triangulo1!E16=0,"-",Triangulo1!E16)</f>
        <v>8351947</v>
      </c>
      <c r="E4" s="31">
        <f>IF(Triangulo1!F16=0,"-",Triangulo1!F16)</f>
        <v>9393090</v>
      </c>
      <c r="F4" s="31">
        <f>IF(Triangulo1!G16=0,"-",Triangulo1!G16)</f>
        <v>11183194</v>
      </c>
      <c r="G4" s="31">
        <f>IF(Triangulo1!H16=0,"-",Triangulo1!H16)</f>
        <v>12100800</v>
      </c>
      <c r="H4" s="31">
        <f>IF(Triangulo1!I16=0,"-",Triangulo1!I16)</f>
        <v>12721118</v>
      </c>
      <c r="I4" s="31">
        <f>IF(Triangulo1!J16=0,"-",Triangulo1!J16)</f>
        <v>13073728</v>
      </c>
      <c r="J4" s="31">
        <f>IF(Triangulo1!K16=0,"-",Triangulo1!K16)</f>
        <v>13548698</v>
      </c>
      <c r="K4" s="31">
        <f>IF(Triangulo1!L16=0,"-",Triangulo1!L16)</f>
        <v>13729852</v>
      </c>
      <c r="L4" s="31">
        <f>IF(Triangulo1!M16=0,"-",Triangulo1!M16)</f>
        <v>14178002</v>
      </c>
      <c r="M4" s="31">
        <f>IF(Triangulo1!N16=0,"-",Triangulo1!N16)</f>
        <v>14403018</v>
      </c>
      <c r="N4" s="31">
        <f>IF(Triangulo1!O16=0,"-",Triangulo1!O16)</f>
        <v>14589694</v>
      </c>
      <c r="O4" s="31">
        <f>IF(Triangulo1!P16=0,"-",Triangulo1!P16)</f>
        <v>14666170</v>
      </c>
      <c r="P4" s="31">
        <f>IF(Triangulo1!Q16=0,"-",Triangulo1!Q16)</f>
        <v>14699145</v>
      </c>
      <c r="Q4" s="31">
        <f>IF(Triangulo1!R16=0,"-",Triangulo1!R16)</f>
        <v>14709918</v>
      </c>
      <c r="R4" s="31">
        <f>IF(Triangulo1!S16=0,"-",Triangulo1!S16)</f>
        <v>14721902</v>
      </c>
      <c r="S4" s="31">
        <f>IF(Triangulo1!T16=0,"-",Triangulo1!T16)</f>
        <v>14723975</v>
      </c>
      <c r="T4" s="31">
        <f>IF(Triangulo1!U16=0,"-",Triangulo1!U16)</f>
        <v>14724778</v>
      </c>
      <c r="U4" s="31">
        <f>IF(Triangulo1!V16=0,"-",Triangulo1!V16)</f>
        <v>14725216</v>
      </c>
      <c r="V4" s="26">
        <f>IF(Triangulo1!W16=0,"-",Triangulo1!W16)</f>
        <v>14725343</v>
      </c>
      <c r="W4" s="32">
        <f>V4</f>
        <v>14725343</v>
      </c>
      <c r="X4" s="28">
        <f>V4</f>
        <v>14725343</v>
      </c>
      <c r="Y4" s="27">
        <f>W4-X4</f>
        <v>0</v>
      </c>
    </row>
    <row r="5" spans="1:25" ht="15" customHeight="1" x14ac:dyDescent="0.25">
      <c r="A5" s="23" t="s">
        <v>69</v>
      </c>
      <c r="B5" s="24" t="s">
        <v>8</v>
      </c>
      <c r="C5" s="25">
        <f>IF(Triangulo1!D17=0,"-",Triangulo1!D17)</f>
        <v>7475822</v>
      </c>
      <c r="D5" s="25">
        <f>IF(Triangulo1!E17=0,"-",Triangulo1!E17)</f>
        <v>10450029</v>
      </c>
      <c r="E5" s="25">
        <f>IF(Triangulo1!F17=0,"-",Triangulo1!F17)</f>
        <v>12515657</v>
      </c>
      <c r="F5" s="25">
        <f>IF(Triangulo1!G17=0,"-",Triangulo1!G17)</f>
        <v>13149304</v>
      </c>
      <c r="G5" s="25">
        <f>IF(Triangulo1!H17=0,"-",Triangulo1!H17)</f>
        <v>14417681</v>
      </c>
      <c r="H5" s="25">
        <f>IF(Triangulo1!I17=0,"-",Triangulo1!I17)</f>
        <v>15145227</v>
      </c>
      <c r="I5" s="25">
        <f>IF(Triangulo1!J17=0,"-",Triangulo1!J17)</f>
        <v>15971980</v>
      </c>
      <c r="J5" s="25">
        <f>IF(Triangulo1!K17=0,"-",Triangulo1!K17)</f>
        <v>16442175</v>
      </c>
      <c r="K5" s="25">
        <f>IF(Triangulo1!L17=0,"-",Triangulo1!L17)</f>
        <v>16761977</v>
      </c>
      <c r="L5" s="25">
        <f>IF(Triangulo1!M17=0,"-",Triangulo1!M17)</f>
        <v>17230340</v>
      </c>
      <c r="M5" s="25">
        <f>IF(Triangulo1!N17=0,"-",Triangulo1!N17)</f>
        <v>17479823</v>
      </c>
      <c r="N5" s="25">
        <f>IF(Triangulo1!O17=0,"-",Triangulo1!O17)</f>
        <v>17658472</v>
      </c>
      <c r="O5" s="25">
        <f>IF(Triangulo1!P17=0,"-",Triangulo1!P17)</f>
        <v>17691106</v>
      </c>
      <c r="P5" s="25">
        <f>IF(Triangulo1!Q17=0,"-",Triangulo1!Q17)</f>
        <v>17707511</v>
      </c>
      <c r="Q5" s="25">
        <f>IF(Triangulo1!R17=0,"-",Triangulo1!R17)</f>
        <v>17727251</v>
      </c>
      <c r="R5" s="25">
        <f>IF(Triangulo1!S17=0,"-",Triangulo1!S17)</f>
        <v>17731572</v>
      </c>
      <c r="S5" s="25">
        <f>IF(Triangulo1!T17=0,"-",Triangulo1!T17)</f>
        <v>17733454</v>
      </c>
      <c r="T5" s="25">
        <f>IF(Triangulo1!U17=0,"-",Triangulo1!U17)</f>
        <v>17734435</v>
      </c>
      <c r="U5" s="26">
        <f>IF(Triangulo1!V17=0,"-",Triangulo1!V17)</f>
        <v>17734974</v>
      </c>
      <c r="V5" s="25">
        <f>U5*U$26</f>
        <v>17735153.659061778</v>
      </c>
      <c r="W5" s="32">
        <f t="shared" ref="W5:W23" si="0">V5</f>
        <v>17735153.659061778</v>
      </c>
      <c r="X5" s="28">
        <f>U5</f>
        <v>17734974</v>
      </c>
      <c r="Y5" s="27">
        <f>W5-X5</f>
        <v>179.65906177833676</v>
      </c>
    </row>
    <row r="6" spans="1:25" ht="15" customHeight="1" x14ac:dyDescent="0.25">
      <c r="A6" s="29" t="s">
        <v>70</v>
      </c>
      <c r="B6" s="30" t="s">
        <v>10</v>
      </c>
      <c r="C6" s="31">
        <f>IF(Triangulo1!D18=0,"-",Triangulo1!D18)</f>
        <v>4944676</v>
      </c>
      <c r="D6" s="31">
        <f>IF(Triangulo1!E18=0,"-",Triangulo1!E18)</f>
        <v>5651989</v>
      </c>
      <c r="E6" s="31">
        <f>IF(Triangulo1!F18=0,"-",Triangulo1!F18)</f>
        <v>6603749</v>
      </c>
      <c r="F6" s="31">
        <f>IF(Triangulo1!G18=0,"-",Triangulo1!G18)</f>
        <v>7627857</v>
      </c>
      <c r="G6" s="31">
        <f>IF(Triangulo1!H18=0,"-",Triangulo1!H18)</f>
        <v>8503366</v>
      </c>
      <c r="H6" s="31">
        <f>IF(Triangulo1!I18=0,"-",Triangulo1!I18)</f>
        <v>9687265</v>
      </c>
      <c r="I6" s="31">
        <f>IF(Triangulo1!J18=0,"-",Triangulo1!J18)</f>
        <v>10329156</v>
      </c>
      <c r="J6" s="31">
        <f>IF(Triangulo1!K18=0,"-",Triangulo1!K18)</f>
        <v>10705380</v>
      </c>
      <c r="K6" s="31">
        <f>IF(Triangulo1!L18=0,"-",Triangulo1!L18)</f>
        <v>11007279</v>
      </c>
      <c r="L6" s="31">
        <f>IF(Triangulo1!M18=0,"-",Triangulo1!M18)</f>
        <v>11432174</v>
      </c>
      <c r="M6" s="31">
        <f>IF(Triangulo1!N18=0,"-",Triangulo1!N18)</f>
        <v>11644639</v>
      </c>
      <c r="N6" s="31">
        <f>IF(Triangulo1!O18=0,"-",Triangulo1!O18)</f>
        <v>11802250</v>
      </c>
      <c r="O6" s="31">
        <f>IF(Triangulo1!P18=0,"-",Triangulo1!P18)</f>
        <v>11840837</v>
      </c>
      <c r="P6" s="31">
        <f>IF(Triangulo1!Q18=0,"-",Triangulo1!Q18)</f>
        <v>11864201</v>
      </c>
      <c r="Q6" s="31">
        <f>IF(Triangulo1!R18=0,"-",Triangulo1!R18)</f>
        <v>11873586</v>
      </c>
      <c r="R6" s="31">
        <f>IF(Triangulo1!S18=0,"-",Triangulo1!S18)</f>
        <v>11878223</v>
      </c>
      <c r="S6" s="31">
        <f>IF(Triangulo1!T18=0,"-",Triangulo1!T18)</f>
        <v>11880065</v>
      </c>
      <c r="T6" s="26">
        <f>IF(Triangulo1!U18=0,"-",Triangulo1!U18)</f>
        <v>11880905</v>
      </c>
      <c r="U6" s="25">
        <f t="shared" ref="T6:AL7" si="1">T6*T$26</f>
        <v>11881309.779487731</v>
      </c>
      <c r="V6" s="25">
        <f>U6*U$26</f>
        <v>11881430.139684916</v>
      </c>
      <c r="W6" s="32">
        <f t="shared" si="0"/>
        <v>11881430.139684916</v>
      </c>
      <c r="X6" s="28">
        <f>T6</f>
        <v>11880905</v>
      </c>
      <c r="Y6" s="27">
        <f>W6-X6</f>
        <v>525.1396849155426</v>
      </c>
    </row>
    <row r="7" spans="1:25" ht="15" customHeight="1" x14ac:dyDescent="0.25">
      <c r="A7" s="23" t="s">
        <v>71</v>
      </c>
      <c r="B7" s="24" t="s">
        <v>11</v>
      </c>
      <c r="C7" s="25">
        <f>IF(Triangulo1!D19=0,"-",Triangulo1!D19)</f>
        <v>5990844</v>
      </c>
      <c r="D7" s="25">
        <f>IF(Triangulo1!E19=0,"-",Triangulo1!E19)</f>
        <v>12990844</v>
      </c>
      <c r="E7" s="25">
        <f>IF(Triangulo1!F19=0,"-",Triangulo1!F19)</f>
        <v>14795084</v>
      </c>
      <c r="F7" s="25">
        <f>IF(Triangulo1!G19=0,"-",Triangulo1!G19)</f>
        <v>15558421</v>
      </c>
      <c r="G7" s="25">
        <f>IF(Triangulo1!H19=0,"-",Triangulo1!H19)</f>
        <v>16698078</v>
      </c>
      <c r="H7" s="25">
        <f>IF(Triangulo1!I19=0,"-",Triangulo1!I19)</f>
        <v>17591115</v>
      </c>
      <c r="I7" s="25">
        <f>IF(Triangulo1!J19=0,"-",Triangulo1!J19)</f>
        <v>17858613</v>
      </c>
      <c r="J7" s="25">
        <f>IF(Triangulo1!K19=0,"-",Triangulo1!K19)</f>
        <v>18161498</v>
      </c>
      <c r="K7" s="25">
        <f>IF(Triangulo1!L19=0,"-",Triangulo1!L19)</f>
        <v>18751439</v>
      </c>
      <c r="L7" s="25">
        <f>IF(Triangulo1!M19=0,"-",Triangulo1!M19)</f>
        <v>18855100</v>
      </c>
      <c r="M7" s="25">
        <f>IF(Triangulo1!N19=0,"-",Triangulo1!N19)</f>
        <v>19152179</v>
      </c>
      <c r="N7" s="25">
        <f>IF(Triangulo1!O19=0,"-",Triangulo1!O19)</f>
        <v>19349458</v>
      </c>
      <c r="O7" s="25">
        <f>IF(Triangulo1!P19=0,"-",Triangulo1!P19)</f>
        <v>19426010</v>
      </c>
      <c r="P7" s="25">
        <f>IF(Triangulo1!Q19=0,"-",Triangulo1!Q19)</f>
        <v>19444545</v>
      </c>
      <c r="Q7" s="25">
        <f>IF(Triangulo1!R19=0,"-",Triangulo1!R19)</f>
        <v>19453256</v>
      </c>
      <c r="R7" s="25">
        <f>IF(Triangulo1!S19=0,"-",Triangulo1!S19)</f>
        <v>19457999</v>
      </c>
      <c r="S7" s="26">
        <f>IF(Triangulo1!T19=0,"-",Triangulo1!T19)</f>
        <v>19459976</v>
      </c>
      <c r="T7" s="25">
        <f t="shared" si="1"/>
        <v>19461365.055267423</v>
      </c>
      <c r="U7" s="25">
        <f t="shared" si="1"/>
        <v>19462028.099149823</v>
      </c>
      <c r="V7" s="25">
        <f t="shared" si="1"/>
        <v>19462225.253637258</v>
      </c>
      <c r="W7" s="32">
        <f t="shared" si="0"/>
        <v>19462225.253637258</v>
      </c>
      <c r="X7" s="28">
        <f>S7</f>
        <v>19459976</v>
      </c>
      <c r="Y7" s="27">
        <f>W7-X7</f>
        <v>2249.2536372579634</v>
      </c>
    </row>
    <row r="8" spans="1:25" ht="15" customHeight="1" x14ac:dyDescent="0.25">
      <c r="A8" s="29" t="s">
        <v>72</v>
      </c>
      <c r="B8" s="30" t="s">
        <v>12</v>
      </c>
      <c r="C8" s="31">
        <f>IF(Triangulo1!D20=0,"-",Triangulo1!D20)</f>
        <v>6106533</v>
      </c>
      <c r="D8" s="31">
        <f>IF(Triangulo1!E20=0,"-",Triangulo1!E20)</f>
        <v>7227067</v>
      </c>
      <c r="E8" s="31">
        <f>IF(Triangulo1!F20=0,"-",Triangulo1!F20)</f>
        <v>8316481</v>
      </c>
      <c r="F8" s="31">
        <f>IF(Triangulo1!G20=0,"-",Triangulo1!G20)</f>
        <v>8778769</v>
      </c>
      <c r="G8" s="31">
        <f>IF(Triangulo1!H20=0,"-",Triangulo1!H20)</f>
        <v>9616196</v>
      </c>
      <c r="H8" s="31">
        <f>IF(Triangulo1!I20=0,"-",Triangulo1!I20)</f>
        <v>9944940</v>
      </c>
      <c r="I8" s="31">
        <f>IF(Triangulo1!J20=0,"-",Triangulo1!J20)</f>
        <v>10596973</v>
      </c>
      <c r="J8" s="31">
        <f>IF(Triangulo1!K20=0,"-",Triangulo1!K20)</f>
        <v>10938865</v>
      </c>
      <c r="K8" s="31">
        <f>IF(Triangulo1!L20=0,"-",Triangulo1!L20)</f>
        <v>11091033</v>
      </c>
      <c r="L8" s="31">
        <f>IF(Triangulo1!M20=0,"-",Triangulo1!M20)</f>
        <v>11574757</v>
      </c>
      <c r="M8" s="31">
        <f>IF(Triangulo1!N20=0,"-",Triangulo1!N20)</f>
        <v>11660948</v>
      </c>
      <c r="N8" s="31">
        <f>IF(Triangulo1!O20=0,"-",Triangulo1!O20)</f>
        <v>11754449</v>
      </c>
      <c r="O8" s="31">
        <f>IF(Triangulo1!P20=0,"-",Triangulo1!P20)</f>
        <v>11785976</v>
      </c>
      <c r="P8" s="31">
        <f>IF(Triangulo1!Q20=0,"-",Triangulo1!Q20)</f>
        <v>11801623</v>
      </c>
      <c r="Q8" s="31">
        <f>IF(Triangulo1!R20=0,"-",Triangulo1!R20)</f>
        <v>11808422</v>
      </c>
      <c r="R8" s="26">
        <f>IF(Triangulo1!S20=0,"-",Triangulo1!S20)</f>
        <v>11812430</v>
      </c>
      <c r="S8" s="25">
        <f t="shared" ref="R8:AJ9" si="2">R8*R$26</f>
        <v>11814160.238295808</v>
      </c>
      <c r="T8" s="25">
        <f t="shared" si="2"/>
        <v>11815003.534377426</v>
      </c>
      <c r="U8" s="25">
        <f t="shared" si="2"/>
        <v>11815406.068618562</v>
      </c>
      <c r="V8" s="25">
        <f t="shared" si="2"/>
        <v>11815525.761197126</v>
      </c>
      <c r="W8" s="32">
        <f t="shared" si="0"/>
        <v>11815525.761197126</v>
      </c>
      <c r="X8" s="28">
        <f>R8</f>
        <v>11812430</v>
      </c>
      <c r="Y8" s="27">
        <f>W8-X8</f>
        <v>3095.7611971255392</v>
      </c>
    </row>
    <row r="9" spans="1:25" ht="15" customHeight="1" x14ac:dyDescent="0.25">
      <c r="A9" s="23" t="s">
        <v>73</v>
      </c>
      <c r="B9" s="24" t="s">
        <v>13</v>
      </c>
      <c r="C9" s="25">
        <f>IF(Triangulo1!D21=0,"-",Triangulo1!D21)</f>
        <v>3511339</v>
      </c>
      <c r="D9" s="25">
        <f>IF(Triangulo1!E21=0,"-",Triangulo1!E21)</f>
        <v>5097855</v>
      </c>
      <c r="E9" s="25">
        <f>IF(Triangulo1!F21=0,"-",Triangulo1!F21)</f>
        <v>6037374</v>
      </c>
      <c r="F9" s="25">
        <f>IF(Triangulo1!G21=0,"-",Triangulo1!G21)</f>
        <v>6436248</v>
      </c>
      <c r="G9" s="25">
        <f>IF(Triangulo1!H21=0,"-",Triangulo1!H21)</f>
        <v>7366573</v>
      </c>
      <c r="H9" s="25">
        <f>IF(Triangulo1!I21=0,"-",Triangulo1!I21)</f>
        <v>8575992</v>
      </c>
      <c r="I9" s="25">
        <f>IF(Triangulo1!J21=0,"-",Triangulo1!J21)</f>
        <v>9082448</v>
      </c>
      <c r="J9" s="25">
        <f>IF(Triangulo1!K21=0,"-",Triangulo1!K21)</f>
        <v>12082448</v>
      </c>
      <c r="K9" s="25">
        <f>IF(Triangulo1!L21=0,"-",Triangulo1!L21)</f>
        <v>12687409</v>
      </c>
      <c r="L9" s="25">
        <f>IF(Triangulo1!M21=0,"-",Triangulo1!M21)</f>
        <v>12838372</v>
      </c>
      <c r="M9" s="25">
        <f>IF(Triangulo1!N21=0,"-",Triangulo1!N21)</f>
        <v>12930641</v>
      </c>
      <c r="N9" s="25">
        <f>IF(Triangulo1!O21=0,"-",Triangulo1!O21)</f>
        <v>12990612</v>
      </c>
      <c r="O9" s="25">
        <f>IF(Triangulo1!P21=0,"-",Triangulo1!P21)</f>
        <v>13017211</v>
      </c>
      <c r="P9" s="25">
        <f>IF(Triangulo1!Q21=0,"-",Triangulo1!Q21)</f>
        <v>13032985</v>
      </c>
      <c r="Q9" s="26">
        <f>IF(Triangulo1!R21=0,"-",Triangulo1!R21)</f>
        <v>13041104</v>
      </c>
      <c r="R9" s="25">
        <f t="shared" si="2"/>
        <v>13045987.729891064</v>
      </c>
      <c r="S9" s="25">
        <f t="shared" si="2"/>
        <v>13047898.654872367</v>
      </c>
      <c r="T9" s="25">
        <f t="shared" si="2"/>
        <v>13048830.015340403</v>
      </c>
      <c r="U9" s="25">
        <f t="shared" si="2"/>
        <v>13049274.585743843</v>
      </c>
      <c r="V9" s="25">
        <f t="shared" si="2"/>
        <v>13049406.777673133</v>
      </c>
      <c r="W9" s="32">
        <f t="shared" si="0"/>
        <v>13049406.777673133</v>
      </c>
      <c r="X9" s="28">
        <f>Q9</f>
        <v>13041104</v>
      </c>
      <c r="Y9" s="27">
        <f t="shared" ref="Y9:Y24" si="3">W9-X9</f>
        <v>8302.7776731327176</v>
      </c>
    </row>
    <row r="10" spans="1:25" ht="15" customHeight="1" x14ac:dyDescent="0.25">
      <c r="A10" s="29" t="s">
        <v>74</v>
      </c>
      <c r="B10" s="30" t="s">
        <v>14</v>
      </c>
      <c r="C10" s="31">
        <f>IF(Triangulo1!D22=0,"-",Triangulo1!D22)</f>
        <v>4141271</v>
      </c>
      <c r="D10" s="31">
        <f>IF(Triangulo1!E22=0,"-",Triangulo1!E22)</f>
        <v>5675304</v>
      </c>
      <c r="E10" s="31">
        <f>IF(Triangulo1!F22=0,"-",Triangulo1!F22)</f>
        <v>6514051</v>
      </c>
      <c r="F10" s="31">
        <f>IF(Triangulo1!G22=0,"-",Triangulo1!G22)</f>
        <v>7799341</v>
      </c>
      <c r="G10" s="31">
        <f>IF(Triangulo1!H22=0,"-",Triangulo1!H22)</f>
        <v>8118940</v>
      </c>
      <c r="H10" s="31">
        <f>IF(Triangulo1!I22=0,"-",Triangulo1!I22)</f>
        <v>8328067</v>
      </c>
      <c r="I10" s="31">
        <f>IF(Triangulo1!J22=0,"-",Triangulo1!J22)</f>
        <v>9073367</v>
      </c>
      <c r="J10" s="31">
        <f>IF(Triangulo1!K22=0,"-",Triangulo1!K22)</f>
        <v>9580777</v>
      </c>
      <c r="K10" s="31">
        <f>IF(Triangulo1!L22=0,"-",Triangulo1!L22)</f>
        <v>10084545</v>
      </c>
      <c r="L10" s="31">
        <f>IF(Triangulo1!M22=0,"-",Triangulo1!M22)</f>
        <v>10574369</v>
      </c>
      <c r="M10" s="31">
        <f>IF(Triangulo1!N22=0,"-",Triangulo1!N22)</f>
        <v>10704764</v>
      </c>
      <c r="N10" s="31">
        <f>IF(Triangulo1!O22=0,"-",Triangulo1!O22)</f>
        <v>10779530</v>
      </c>
      <c r="O10" s="31">
        <f>IF(Triangulo1!P22=0,"-",Triangulo1!P22)</f>
        <v>10810916</v>
      </c>
      <c r="P10" s="26">
        <f>IF(Triangulo1!Q22=0,"-",Triangulo1!Q22)</f>
        <v>10825407</v>
      </c>
      <c r="Q10" s="25">
        <f t="shared" ref="P10:AH11" si="4">P10*P$26</f>
        <v>10832613.058899835</v>
      </c>
      <c r="R10" s="25">
        <f t="shared" si="4"/>
        <v>10836669.736631572</v>
      </c>
      <c r="S10" s="25">
        <f t="shared" si="4"/>
        <v>10838257.049401032</v>
      </c>
      <c r="T10" s="25">
        <f t="shared" si="4"/>
        <v>10839030.685403673</v>
      </c>
      <c r="U10" s="25">
        <f t="shared" si="4"/>
        <v>10839399.968491815</v>
      </c>
      <c r="V10" s="25">
        <f t="shared" si="4"/>
        <v>10839509.773920827</v>
      </c>
      <c r="W10" s="32">
        <f t="shared" si="0"/>
        <v>10839509.773920827</v>
      </c>
      <c r="X10" s="28">
        <f>P10</f>
        <v>10825407</v>
      </c>
      <c r="Y10" s="27">
        <f t="shared" si="3"/>
        <v>14102.773920826614</v>
      </c>
    </row>
    <row r="11" spans="1:25" ht="15" customHeight="1" x14ac:dyDescent="0.25">
      <c r="A11" s="23" t="s">
        <v>75</v>
      </c>
      <c r="B11" s="24" t="s">
        <v>15</v>
      </c>
      <c r="C11" s="25">
        <f>IF(Triangulo1!D23=0,"-",Triangulo1!D23)</f>
        <v>6591656</v>
      </c>
      <c r="D11" s="25">
        <f>IF(Triangulo1!E23=0,"-",Triangulo1!E23)</f>
        <v>9149839</v>
      </c>
      <c r="E11" s="25">
        <f>IF(Triangulo1!F23=0,"-",Triangulo1!F23)</f>
        <v>9876574</v>
      </c>
      <c r="F11" s="25">
        <f>IF(Triangulo1!G23=0,"-",Triangulo1!G23)</f>
        <v>11324778</v>
      </c>
      <c r="G11" s="25">
        <f>IF(Triangulo1!H23=0,"-",Triangulo1!H23)</f>
        <v>11791969</v>
      </c>
      <c r="H11" s="25">
        <f>IF(Triangulo1!I23=0,"-",Triangulo1!I23)</f>
        <v>12446387</v>
      </c>
      <c r="I11" s="25">
        <f>IF(Triangulo1!J23=0,"-",Triangulo1!J23)</f>
        <v>12820241</v>
      </c>
      <c r="J11" s="25">
        <f>IF(Triangulo1!K23=0,"-",Triangulo1!K23)</f>
        <v>13419392</v>
      </c>
      <c r="K11" s="25">
        <f>IF(Triangulo1!L23=0,"-",Triangulo1!L23)</f>
        <v>13586619</v>
      </c>
      <c r="L11" s="25">
        <f>IF(Triangulo1!M23=0,"-",Triangulo1!M23)</f>
        <v>13861205</v>
      </c>
      <c r="M11" s="25">
        <f>IF(Triangulo1!N23=0,"-",Triangulo1!N23)</f>
        <v>13987078</v>
      </c>
      <c r="N11" s="25">
        <f>IF(Triangulo1!O23=0,"-",Triangulo1!O23)</f>
        <v>14043493</v>
      </c>
      <c r="O11" s="26">
        <f>IF(Triangulo1!P23=0,"-",Triangulo1!P23)</f>
        <v>14079323</v>
      </c>
      <c r="P11" s="25">
        <f t="shared" si="4"/>
        <v>14097769.219817299</v>
      </c>
      <c r="Q11" s="25">
        <f t="shared" si="4"/>
        <v>14107153.564937467</v>
      </c>
      <c r="R11" s="25">
        <f t="shared" si="4"/>
        <v>14112436.517020581</v>
      </c>
      <c r="S11" s="25">
        <f t="shared" si="4"/>
        <v>14114503.651226576</v>
      </c>
      <c r="T11" s="25">
        <f t="shared" si="4"/>
        <v>14115511.146078769</v>
      </c>
      <c r="U11" s="25">
        <f t="shared" si="4"/>
        <v>14115992.058043873</v>
      </c>
      <c r="V11" s="25">
        <f t="shared" si="4"/>
        <v>14116135.056048226</v>
      </c>
      <c r="W11" s="32">
        <f t="shared" si="0"/>
        <v>14116135.056048226</v>
      </c>
      <c r="X11" s="28">
        <f>O11</f>
        <v>14079323</v>
      </c>
      <c r="Y11" s="27">
        <f t="shared" si="3"/>
        <v>36812.056048225611</v>
      </c>
    </row>
    <row r="12" spans="1:25" ht="15" customHeight="1" x14ac:dyDescent="0.25">
      <c r="A12" s="29" t="s">
        <v>76</v>
      </c>
      <c r="B12" s="30" t="s">
        <v>16</v>
      </c>
      <c r="C12" s="31">
        <f>IF(Triangulo1!D24=0,"-",Triangulo1!D24)</f>
        <v>6289704</v>
      </c>
      <c r="D12" s="31">
        <f>IF(Triangulo1!E24=0,"-",Triangulo1!E24)</f>
        <v>9074583</v>
      </c>
      <c r="E12" s="31">
        <f>IF(Triangulo1!F24=0,"-",Triangulo1!F24)</f>
        <v>11031640</v>
      </c>
      <c r="F12" s="31">
        <f>IF(Triangulo1!G24=0,"-",Triangulo1!G24)</f>
        <v>12328713</v>
      </c>
      <c r="G12" s="31">
        <f>IF(Triangulo1!H24=0,"-",Triangulo1!H24)</f>
        <v>12743016</v>
      </c>
      <c r="H12" s="31">
        <f>IF(Triangulo1!I24=0,"-",Triangulo1!I24)</f>
        <v>13716063</v>
      </c>
      <c r="I12" s="31">
        <f>IF(Triangulo1!J24=0,"-",Triangulo1!J24)</f>
        <v>13936735</v>
      </c>
      <c r="J12" s="31">
        <f>IF(Triangulo1!K24=0,"-",Triangulo1!K24)</f>
        <v>14684360</v>
      </c>
      <c r="K12" s="31">
        <f>IF(Triangulo1!L24=0,"-",Triangulo1!L24)</f>
        <v>15224487</v>
      </c>
      <c r="L12" s="31">
        <f>IF(Triangulo1!M24=0,"-",Triangulo1!M24)</f>
        <v>15505624</v>
      </c>
      <c r="M12" s="31">
        <f>IF(Triangulo1!N24=0,"-",Triangulo1!N24)</f>
        <v>15616491</v>
      </c>
      <c r="N12" s="26">
        <f>IF(Triangulo1!O24=0,"-",Triangulo1!O24)</f>
        <v>15669883</v>
      </c>
      <c r="O12" s="25">
        <f t="shared" ref="N12:AF13" si="5">N12*N$26</f>
        <v>15712574.513752026</v>
      </c>
      <c r="P12" s="25">
        <f t="shared" si="5"/>
        <v>15733160.560636267</v>
      </c>
      <c r="Q12" s="25">
        <f t="shared" si="5"/>
        <v>15743633.523147563</v>
      </c>
      <c r="R12" s="25">
        <f t="shared" si="5"/>
        <v>15749529.316450872</v>
      </c>
      <c r="S12" s="25">
        <f t="shared" si="5"/>
        <v>15751836.245572507</v>
      </c>
      <c r="T12" s="25">
        <f t="shared" si="5"/>
        <v>15752960.613408752</v>
      </c>
      <c r="U12" s="25">
        <f t="shared" si="5"/>
        <v>15753497.312871236</v>
      </c>
      <c r="V12" s="25">
        <f t="shared" si="5"/>
        <v>15753656.899152387</v>
      </c>
      <c r="W12" s="32">
        <f t="shared" si="0"/>
        <v>15753656.899152387</v>
      </c>
      <c r="X12" s="28">
        <f>N12</f>
        <v>15669883</v>
      </c>
      <c r="Y12" s="27">
        <f t="shared" si="3"/>
        <v>83773.899152386934</v>
      </c>
    </row>
    <row r="13" spans="1:25" ht="15" customHeight="1" x14ac:dyDescent="0.25">
      <c r="A13" s="23" t="s">
        <v>77</v>
      </c>
      <c r="B13" s="24" t="s">
        <v>17</v>
      </c>
      <c r="C13" s="25">
        <f>IF(Triangulo1!D25=0,"-",Triangulo1!D25)</f>
        <v>4959185</v>
      </c>
      <c r="D13" s="25">
        <f>IF(Triangulo1!E25=0,"-",Triangulo1!E25)</f>
        <v>7332815</v>
      </c>
      <c r="E13" s="25">
        <f>IF(Triangulo1!F25=0,"-",Triangulo1!F25)</f>
        <v>8942057</v>
      </c>
      <c r="F13" s="25">
        <f>IF(Triangulo1!G25=0,"-",Triangulo1!G25)</f>
        <v>10413724</v>
      </c>
      <c r="G13" s="25">
        <f>IF(Triangulo1!H25=0,"-",Triangulo1!H25)</f>
        <v>11109326</v>
      </c>
      <c r="H13" s="25">
        <f>IF(Triangulo1!I25=0,"-",Triangulo1!I25)</f>
        <v>11743877</v>
      </c>
      <c r="I13" s="25">
        <f>IF(Triangulo1!J25=0,"-",Triangulo1!J25)</f>
        <v>12264947</v>
      </c>
      <c r="J13" s="25">
        <f>IF(Triangulo1!K25=0,"-",Triangulo1!K25)</f>
        <v>13331758</v>
      </c>
      <c r="K13" s="25">
        <f>IF(Triangulo1!L25=0,"-",Triangulo1!L25)</f>
        <v>13881470</v>
      </c>
      <c r="L13" s="25">
        <f>IF(Triangulo1!M25=0,"-",Triangulo1!M25)</f>
        <v>14105853</v>
      </c>
      <c r="M13" s="26">
        <f>IF(Triangulo1!N25=0,"-",Triangulo1!N25)</f>
        <v>14231236</v>
      </c>
      <c r="N13" s="25">
        <f t="shared" si="5"/>
        <v>14327076.705869408</v>
      </c>
      <c r="O13" s="25">
        <f t="shared" si="5"/>
        <v>14366109.836634645</v>
      </c>
      <c r="P13" s="25">
        <f t="shared" si="5"/>
        <v>14384931.794193685</v>
      </c>
      <c r="Q13" s="25">
        <f t="shared" si="5"/>
        <v>14394507.292443227</v>
      </c>
      <c r="R13" s="25">
        <f t="shared" si="5"/>
        <v>14399897.854893403</v>
      </c>
      <c r="S13" s="25">
        <f t="shared" si="5"/>
        <v>14402007.095305771</v>
      </c>
      <c r="T13" s="25">
        <f t="shared" si="5"/>
        <v>14403035.112186017</v>
      </c>
      <c r="U13" s="25">
        <f t="shared" si="5"/>
        <v>14403525.820021359</v>
      </c>
      <c r="V13" s="25">
        <f t="shared" si="5"/>
        <v>14403671.730803926</v>
      </c>
      <c r="W13" s="32">
        <f t="shared" si="0"/>
        <v>14403671.730803926</v>
      </c>
      <c r="X13" s="28">
        <f>M13</f>
        <v>14231236</v>
      </c>
      <c r="Y13" s="27">
        <f t="shared" si="3"/>
        <v>172435.73080392554</v>
      </c>
    </row>
    <row r="14" spans="1:25" ht="15" customHeight="1" x14ac:dyDescent="0.25">
      <c r="A14" s="29" t="s">
        <v>78</v>
      </c>
      <c r="B14" s="30" t="s">
        <v>18</v>
      </c>
      <c r="C14" s="31">
        <f>IF(Triangulo1!D26=0,"-",Triangulo1!D26)</f>
        <v>6194048</v>
      </c>
      <c r="D14" s="31">
        <f>IF(Triangulo1!E26=0,"-",Triangulo1!E26)</f>
        <v>7741218</v>
      </c>
      <c r="E14" s="31">
        <f>IF(Triangulo1!F26=0,"-",Triangulo1!F26)</f>
        <v>9386858</v>
      </c>
      <c r="F14" s="31">
        <f>IF(Triangulo1!G26=0,"-",Triangulo1!G26)</f>
        <v>9734366</v>
      </c>
      <c r="G14" s="31">
        <f>IF(Triangulo1!H26=0,"-",Triangulo1!H26)</f>
        <v>10964336</v>
      </c>
      <c r="H14" s="31">
        <f>IF(Triangulo1!I26=0,"-",Triangulo1!I26)</f>
        <v>11346897</v>
      </c>
      <c r="I14" s="31">
        <f>IF(Triangulo1!J26=0,"-",Triangulo1!J26)</f>
        <v>13064544</v>
      </c>
      <c r="J14" s="31">
        <f>IF(Triangulo1!K26=0,"-",Triangulo1!K26)</f>
        <v>14121948</v>
      </c>
      <c r="K14" s="31">
        <f>IF(Triangulo1!L26=0,"-",Triangulo1!L26)</f>
        <v>14605429</v>
      </c>
      <c r="L14" s="26">
        <f>IF(Triangulo1!M26=0,"-",Triangulo1!M26)</f>
        <v>14862271</v>
      </c>
      <c r="M14" s="25">
        <f t="shared" ref="L14:AD15" si="6">L14*L$26</f>
        <v>15018116.309619347</v>
      </c>
      <c r="N14" s="25">
        <f t="shared" si="6"/>
        <v>15119256.285651138</v>
      </c>
      <c r="O14" s="25">
        <f t="shared" si="6"/>
        <v>15160447.654957425</v>
      </c>
      <c r="P14" s="25">
        <f t="shared" si="6"/>
        <v>15180310.325198885</v>
      </c>
      <c r="Q14" s="25">
        <f t="shared" si="6"/>
        <v>15190415.276478885</v>
      </c>
      <c r="R14" s="25">
        <f t="shared" si="6"/>
        <v>15196103.896487085</v>
      </c>
      <c r="S14" s="25">
        <f t="shared" si="6"/>
        <v>15198329.762029467</v>
      </c>
      <c r="T14" s="25">
        <f t="shared" si="6"/>
        <v>15199414.620510895</v>
      </c>
      <c r="U14" s="25">
        <f t="shared" si="6"/>
        <v>15199932.460798642</v>
      </c>
      <c r="V14" s="25">
        <f>U14*U$26</f>
        <v>15200086.439350007</v>
      </c>
      <c r="W14" s="32">
        <f t="shared" si="0"/>
        <v>15200086.439350007</v>
      </c>
      <c r="X14" s="28">
        <f>L14</f>
        <v>14862271</v>
      </c>
      <c r="Y14" s="27">
        <f t="shared" si="3"/>
        <v>337815.4393500071</v>
      </c>
    </row>
    <row r="15" spans="1:25" ht="15" customHeight="1" x14ac:dyDescent="0.25">
      <c r="A15" s="23" t="s">
        <v>79</v>
      </c>
      <c r="B15" s="24" t="s">
        <v>19</v>
      </c>
      <c r="C15" s="25">
        <f>IF(Triangulo1!D27=0,"-",Triangulo1!D27)</f>
        <v>6500694</v>
      </c>
      <c r="D15" s="25">
        <f>IF(Triangulo1!E27=0,"-",Triangulo1!E27)</f>
        <v>9436157</v>
      </c>
      <c r="E15" s="25">
        <f>IF(Triangulo1!F27=0,"-",Triangulo1!F27)</f>
        <v>11552953</v>
      </c>
      <c r="F15" s="25">
        <f>IF(Triangulo1!G27=0,"-",Triangulo1!G27)</f>
        <v>12130358</v>
      </c>
      <c r="G15" s="25">
        <f>IF(Triangulo1!H27=0,"-",Triangulo1!H27)</f>
        <v>13369514</v>
      </c>
      <c r="H15" s="25">
        <f>IF(Triangulo1!I27=0,"-",Triangulo1!I27)</f>
        <v>15030308</v>
      </c>
      <c r="I15" s="25">
        <f>IF(Triangulo1!J27=0,"-",Triangulo1!J27)</f>
        <v>16697100</v>
      </c>
      <c r="J15" s="25">
        <f>IF(Triangulo1!K27=0,"-",Triangulo1!K27)</f>
        <v>17828453</v>
      </c>
      <c r="K15" s="26">
        <f>IF(Triangulo1!L27=0,"-",Triangulo1!L27)</f>
        <v>18294564</v>
      </c>
      <c r="L15" s="25">
        <f t="shared" si="6"/>
        <v>18704453.965534665</v>
      </c>
      <c r="M15" s="25">
        <f t="shared" si="6"/>
        <v>18900588.28575528</v>
      </c>
      <c r="N15" s="25">
        <f t="shared" si="6"/>
        <v>19027874.89126543</v>
      </c>
      <c r="O15" s="25">
        <f t="shared" si="6"/>
        <v>19079715.021953855</v>
      </c>
      <c r="P15" s="25">
        <f t="shared" si="6"/>
        <v>19104712.574559644</v>
      </c>
      <c r="Q15" s="25">
        <f t="shared" si="6"/>
        <v>19117429.850138906</v>
      </c>
      <c r="R15" s="25">
        <f t="shared" si="6"/>
        <v>19124589.087853707</v>
      </c>
      <c r="S15" s="25">
        <f t="shared" si="6"/>
        <v>19127390.382458746</v>
      </c>
      <c r="T15" s="25">
        <f t="shared" si="6"/>
        <v>19128755.69772752</v>
      </c>
      <c r="U15" s="25">
        <f t="shared" si="6"/>
        <v>19129407.409691568</v>
      </c>
      <c r="V15" s="25">
        <f t="shared" si="6"/>
        <v>19129601.194660615</v>
      </c>
      <c r="W15" s="32">
        <f t="shared" si="0"/>
        <v>19129601.194660615</v>
      </c>
      <c r="X15" s="28">
        <f>K15</f>
        <v>18294564</v>
      </c>
      <c r="Y15" s="27">
        <f t="shared" si="3"/>
        <v>835037.19466061518</v>
      </c>
    </row>
    <row r="16" spans="1:25" ht="15" customHeight="1" x14ac:dyDescent="0.25">
      <c r="A16" s="29" t="s">
        <v>80</v>
      </c>
      <c r="B16" s="30" t="s">
        <v>20</v>
      </c>
      <c r="C16" s="31">
        <f>IF(Triangulo1!D28=0,"-",Triangulo1!D28)</f>
        <v>5205434</v>
      </c>
      <c r="D16" s="31">
        <f>IF(Triangulo1!E28=0,"-",Triangulo1!E28)</f>
        <v>7752400</v>
      </c>
      <c r="E16" s="31">
        <f>IF(Triangulo1!F28=0,"-",Triangulo1!F28)</f>
        <v>9411446</v>
      </c>
      <c r="F16" s="31">
        <f>IF(Triangulo1!G28=0,"-",Triangulo1!G28)</f>
        <v>10805763</v>
      </c>
      <c r="G16" s="31">
        <f>IF(Triangulo1!H28=0,"-",Triangulo1!H28)</f>
        <v>13284336</v>
      </c>
      <c r="H16" s="31">
        <f>IF(Triangulo1!I28=0,"-",Triangulo1!I28)</f>
        <v>15384835</v>
      </c>
      <c r="I16" s="31">
        <f>IF(Triangulo1!J28=0,"-",Triangulo1!J28)</f>
        <v>17438864</v>
      </c>
      <c r="J16" s="26">
        <f>IF(Triangulo1!K28=0,"-",Triangulo1!K28)</f>
        <v>18514044</v>
      </c>
      <c r="K16" s="25">
        <f t="shared" ref="J16:AB17" si="7">J16*J$26</f>
        <v>19048113.153667711</v>
      </c>
      <c r="L16" s="25">
        <f t="shared" si="7"/>
        <v>19474886.398663178</v>
      </c>
      <c r="M16" s="25">
        <f t="shared" si="7"/>
        <v>19679099.44932019</v>
      </c>
      <c r="N16" s="25">
        <f t="shared" si="7"/>
        <v>19811628.96271573</v>
      </c>
      <c r="O16" s="25">
        <f t="shared" si="7"/>
        <v>19865604.377229791</v>
      </c>
      <c r="P16" s="25">
        <f t="shared" si="7"/>
        <v>19891631.573647253</v>
      </c>
      <c r="Q16" s="25">
        <f t="shared" si="7"/>
        <v>19904872.67107052</v>
      </c>
      <c r="R16" s="25">
        <f t="shared" si="7"/>
        <v>19912326.796245929</v>
      </c>
      <c r="S16" s="25">
        <f t="shared" si="7"/>
        <v>19915243.475572836</v>
      </c>
      <c r="T16" s="25">
        <f t="shared" si="7"/>
        <v>19916665.027883679</v>
      </c>
      <c r="U16" s="25">
        <f t="shared" si="7"/>
        <v>19917343.583723262</v>
      </c>
      <c r="V16" s="25">
        <f t="shared" si="7"/>
        <v>19917545.350653473</v>
      </c>
      <c r="W16" s="32">
        <f t="shared" si="0"/>
        <v>19917545.350653473</v>
      </c>
      <c r="X16" s="28">
        <f>J16</f>
        <v>18514044</v>
      </c>
      <c r="Y16" s="27">
        <f t="shared" si="3"/>
        <v>1403501.3506534733</v>
      </c>
    </row>
    <row r="17" spans="1:25" ht="15" customHeight="1" x14ac:dyDescent="0.25">
      <c r="A17" s="23" t="s">
        <v>81</v>
      </c>
      <c r="B17" s="24" t="s">
        <v>21</v>
      </c>
      <c r="C17" s="25">
        <f>IF(Triangulo1!D29=0,"-",Triangulo1!D29)</f>
        <v>5184519</v>
      </c>
      <c r="D17" s="25">
        <f>IF(Triangulo1!E29=0,"-",Triangulo1!E29)</f>
        <v>7275135</v>
      </c>
      <c r="E17" s="25">
        <f>IF(Triangulo1!F29=0,"-",Triangulo1!F29)</f>
        <v>7974797</v>
      </c>
      <c r="F17" s="25">
        <f>IF(Triangulo1!G29=0,"-",Triangulo1!G29)</f>
        <v>11597296</v>
      </c>
      <c r="G17" s="25">
        <f>IF(Triangulo1!H29=0,"-",Triangulo1!H29)</f>
        <v>14585912</v>
      </c>
      <c r="H17" s="25">
        <f>IF(Triangulo1!I29=0,"-",Triangulo1!I29)</f>
        <v>16285147</v>
      </c>
      <c r="I17" s="26">
        <f>IF(Triangulo1!J29=0,"-",Triangulo1!J29)</f>
        <v>18338971</v>
      </c>
      <c r="J17" s="25">
        <f t="shared" si="7"/>
        <v>19544697.896918777</v>
      </c>
      <c r="K17" s="25">
        <f t="shared" si="7"/>
        <v>20108498.018842354</v>
      </c>
      <c r="L17" s="25">
        <f t="shared" si="7"/>
        <v>20559029.201760799</v>
      </c>
      <c r="M17" s="25">
        <f t="shared" si="7"/>
        <v>20774610.539997842</v>
      </c>
      <c r="N17" s="25">
        <f t="shared" si="7"/>
        <v>20914517.807245426</v>
      </c>
      <c r="O17" s="25">
        <f t="shared" si="7"/>
        <v>20971497.966228426</v>
      </c>
      <c r="P17" s="25">
        <f t="shared" si="7"/>
        <v>20998974.064431664</v>
      </c>
      <c r="Q17" s="25">
        <f t="shared" si="7"/>
        <v>21012952.2773473</v>
      </c>
      <c r="R17" s="25">
        <f t="shared" si="7"/>
        <v>21020821.364438117</v>
      </c>
      <c r="S17" s="25">
        <f t="shared" si="7"/>
        <v>21023900.411690384</v>
      </c>
      <c r="T17" s="25">
        <f t="shared" si="7"/>
        <v>21025401.100057553</v>
      </c>
      <c r="U17" s="25">
        <f t="shared" si="7"/>
        <v>21026117.430260226</v>
      </c>
      <c r="V17" s="25">
        <f t="shared" si="7"/>
        <v>21026330.429305524</v>
      </c>
      <c r="W17" s="32">
        <f t="shared" si="0"/>
        <v>21026330.429305524</v>
      </c>
      <c r="X17" s="28">
        <f>I17</f>
        <v>18338971</v>
      </c>
      <c r="Y17" s="27">
        <f t="shared" si="3"/>
        <v>2687359.4293055236</v>
      </c>
    </row>
    <row r="18" spans="1:25" ht="15" customHeight="1" x14ac:dyDescent="0.25">
      <c r="A18" s="29" t="s">
        <v>82</v>
      </c>
      <c r="B18" s="30" t="s">
        <v>22</v>
      </c>
      <c r="C18" s="31">
        <f>IF(Triangulo1!D30=0,"-",Triangulo1!D30)</f>
        <v>3419011</v>
      </c>
      <c r="D18" s="31">
        <f>IF(Triangulo1!E30=0,"-",Triangulo1!E30)</f>
        <v>4773306</v>
      </c>
      <c r="E18" s="31">
        <f>IF(Triangulo1!F30=0,"-",Triangulo1!F30)</f>
        <v>8697825</v>
      </c>
      <c r="F18" s="31">
        <f>IF(Triangulo1!G30=0,"-",Triangulo1!G30)</f>
        <v>12220494</v>
      </c>
      <c r="G18" s="31">
        <f>IF(Triangulo1!H30=0,"-",Triangulo1!H30)</f>
        <v>14462971</v>
      </c>
      <c r="H18" s="26">
        <f>IF(Triangulo1!I30=0,"-",Triangulo1!I30)</f>
        <v>16656668</v>
      </c>
      <c r="I18" s="25">
        <f t="shared" ref="H18:Z19" si="8">H18*H$26</f>
        <v>17957086.487477049</v>
      </c>
      <c r="J18" s="25">
        <f t="shared" si="8"/>
        <v>19137705.736411344</v>
      </c>
      <c r="K18" s="25">
        <f t="shared" si="8"/>
        <v>19689765.475806307</v>
      </c>
      <c r="L18" s="25">
        <f t="shared" si="8"/>
        <v>20130914.950167321</v>
      </c>
      <c r="M18" s="25">
        <f t="shared" si="8"/>
        <v>20342007.095730375</v>
      </c>
      <c r="N18" s="25">
        <f t="shared" si="8"/>
        <v>20479000.981493726</v>
      </c>
      <c r="O18" s="25">
        <f t="shared" si="8"/>
        <v>20534794.604970634</v>
      </c>
      <c r="P18" s="25">
        <f t="shared" si="8"/>
        <v>20561698.550223283</v>
      </c>
      <c r="Q18" s="25">
        <f t="shared" si="8"/>
        <v>20575385.685573813</v>
      </c>
      <c r="R18" s="25">
        <f t="shared" si="8"/>
        <v>20583090.909463815</v>
      </c>
      <c r="S18" s="25">
        <f t="shared" si="8"/>
        <v>20586105.839680348</v>
      </c>
      <c r="T18" s="25">
        <f t="shared" si="8"/>
        <v>20587575.278221913</v>
      </c>
      <c r="U18" s="25">
        <f t="shared" si="8"/>
        <v>20588276.691807386</v>
      </c>
      <c r="V18" s="25">
        <f t="shared" si="8"/>
        <v>20588485.255432803</v>
      </c>
      <c r="W18" s="32">
        <f t="shared" si="0"/>
        <v>20588485.255432803</v>
      </c>
      <c r="X18" s="28">
        <f>H18</f>
        <v>16656668</v>
      </c>
      <c r="Y18" s="27">
        <f t="shared" si="3"/>
        <v>3931817.2554328032</v>
      </c>
    </row>
    <row r="19" spans="1:25" ht="15" customHeight="1" x14ac:dyDescent="0.25">
      <c r="A19" s="23" t="s">
        <v>83</v>
      </c>
      <c r="B19" s="24" t="s">
        <v>23</v>
      </c>
      <c r="C19" s="25">
        <f>IF(Triangulo1!D31=0,"-",Triangulo1!D31)</f>
        <v>5498188</v>
      </c>
      <c r="D19" s="25">
        <f>IF(Triangulo1!E31=0,"-",Triangulo1!E31)</f>
        <v>10669557</v>
      </c>
      <c r="E19" s="25">
        <f>IF(Triangulo1!F31=0,"-",Triangulo1!F31)</f>
        <v>14420577</v>
      </c>
      <c r="F19" s="25">
        <f>IF(Triangulo1!G31=0,"-",Triangulo1!G31)</f>
        <v>17838126</v>
      </c>
      <c r="G19" s="26">
        <f>IF(Triangulo1!H31=0,"-",Triangulo1!H31)</f>
        <v>20243242</v>
      </c>
      <c r="H19" s="25">
        <f t="shared" si="8"/>
        <v>22002233.623134572</v>
      </c>
      <c r="I19" s="25">
        <f t="shared" si="8"/>
        <v>23719990.822192233</v>
      </c>
      <c r="J19" s="25">
        <f t="shared" si="8"/>
        <v>25279502.0362611</v>
      </c>
      <c r="K19" s="25">
        <f t="shared" si="8"/>
        <v>26008732.357721236</v>
      </c>
      <c r="L19" s="25">
        <f t="shared" si="8"/>
        <v>26591458.374570105</v>
      </c>
      <c r="M19" s="25">
        <f t="shared" si="8"/>
        <v>26870295.576745655</v>
      </c>
      <c r="N19" s="25">
        <f t="shared" si="8"/>
        <v>27051254.426349085</v>
      </c>
      <c r="O19" s="25">
        <f t="shared" si="8"/>
        <v>27124953.700322736</v>
      </c>
      <c r="P19" s="25">
        <f t="shared" si="8"/>
        <v>27160491.833689675</v>
      </c>
      <c r="Q19" s="25">
        <f t="shared" si="8"/>
        <v>27178571.533039737</v>
      </c>
      <c r="R19" s="25">
        <f t="shared" si="8"/>
        <v>27188749.567214783</v>
      </c>
      <c r="S19" s="25">
        <f t="shared" si="8"/>
        <v>27192732.068335749</v>
      </c>
      <c r="T19" s="25">
        <f t="shared" si="8"/>
        <v>27194673.088597804</v>
      </c>
      <c r="U19" s="25">
        <f t="shared" si="8"/>
        <v>27195599.604367588</v>
      </c>
      <c r="V19" s="25">
        <f t="shared" si="8"/>
        <v>27195875.101580579</v>
      </c>
      <c r="W19" s="32">
        <f t="shared" si="0"/>
        <v>27195875.101580579</v>
      </c>
      <c r="X19" s="28">
        <f>G19</f>
        <v>20243242</v>
      </c>
      <c r="Y19" s="27">
        <f t="shared" si="3"/>
        <v>6952633.1015805788</v>
      </c>
    </row>
    <row r="20" spans="1:25" ht="15" customHeight="1" x14ac:dyDescent="0.25">
      <c r="A20" s="29" t="s">
        <v>84</v>
      </c>
      <c r="B20" s="30" t="s">
        <v>24</v>
      </c>
      <c r="C20" s="31">
        <f>IF(Triangulo1!D32=0,"-",Triangulo1!D32)</f>
        <v>6382667</v>
      </c>
      <c r="D20" s="31">
        <f>IF(Triangulo1!E32=0,"-",Triangulo1!E32)</f>
        <v>10460689</v>
      </c>
      <c r="E20" s="31">
        <f>IF(Triangulo1!F32=0,"-",Triangulo1!F32)</f>
        <v>15242265</v>
      </c>
      <c r="F20" s="26">
        <f>IF(Triangulo1!G32=0,"-",Triangulo1!G32)</f>
        <v>19075882</v>
      </c>
      <c r="G20" s="25">
        <f t="shared" ref="F20:X21" si="9">F20*F$26</f>
        <v>21385837.687539775</v>
      </c>
      <c r="H20" s="25">
        <f t="shared" si="9"/>
        <v>23244112.629176993</v>
      </c>
      <c r="I20" s="25">
        <f t="shared" si="9"/>
        <v>25058825.739144757</v>
      </c>
      <c r="J20" s="25">
        <f t="shared" si="9"/>
        <v>26706360.936124317</v>
      </c>
      <c r="K20" s="25">
        <f t="shared" si="9"/>
        <v>27476751.434423894</v>
      </c>
      <c r="L20" s="25">
        <f t="shared" si="9"/>
        <v>28092368.439478543</v>
      </c>
      <c r="M20" s="25">
        <f t="shared" si="9"/>
        <v>28386944.13772757</v>
      </c>
      <c r="N20" s="25">
        <f t="shared" si="9"/>
        <v>28578116.904705454</v>
      </c>
      <c r="O20" s="25">
        <f t="shared" si="9"/>
        <v>28655976.010025147</v>
      </c>
      <c r="P20" s="25">
        <f t="shared" si="9"/>
        <v>28693520.033452991</v>
      </c>
      <c r="Q20" s="25">
        <f t="shared" si="9"/>
        <v>28712620.210970998</v>
      </c>
      <c r="R20" s="25">
        <f t="shared" si="9"/>
        <v>28723372.727136429</v>
      </c>
      <c r="S20" s="25">
        <f t="shared" si="9"/>
        <v>28727580.013823189</v>
      </c>
      <c r="T20" s="25">
        <f t="shared" si="9"/>
        <v>28729630.591703579</v>
      </c>
      <c r="U20" s="25">
        <f t="shared" si="9"/>
        <v>28730609.403094932</v>
      </c>
      <c r="V20" s="25">
        <f>U20*U$26</f>
        <v>28730900.450283933</v>
      </c>
      <c r="W20" s="32">
        <f t="shared" si="0"/>
        <v>28730900.450283933</v>
      </c>
      <c r="X20" s="28">
        <f>F20</f>
        <v>19075882</v>
      </c>
      <c r="Y20" s="27">
        <f t="shared" si="3"/>
        <v>9655018.4502839334</v>
      </c>
    </row>
    <row r="21" spans="1:25" ht="15" customHeight="1" x14ac:dyDescent="0.25">
      <c r="A21" s="23" t="s">
        <v>85</v>
      </c>
      <c r="B21" s="24" t="s">
        <v>25</v>
      </c>
      <c r="C21" s="25">
        <f>IF(Triangulo1!D33=0,"-",Triangulo1!D33)</f>
        <v>3022770</v>
      </c>
      <c r="D21" s="25">
        <f>IF(Triangulo1!E33=0,"-",Triangulo1!E33)</f>
        <v>7899209</v>
      </c>
      <c r="E21" s="26">
        <f>IF(Triangulo1!F33=0,"-",Triangulo1!F33)</f>
        <v>11259161</v>
      </c>
      <c r="F21" s="25">
        <f t="shared" si="9"/>
        <v>13191532.515179699</v>
      </c>
      <c r="G21" s="25">
        <f t="shared" si="9"/>
        <v>14788934.698774943</v>
      </c>
      <c r="H21" s="25">
        <f t="shared" si="9"/>
        <v>16073986.384183304</v>
      </c>
      <c r="I21" s="25">
        <f t="shared" si="9"/>
        <v>17328913.783915732</v>
      </c>
      <c r="J21" s="25">
        <f t="shared" si="9"/>
        <v>18468232.748085193</v>
      </c>
      <c r="K21" s="25">
        <f t="shared" si="9"/>
        <v>19000980.398112822</v>
      </c>
      <c r="L21" s="25">
        <f t="shared" si="9"/>
        <v>19426697.63305252</v>
      </c>
      <c r="M21" s="25">
        <f t="shared" si="9"/>
        <v>19630405.377818074</v>
      </c>
      <c r="N21" s="25">
        <f t="shared" si="9"/>
        <v>19762606.959459521</v>
      </c>
      <c r="O21" s="25">
        <f t="shared" si="9"/>
        <v>19816448.816912167</v>
      </c>
      <c r="P21" s="25">
        <f t="shared" si="9"/>
        <v>19842411.611492205</v>
      </c>
      <c r="Q21" s="25">
        <f t="shared" si="9"/>
        <v>19855619.945071459</v>
      </c>
      <c r="R21" s="25">
        <f t="shared" si="9"/>
        <v>19863055.62571869</v>
      </c>
      <c r="S21" s="25">
        <f t="shared" si="9"/>
        <v>19865965.08799829</v>
      </c>
      <c r="T21" s="25">
        <f t="shared" si="9"/>
        <v>19867383.122812305</v>
      </c>
      <c r="U21" s="25">
        <f t="shared" si="9"/>
        <v>19868059.999629602</v>
      </c>
      <c r="V21" s="25">
        <f t="shared" si="9"/>
        <v>19868261.267306618</v>
      </c>
      <c r="W21" s="32">
        <f t="shared" si="0"/>
        <v>19868261.267306618</v>
      </c>
      <c r="X21" s="28">
        <f>E21</f>
        <v>11259161</v>
      </c>
      <c r="Y21" s="27">
        <f t="shared" si="3"/>
        <v>8609100.2673066184</v>
      </c>
    </row>
    <row r="22" spans="1:25" ht="15" customHeight="1" x14ac:dyDescent="0.25">
      <c r="A22" s="29" t="s">
        <v>86</v>
      </c>
      <c r="B22" s="30" t="s">
        <v>26</v>
      </c>
      <c r="C22" s="31">
        <f>IF(Triangulo1!D34=0,"-",Triangulo1!D34)</f>
        <v>6936281</v>
      </c>
      <c r="D22" s="26">
        <f>IF(Triangulo1!E34=0,"-",Triangulo1!E34)</f>
        <v>21936281</v>
      </c>
      <c r="E22" s="25">
        <f t="shared" ref="E22:V23" si="10">D22*D$26</f>
        <v>27295307.3257288</v>
      </c>
      <c r="F22" s="25">
        <f t="shared" si="10"/>
        <v>31979908.103203613</v>
      </c>
      <c r="G22" s="25">
        <f t="shared" si="10"/>
        <v>35852450.961772069</v>
      </c>
      <c r="H22" s="25">
        <f t="shared" si="10"/>
        <v>38967770.183396757</v>
      </c>
      <c r="I22" s="25">
        <f t="shared" si="10"/>
        <v>42010059.839542039</v>
      </c>
      <c r="J22" s="25">
        <f t="shared" si="10"/>
        <v>44772082.806354254</v>
      </c>
      <c r="K22" s="25">
        <f t="shared" si="10"/>
        <v>46063609.842388637</v>
      </c>
      <c r="L22" s="25">
        <f t="shared" si="10"/>
        <v>47095665.67332831</v>
      </c>
      <c r="M22" s="25">
        <f t="shared" si="10"/>
        <v>47589509.352977879</v>
      </c>
      <c r="N22" s="25">
        <f t="shared" si="10"/>
        <v>47910002.398583204</v>
      </c>
      <c r="O22" s="25">
        <f t="shared" si="10"/>
        <v>48040529.890476972</v>
      </c>
      <c r="P22" s="25">
        <f t="shared" si="10"/>
        <v>48103470.855358541</v>
      </c>
      <c r="Q22" s="25">
        <f t="shared" si="10"/>
        <v>48135491.4938685</v>
      </c>
      <c r="R22" s="25">
        <f t="shared" si="10"/>
        <v>48153517.631734565</v>
      </c>
      <c r="S22" s="25">
        <f t="shared" si="10"/>
        <v>48160570.969640851</v>
      </c>
      <c r="T22" s="25">
        <f t="shared" si="10"/>
        <v>48164008.676593184</v>
      </c>
      <c r="U22" s="25">
        <f t="shared" si="10"/>
        <v>48165649.612427548</v>
      </c>
      <c r="V22" s="25">
        <f>U22*U$26</f>
        <v>48166137.540710911</v>
      </c>
      <c r="W22" s="32">
        <f t="shared" si="0"/>
        <v>48166137.540710911</v>
      </c>
      <c r="X22" s="28">
        <f>D22</f>
        <v>21936281</v>
      </c>
      <c r="Y22" s="27">
        <f t="shared" si="3"/>
        <v>26229856.540710911</v>
      </c>
    </row>
    <row r="23" spans="1:25" ht="15" customHeight="1" x14ac:dyDescent="0.25">
      <c r="A23" s="23" t="s">
        <v>87</v>
      </c>
      <c r="B23" s="24" t="s">
        <v>27</v>
      </c>
      <c r="C23" s="26">
        <f>IF(Triangulo1!D35=0,"-",Triangulo1!D35)</f>
        <v>6691248</v>
      </c>
      <c r="D23" s="25">
        <f>C23*C$26</f>
        <v>10849202.95121407</v>
      </c>
      <c r="E23" s="25">
        <f t="shared" si="10"/>
        <v>13499659.709528334</v>
      </c>
      <c r="F23" s="25">
        <f t="shared" si="10"/>
        <v>15816560.399314333</v>
      </c>
      <c r="G23" s="25">
        <f t="shared" si="10"/>
        <v>17731835.071893692</v>
      </c>
      <c r="H23" s="25">
        <f t="shared" si="10"/>
        <v>19272603.559187617</v>
      </c>
      <c r="I23" s="25">
        <f t="shared" si="10"/>
        <v>20777253.226827241</v>
      </c>
      <c r="J23" s="25">
        <f t="shared" si="10"/>
        <v>22143289.143437725</v>
      </c>
      <c r="K23" s="25">
        <f t="shared" si="10"/>
        <v>22782050.058786914</v>
      </c>
      <c r="L23" s="25">
        <f t="shared" si="10"/>
        <v>23292482.213027112</v>
      </c>
      <c r="M23" s="25">
        <f t="shared" si="10"/>
        <v>23536726.45418597</v>
      </c>
      <c r="N23" s="25">
        <f t="shared" si="10"/>
        <v>23695235.277820427</v>
      </c>
      <c r="O23" s="25">
        <f t="shared" si="10"/>
        <v>23759791.30945899</v>
      </c>
      <c r="P23" s="25">
        <f t="shared" si="10"/>
        <v>23790920.528762177</v>
      </c>
      <c r="Q23" s="25">
        <f t="shared" si="10"/>
        <v>23806757.233526401</v>
      </c>
      <c r="R23" s="25">
        <f t="shared" si="10"/>
        <v>23815672.565534387</v>
      </c>
      <c r="S23" s="25">
        <f t="shared" si="10"/>
        <v>23819160.991600264</v>
      </c>
      <c r="T23" s="25">
        <f t="shared" si="10"/>
        <v>23820861.205980845</v>
      </c>
      <c r="U23" s="25">
        <f t="shared" si="10"/>
        <v>23821672.776816253</v>
      </c>
      <c r="V23" s="25">
        <f t="shared" si="10"/>
        <v>23821914.095432289</v>
      </c>
      <c r="W23" s="32">
        <f t="shared" si="0"/>
        <v>23821914.095432289</v>
      </c>
      <c r="X23" s="28">
        <f>C23</f>
        <v>6691248</v>
      </c>
      <c r="Y23" s="27">
        <f>W23-X23</f>
        <v>17130666.095432289</v>
      </c>
    </row>
    <row r="24" spans="1:25" ht="15" customHeight="1" x14ac:dyDescent="0.25">
      <c r="A24" s="33" t="s">
        <v>92</v>
      </c>
      <c r="B24" s="37"/>
      <c r="C24" s="42">
        <f>SUM(D4:D22)</f>
        <v>168946224</v>
      </c>
      <c r="D24" s="42">
        <f>SUM(E4:E21)</f>
        <v>181971639</v>
      </c>
      <c r="E24" s="42">
        <f>SUM(F4:F20)</f>
        <v>198002634</v>
      </c>
      <c r="F24" s="42">
        <f>SUM(G4:G19)</f>
        <v>199376256</v>
      </c>
      <c r="G24" s="42">
        <f>SUM(H4:H18)</f>
        <v>194603906</v>
      </c>
      <c r="H24" s="42">
        <f>SUM(I4:I17)</f>
        <v>190547667</v>
      </c>
      <c r="I24" s="42">
        <f>SUM(J4:J16)</f>
        <v>183359796</v>
      </c>
      <c r="J24" s="42">
        <f>SUM(K4:K15)</f>
        <v>169706103</v>
      </c>
      <c r="K24" s="42">
        <f>SUM(L4:L14)</f>
        <v>155018067</v>
      </c>
      <c r="L24" s="42">
        <f>SUM(M4:M13)</f>
        <v>141810817</v>
      </c>
      <c r="M24" s="42">
        <f>SUM(N4:N12)</f>
        <v>128637841</v>
      </c>
      <c r="N24" s="42">
        <f>SUM(O4:O11)</f>
        <v>113317549</v>
      </c>
      <c r="O24" s="42">
        <f>SUM(P4:P10)</f>
        <v>99375417</v>
      </c>
      <c r="P24" s="42">
        <f>SUM(Q4:Q9)</f>
        <v>88613537</v>
      </c>
      <c r="Q24" s="42">
        <f>SUM(R4:R8)</f>
        <v>75602126</v>
      </c>
      <c r="R24" s="42">
        <f>SUM(S4:S7)</f>
        <v>63797470</v>
      </c>
      <c r="S24" s="42">
        <f>SUM(T4:T6)</f>
        <v>44340118</v>
      </c>
      <c r="T24" s="42">
        <f>SUM(U4:U5)</f>
        <v>32460190</v>
      </c>
      <c r="U24" s="42">
        <f>SUM(V4)</f>
        <v>14725343</v>
      </c>
      <c r="V24" s="42">
        <f>V4</f>
        <v>14725343</v>
      </c>
      <c r="W24" s="32"/>
      <c r="X24" s="28"/>
      <c r="Y24" s="27"/>
    </row>
    <row r="25" spans="1:25" ht="15" customHeight="1" x14ac:dyDescent="0.25">
      <c r="A25" s="35" t="s">
        <v>93</v>
      </c>
      <c r="B25" s="36"/>
      <c r="C25" s="40">
        <f>SUM(C4:C22)</f>
        <v>104772840</v>
      </c>
      <c r="D25" s="40">
        <f>SUM(D4:D21)</f>
        <v>147009943</v>
      </c>
      <c r="E25" s="40">
        <f>SUM(E4:E20)</f>
        <v>170712478</v>
      </c>
      <c r="F25" s="40">
        <f>SUM(F4:F19)</f>
        <v>178926752</v>
      </c>
      <c r="G25" s="40">
        <f>SUM(G4:G18)</f>
        <v>179133014</v>
      </c>
      <c r="H25" s="40">
        <f>SUM(H4:H17)</f>
        <v>177947238</v>
      </c>
      <c r="I25" s="40">
        <f>SUM(I4:I16)</f>
        <v>172208696</v>
      </c>
      <c r="J25" s="40">
        <f>SUM(J4:J15)</f>
        <v>164845752</v>
      </c>
      <c r="K25" s="40">
        <f>SUM(K4:K14)</f>
        <v>151411539</v>
      </c>
      <c r="L25" s="40">
        <f>SUM(L4:L13)</f>
        <v>140155796</v>
      </c>
      <c r="M25" s="40">
        <f>SUM(M4:M12)</f>
        <v>127579581</v>
      </c>
      <c r="N25" s="25">
        <f t="shared" ref="N25:O25" si="11">M25*M$26</f>
        <v>128438769.69573684</v>
      </c>
      <c r="O25" s="25">
        <f t="shared" si="11"/>
        <v>128788692.25117385</v>
      </c>
      <c r="P25" s="40">
        <f>SUM(P4:P9)</f>
        <v>88550010</v>
      </c>
      <c r="Q25" s="40">
        <f>SUM(Q4:Q8)</f>
        <v>75572433</v>
      </c>
      <c r="R25" s="40">
        <f>SUM(R4:R7)</f>
        <v>63789696</v>
      </c>
      <c r="S25" s="40">
        <f>SUM(S4:S6)</f>
        <v>44337494</v>
      </c>
      <c r="T25" s="40">
        <f>SUM(T4:T5)</f>
        <v>32459213</v>
      </c>
      <c r="U25" s="40">
        <f>SUM(U4)</f>
        <v>14725216</v>
      </c>
      <c r="V25" s="40">
        <f>SUM(V4)</f>
        <v>14725343</v>
      </c>
      <c r="W25" s="32"/>
      <c r="X25" s="28"/>
      <c r="Y25" s="27"/>
    </row>
    <row r="26" spans="1:25" ht="15" customHeight="1" x14ac:dyDescent="0.25">
      <c r="A26" s="35" t="s">
        <v>37</v>
      </c>
      <c r="B26" s="36"/>
      <c r="C26" s="41">
        <f>Triangulo1!D70</f>
        <v>1.6214020091938111</v>
      </c>
      <c r="D26" s="41">
        <f>Triangulo1!E70</f>
        <v>1.2442996753063476</v>
      </c>
      <c r="E26" s="41">
        <f>Triangulo1!F70</f>
        <v>1.1716265994579613</v>
      </c>
      <c r="F26" s="41">
        <f>Triangulo1!G70</f>
        <v>1.1210929952040893</v>
      </c>
      <c r="G26" s="41">
        <f>Triangulo1!H70</f>
        <v>1.086892782447326</v>
      </c>
      <c r="H26" s="41">
        <f>Triangulo1!I70</f>
        <v>1.0780719461705697</v>
      </c>
      <c r="I26" s="41">
        <f>Triangulo1!J70</f>
        <v>1.0657467039409561</v>
      </c>
      <c r="J26" s="41">
        <f>Triangulo1!K70</f>
        <v>1.0288467043541492</v>
      </c>
      <c r="K26" s="41">
        <f>Triangulo1!L70</f>
        <v>1.0224050141634786</v>
      </c>
      <c r="L26" s="41">
        <f>Triangulo1!M70</f>
        <v>1.0104859687741763</v>
      </c>
      <c r="M26" s="41">
        <f>Triangulo1!N70</f>
        <v>1.0067345314117064</v>
      </c>
      <c r="N26" s="41">
        <f>Triangulo1!O70</f>
        <v>1.0027244309196199</v>
      </c>
      <c r="O26" s="41">
        <f>Triangulo1!P70</f>
        <v>1.0013101638351005</v>
      </c>
      <c r="P26" s="41">
        <f>Triangulo1!Q70</f>
        <v>1.0006656617067455</v>
      </c>
      <c r="Q26" s="41">
        <f>Triangulo1!R70</f>
        <v>1.000374487458352</v>
      </c>
      <c r="R26" s="41">
        <f>Triangulo1!S70</f>
        <v>1.0001464760676515</v>
      </c>
      <c r="S26" s="41">
        <f>Triangulo1!T70</f>
        <v>1.0000713801120527</v>
      </c>
      <c r="T26" s="41">
        <f>Triangulo1!U70</f>
        <v>1.0000340697520711</v>
      </c>
      <c r="U26" s="41">
        <f>Triangulo1!V70</f>
        <v>1.0000101302128652</v>
      </c>
      <c r="V26" s="41">
        <f>Triangulo1!W70</f>
        <v>1</v>
      </c>
      <c r="W26" s="32"/>
      <c r="X26" s="28"/>
      <c r="Y26" s="27"/>
    </row>
    <row r="27" spans="1:25" ht="19.5" customHeight="1" x14ac:dyDescent="0.25">
      <c r="A27" s="54" t="s">
        <v>94</v>
      </c>
      <c r="B27" s="55"/>
      <c r="C27" s="55"/>
      <c r="D27" s="55"/>
      <c r="E27" s="55"/>
      <c r="F27" s="55"/>
      <c r="G27" s="55"/>
      <c r="H27" s="55"/>
      <c r="I27" s="55"/>
      <c r="J27" s="55"/>
      <c r="K27" s="55"/>
      <c r="L27" s="55"/>
      <c r="M27" s="55"/>
      <c r="N27" s="55"/>
      <c r="O27" s="55"/>
      <c r="P27" s="55"/>
      <c r="Q27" s="55"/>
      <c r="R27" s="55"/>
      <c r="S27" s="55"/>
      <c r="T27" s="55"/>
      <c r="U27" s="55"/>
      <c r="V27" s="55"/>
      <c r="W27" s="34">
        <f>+SUM(W4:W23)</f>
        <v>387427195.17589635</v>
      </c>
      <c r="X27" s="34">
        <f>+SUM(X4:X23)</f>
        <v>309332913</v>
      </c>
      <c r="Y27" s="34">
        <f>SUM(Y4:Y24)</f>
        <v>78094282.175896317</v>
      </c>
    </row>
  </sheetData>
  <mergeCells count="3">
    <mergeCell ref="A1:Y1"/>
    <mergeCell ref="A2:Y2"/>
    <mergeCell ref="A27:V2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Nombre Equipo</vt:lpstr>
      <vt:lpstr>Triangulo1</vt:lpstr>
      <vt:lpstr>ultimos8_corte2024_promedio_pro</vt:lpstr>
      <vt:lpstr>ultimos8_corte2023_promedio</vt:lpstr>
      <vt:lpstr>todo_corte2024_promedo_prom</vt:lpstr>
      <vt:lpstr>todo_corte2023_promedo_prom</vt:lpstr>
      <vt:lpstr>todo_corte2024_promedio_simple</vt:lpstr>
      <vt:lpstr>todo_corte2023_promedo_simple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Karla Eugenia Medina Diaz</dc:creator>
  <cp:lastModifiedBy>Alejandro Favila Limon</cp:lastModifiedBy>
  <dcterms:created xsi:type="dcterms:W3CDTF">2026-09-04T01:46:11Z</dcterms:created>
  <dcterms:modified xsi:type="dcterms:W3CDTF">2026-09-12T16:42:39Z</dcterms:modified>
</cp:coreProperties>
</file>