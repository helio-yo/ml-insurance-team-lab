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ec\Desktop\Diplomado\ml-insurance-team-lab\M4\m4t3_sesion3\"/>
    </mc:Choice>
  </mc:AlternateContent>
  <xr:revisionPtr revIDLastSave="0" documentId="13_ncr:1_{747EE1ED-0A18-465E-AAB5-122033A2F368}" xr6:coauthVersionLast="47" xr6:coauthVersionMax="47" xr10:uidLastSave="{00000000-0000-0000-0000-000000000000}"/>
  <bookViews>
    <workbookView xWindow="-120" yWindow="-120" windowWidth="29040" windowHeight="15720" firstSheet="1" activeTab="1" xr2:uid="{EBE4BF15-7C9B-437D-9962-39D9A1B5233E}"/>
  </bookViews>
  <sheets>
    <sheet name="Nombre Equipo" sheetId="3" r:id="rId1"/>
    <sheet name="Triangulo1" sheetId="2" r:id="rId2"/>
    <sheet name="1_CL" sheetId="6" r:id="rId3"/>
    <sheet name="1_BF" sheetId="7" r:id="rId4"/>
    <sheet name="1_CC" sheetId="8" r:id="rId5"/>
    <sheet name="1_Duration" sheetId="12" r:id="rId6"/>
    <sheet name="1_Validacion_BT" sheetId="14" r:id="rId7"/>
    <sheet name="Triangulo2" sheetId="1" r:id="rId8"/>
    <sheet name="2_CL" sheetId="9" r:id="rId9"/>
    <sheet name="2_BF" sheetId="10" r:id="rId10"/>
    <sheet name="2_CC" sheetId="11" r:id="rId11"/>
    <sheet name="2_Duration" sheetId="13" r:id="rId12"/>
    <sheet name="2_Validacion_BT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2" i="13" l="1" a="1"/>
  <c r="D52" i="13" s="1"/>
  <c r="D51" i="13" a="1"/>
  <c r="D51" i="13" s="1"/>
  <c r="D50" i="13" a="1"/>
  <c r="D50" i="13" s="1"/>
  <c r="D49" i="13" a="1"/>
  <c r="D49" i="13" s="1"/>
  <c r="D48" i="13" a="1"/>
  <c r="D48" i="13" s="1"/>
  <c r="D52" i="12" a="1"/>
  <c r="D52" i="12" s="1"/>
  <c r="D51" i="12" a="1"/>
  <c r="D51" i="12" s="1"/>
  <c r="D50" i="12" a="1"/>
  <c r="D50" i="12" s="1"/>
  <c r="D49" i="12" a="1"/>
  <c r="D49" i="12" s="1"/>
  <c r="D48" i="12" a="1"/>
  <c r="D48" i="12" s="1"/>
  <c r="C52" i="12"/>
  <c r="C51" i="12"/>
  <c r="C50" i="12"/>
  <c r="C49" i="12"/>
  <c r="C52" i="13"/>
  <c r="C51" i="13"/>
  <c r="C50" i="13"/>
  <c r="C49" i="13"/>
  <c r="F45" i="14"/>
  <c r="F51" i="15"/>
  <c r="F50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R85" i="15"/>
  <c r="R86" i="15"/>
  <c r="Q86" i="15"/>
  <c r="Q85" i="15"/>
  <c r="P86" i="15"/>
  <c r="P85" i="15"/>
  <c r="O86" i="15"/>
  <c r="O85" i="15"/>
  <c r="N86" i="15"/>
  <c r="N85" i="15"/>
  <c r="M86" i="15"/>
  <c r="M85" i="15"/>
  <c r="L86" i="15"/>
  <c r="L85" i="15"/>
  <c r="K86" i="15"/>
  <c r="K85" i="15"/>
  <c r="J85" i="15"/>
  <c r="J86" i="15"/>
  <c r="I86" i="15"/>
  <c r="I85" i="15"/>
  <c r="N86" i="14"/>
  <c r="N85" i="14"/>
  <c r="B12" i="13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12" i="12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C6" i="13"/>
  <c r="C6" i="12"/>
  <c r="C48" i="12" s="1"/>
  <c r="AI74" i="15"/>
  <c r="AI73" i="15"/>
  <c r="AI72" i="15"/>
  <c r="AI71" i="15"/>
  <c r="AI70" i="15"/>
  <c r="AI69" i="15"/>
  <c r="AI68" i="15"/>
  <c r="AI67" i="15"/>
  <c r="AI66" i="15"/>
  <c r="AI65" i="15"/>
  <c r="AI64" i="15"/>
  <c r="AI63" i="15"/>
  <c r="AI62" i="15"/>
  <c r="AI61" i="15"/>
  <c r="AF78" i="15"/>
  <c r="AF77" i="15"/>
  <c r="AF76" i="15"/>
  <c r="AF75" i="15"/>
  <c r="AF74" i="15"/>
  <c r="AF73" i="15"/>
  <c r="AF72" i="15"/>
  <c r="AF71" i="15"/>
  <c r="AF70" i="15"/>
  <c r="AF68" i="15"/>
  <c r="AF67" i="15"/>
  <c r="AF66" i="15"/>
  <c r="AF65" i="15"/>
  <c r="AF64" i="15"/>
  <c r="AF62" i="15"/>
  <c r="AF61" i="15"/>
  <c r="AG69" i="15"/>
  <c r="AG68" i="15"/>
  <c r="AG67" i="15"/>
  <c r="AG66" i="15"/>
  <c r="AG65" i="15"/>
  <c r="AG64" i="15"/>
  <c r="AG63" i="15"/>
  <c r="AG62" i="15"/>
  <c r="AE61" i="15"/>
  <c r="AE62" i="15"/>
  <c r="AE63" i="15"/>
  <c r="AE64" i="15"/>
  <c r="AE65" i="15"/>
  <c r="AE66" i="15"/>
  <c r="AE67" i="15"/>
  <c r="AE68" i="15"/>
  <c r="AD61" i="15"/>
  <c r="AD62" i="15"/>
  <c r="AD63" i="15"/>
  <c r="AD64" i="15"/>
  <c r="AD65" i="15"/>
  <c r="AD66" i="15"/>
  <c r="AD67" i="15"/>
  <c r="AD68" i="15"/>
  <c r="AC61" i="15"/>
  <c r="AC62" i="15"/>
  <c r="AC63" i="15"/>
  <c r="AC64" i="15"/>
  <c r="AC65" i="15"/>
  <c r="AC66" i="15"/>
  <c r="AC67" i="15"/>
  <c r="AC68" i="15"/>
  <c r="AA84" i="15"/>
  <c r="AA83" i="15"/>
  <c r="AA82" i="15"/>
  <c r="AA81" i="15"/>
  <c r="AA80" i="15"/>
  <c r="AA79" i="15"/>
  <c r="AA78" i="15"/>
  <c r="AA77" i="15"/>
  <c r="AA76" i="15"/>
  <c r="AA75" i="15"/>
  <c r="AA74" i="15"/>
  <c r="AA73" i="15"/>
  <c r="AA72" i="15"/>
  <c r="AA71" i="15"/>
  <c r="AA70" i="15"/>
  <c r="AA69" i="15"/>
  <c r="AA68" i="15"/>
  <c r="AA67" i="15"/>
  <c r="AA66" i="15"/>
  <c r="AA65" i="15"/>
  <c r="AA64" i="15"/>
  <c r="AA63" i="15"/>
  <c r="AA62" i="15"/>
  <c r="AA61" i="15"/>
  <c r="Z77" i="14"/>
  <c r="Z61" i="15"/>
  <c r="Z62" i="15"/>
  <c r="Z63" i="15"/>
  <c r="Z64" i="15"/>
  <c r="Z65" i="15"/>
  <c r="Z66" i="15"/>
  <c r="Z67" i="15"/>
  <c r="Z68" i="15"/>
  <c r="Z69" i="15"/>
  <c r="Z70" i="15"/>
  <c r="Z71" i="15"/>
  <c r="Z72" i="15"/>
  <c r="Z73" i="15"/>
  <c r="Z74" i="15"/>
  <c r="AI75" i="15"/>
  <c r="AI76" i="15"/>
  <c r="AI77" i="15"/>
  <c r="AI78" i="15"/>
  <c r="AI79" i="15"/>
  <c r="AI80" i="15"/>
  <c r="AI81" i="15"/>
  <c r="AI82" i="15"/>
  <c r="AI83" i="15"/>
  <c r="AI84" i="15"/>
  <c r="AB62" i="15"/>
  <c r="Z75" i="14"/>
  <c r="Z74" i="14"/>
  <c r="Z73" i="14"/>
  <c r="Z72" i="14"/>
  <c r="Z71" i="14"/>
  <c r="Z70" i="14"/>
  <c r="Z69" i="14"/>
  <c r="Z68" i="14"/>
  <c r="Z67" i="14"/>
  <c r="Z66" i="14"/>
  <c r="Z65" i="14"/>
  <c r="Z64" i="14"/>
  <c r="Z63" i="14"/>
  <c r="Z61" i="14"/>
  <c r="AA65" i="14"/>
  <c r="AA64" i="14"/>
  <c r="AA63" i="14"/>
  <c r="AA61" i="14"/>
  <c r="AF71" i="14"/>
  <c r="AF70" i="14"/>
  <c r="AF69" i="14"/>
  <c r="AF68" i="14"/>
  <c r="AF67" i="14"/>
  <c r="AF66" i="14"/>
  <c r="AF65" i="14"/>
  <c r="AF64" i="14"/>
  <c r="AF63" i="14"/>
  <c r="AF62" i="14"/>
  <c r="AF61" i="14"/>
  <c r="AF84" i="14"/>
  <c r="AH84" i="14"/>
  <c r="AI84" i="14"/>
  <c r="AE61" i="14"/>
  <c r="AE62" i="14"/>
  <c r="AE63" i="14"/>
  <c r="AE64" i="14"/>
  <c r="AE65" i="14"/>
  <c r="AE66" i="14"/>
  <c r="AE67" i="14"/>
  <c r="AE68" i="14"/>
  <c r="AD61" i="14"/>
  <c r="AD62" i="14"/>
  <c r="AD63" i="14"/>
  <c r="AD64" i="14"/>
  <c r="AD65" i="14"/>
  <c r="AD66" i="14"/>
  <c r="AD67" i="14"/>
  <c r="AD68" i="14"/>
  <c r="AC61" i="14"/>
  <c r="AC62" i="14"/>
  <c r="AC63" i="14"/>
  <c r="AC64" i="14"/>
  <c r="AC65" i="14"/>
  <c r="AC66" i="14"/>
  <c r="AC67" i="14"/>
  <c r="AC68" i="14"/>
  <c r="AA73" i="14"/>
  <c r="AA72" i="14"/>
  <c r="AA71" i="14"/>
  <c r="AA70" i="14"/>
  <c r="AA69" i="14"/>
  <c r="AA68" i="14"/>
  <c r="AA67" i="14"/>
  <c r="AA66" i="14"/>
  <c r="AA62" i="14"/>
  <c r="AG73" i="14"/>
  <c r="AI73" i="14"/>
  <c r="AI71" i="14"/>
  <c r="AI70" i="14"/>
  <c r="AI69" i="14"/>
  <c r="AI68" i="14"/>
  <c r="AI67" i="14"/>
  <c r="AI66" i="14"/>
  <c r="AI65" i="14"/>
  <c r="AI64" i="14"/>
  <c r="AI62" i="14"/>
  <c r="AI83" i="14"/>
  <c r="AI82" i="14"/>
  <c r="AI81" i="14"/>
  <c r="AI80" i="14"/>
  <c r="AI79" i="14"/>
  <c r="AI78" i="14"/>
  <c r="AI77" i="14"/>
  <c r="AI76" i="14"/>
  <c r="AI75" i="14"/>
  <c r="AI74" i="14"/>
  <c r="AI72" i="14"/>
  <c r="AI63" i="14"/>
  <c r="AG84" i="14"/>
  <c r="AH74" i="14"/>
  <c r="AA84" i="14"/>
  <c r="AA83" i="14"/>
  <c r="AA82" i="14"/>
  <c r="AA81" i="14"/>
  <c r="AA80" i="14"/>
  <c r="AA79" i="14"/>
  <c r="AA78" i="14"/>
  <c r="AA77" i="14"/>
  <c r="AA76" i="14"/>
  <c r="AA75" i="14"/>
  <c r="AA74" i="14"/>
  <c r="AC84" i="15"/>
  <c r="AC83" i="15"/>
  <c r="AC82" i="15"/>
  <c r="AC81" i="15"/>
  <c r="AC80" i="15"/>
  <c r="AC79" i="15"/>
  <c r="AC78" i="15"/>
  <c r="AC77" i="15"/>
  <c r="AC76" i="15"/>
  <c r="AC75" i="15"/>
  <c r="AC74" i="15"/>
  <c r="AC73" i="15"/>
  <c r="AC72" i="15"/>
  <c r="AC71" i="15"/>
  <c r="AC70" i="15"/>
  <c r="AC6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62" i="15"/>
  <c r="Y63" i="15"/>
  <c r="X63" i="15"/>
  <c r="X64" i="15"/>
  <c r="Y64" i="15"/>
  <c r="W64" i="15"/>
  <c r="W65" i="15"/>
  <c r="X65" i="15"/>
  <c r="Y65" i="15"/>
  <c r="V65" i="15"/>
  <c r="V66" i="15"/>
  <c r="W66" i="15"/>
  <c r="X66" i="15"/>
  <c r="Y66" i="15"/>
  <c r="U66" i="15"/>
  <c r="U67" i="15"/>
  <c r="V67" i="15"/>
  <c r="W67" i="15"/>
  <c r="X67" i="15"/>
  <c r="Y67" i="15"/>
  <c r="T67" i="15"/>
  <c r="T68" i="15"/>
  <c r="U68" i="15"/>
  <c r="V68" i="15"/>
  <c r="W68" i="15"/>
  <c r="X68" i="15"/>
  <c r="Y68" i="15"/>
  <c r="S68" i="15"/>
  <c r="S69" i="15"/>
  <c r="T69" i="15"/>
  <c r="U69" i="15"/>
  <c r="V69" i="15"/>
  <c r="W69" i="15"/>
  <c r="X69" i="15"/>
  <c r="AF69" i="15" s="1"/>
  <c r="AH69" i="15" s="1"/>
  <c r="R69" i="15"/>
  <c r="R70" i="15"/>
  <c r="S70" i="15"/>
  <c r="T70" i="15"/>
  <c r="U70" i="15"/>
  <c r="V70" i="15"/>
  <c r="W70" i="15"/>
  <c r="Q70" i="15"/>
  <c r="Q71" i="15"/>
  <c r="R71" i="15"/>
  <c r="S71" i="15"/>
  <c r="T71" i="15"/>
  <c r="U71" i="15"/>
  <c r="V71" i="15"/>
  <c r="P71" i="15"/>
  <c r="P72" i="15"/>
  <c r="Q72" i="15"/>
  <c r="R72" i="15"/>
  <c r="S72" i="15"/>
  <c r="T72" i="15"/>
  <c r="U72" i="15"/>
  <c r="O72" i="15"/>
  <c r="O73" i="15"/>
  <c r="P73" i="15"/>
  <c r="Q73" i="15"/>
  <c r="R73" i="15"/>
  <c r="S73" i="15"/>
  <c r="T73" i="15"/>
  <c r="N73" i="15"/>
  <c r="N74" i="15"/>
  <c r="O74" i="15"/>
  <c r="P74" i="15"/>
  <c r="Q74" i="15"/>
  <c r="R74" i="15"/>
  <c r="S74" i="15"/>
  <c r="M74" i="15"/>
  <c r="M75" i="15"/>
  <c r="N75" i="15"/>
  <c r="O75" i="15"/>
  <c r="P75" i="15"/>
  <c r="Q75" i="15"/>
  <c r="R75" i="15"/>
  <c r="L75" i="15"/>
  <c r="L76" i="15"/>
  <c r="M76" i="15"/>
  <c r="N76" i="15"/>
  <c r="O76" i="15"/>
  <c r="P76" i="15"/>
  <c r="Q76" i="15"/>
  <c r="K76" i="15"/>
  <c r="K77" i="15"/>
  <c r="L77" i="15"/>
  <c r="M77" i="15"/>
  <c r="N77" i="15"/>
  <c r="O77" i="15"/>
  <c r="P77" i="15"/>
  <c r="J77" i="15"/>
  <c r="J78" i="15"/>
  <c r="K78" i="15"/>
  <c r="L78" i="15"/>
  <c r="M78" i="15"/>
  <c r="N78" i="15"/>
  <c r="O78" i="15"/>
  <c r="I78" i="15"/>
  <c r="I79" i="15"/>
  <c r="J79" i="15"/>
  <c r="K79" i="15"/>
  <c r="L79" i="15"/>
  <c r="M79" i="15"/>
  <c r="N79" i="15"/>
  <c r="H79" i="15"/>
  <c r="H80" i="15"/>
  <c r="I80" i="15"/>
  <c r="J80" i="15"/>
  <c r="K80" i="15"/>
  <c r="L80" i="15"/>
  <c r="M80" i="15"/>
  <c r="G80" i="15"/>
  <c r="G81" i="15"/>
  <c r="H81" i="15"/>
  <c r="I81" i="15"/>
  <c r="J81" i="15"/>
  <c r="K81" i="15"/>
  <c r="L81" i="15"/>
  <c r="F81" i="15"/>
  <c r="F82" i="15"/>
  <c r="G82" i="15"/>
  <c r="H82" i="15"/>
  <c r="I82" i="15"/>
  <c r="J82" i="15"/>
  <c r="K82" i="15"/>
  <c r="E82" i="15"/>
  <c r="E83" i="15"/>
  <c r="F83" i="15"/>
  <c r="G83" i="15"/>
  <c r="H83" i="15"/>
  <c r="I83" i="15"/>
  <c r="J83" i="15"/>
  <c r="D83" i="15"/>
  <c r="D84" i="15"/>
  <c r="E84" i="15"/>
  <c r="F84" i="15"/>
  <c r="G84" i="15"/>
  <c r="H84" i="15"/>
  <c r="I84" i="15"/>
  <c r="C84" i="15"/>
  <c r="AH67" i="15"/>
  <c r="W86" i="15"/>
  <c r="AF79" i="15"/>
  <c r="B84" i="15"/>
  <c r="C83" i="15"/>
  <c r="B83" i="15"/>
  <c r="D82" i="15"/>
  <c r="C82" i="15"/>
  <c r="B82" i="15"/>
  <c r="E81" i="15"/>
  <c r="D81" i="15"/>
  <c r="C81" i="15"/>
  <c r="B81" i="15"/>
  <c r="F80" i="15"/>
  <c r="AG80" i="15" s="1"/>
  <c r="E80" i="15"/>
  <c r="D80" i="15"/>
  <c r="C80" i="15"/>
  <c r="B80" i="15"/>
  <c r="G79" i="15"/>
  <c r="F79" i="15"/>
  <c r="E79" i="15"/>
  <c r="D79" i="15"/>
  <c r="C79" i="15"/>
  <c r="B79" i="15"/>
  <c r="H78" i="15"/>
  <c r="G78" i="15"/>
  <c r="F78" i="15"/>
  <c r="E78" i="15"/>
  <c r="D78" i="15"/>
  <c r="C78" i="15"/>
  <c r="B78" i="15"/>
  <c r="I77" i="15"/>
  <c r="H77" i="15"/>
  <c r="G77" i="15"/>
  <c r="F77" i="15"/>
  <c r="E77" i="15"/>
  <c r="D77" i="15"/>
  <c r="C77" i="15"/>
  <c r="B77" i="15"/>
  <c r="J76" i="15"/>
  <c r="I76" i="15"/>
  <c r="H76" i="15"/>
  <c r="G76" i="15"/>
  <c r="F76" i="15"/>
  <c r="E76" i="15"/>
  <c r="D76" i="15"/>
  <c r="C76" i="15"/>
  <c r="B76" i="15"/>
  <c r="K75" i="15"/>
  <c r="J75" i="15"/>
  <c r="I75" i="15"/>
  <c r="H75" i="15"/>
  <c r="G75" i="15"/>
  <c r="F75" i="15"/>
  <c r="E75" i="15"/>
  <c r="D75" i="15"/>
  <c r="C75" i="15"/>
  <c r="B75" i="15"/>
  <c r="L74" i="15"/>
  <c r="K74" i="15"/>
  <c r="J74" i="15"/>
  <c r="I74" i="15"/>
  <c r="H74" i="15"/>
  <c r="G74" i="15"/>
  <c r="F74" i="15"/>
  <c r="E74" i="15"/>
  <c r="D74" i="15"/>
  <c r="C74" i="15"/>
  <c r="B74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E37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C24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AG22" i="15" s="1"/>
  <c r="E22" i="15"/>
  <c r="Y22" i="15" s="1"/>
  <c r="D22" i="15"/>
  <c r="C22" i="15"/>
  <c r="B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AH20" i="15" s="1"/>
  <c r="F21" i="15"/>
  <c r="E21" i="15"/>
  <c r="D21" i="15"/>
  <c r="Y21" i="15" s="1"/>
  <c r="C21" i="15"/>
  <c r="B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AG20" i="15" s="1"/>
  <c r="E20" i="15"/>
  <c r="AF20" i="15" s="1"/>
  <c r="D20" i="15"/>
  <c r="AE20" i="15" s="1"/>
  <c r="C20" i="15"/>
  <c r="AD20" i="15" s="1"/>
  <c r="B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AE18" i="15" s="1"/>
  <c r="C19" i="15"/>
  <c r="AD19" i="15" s="1"/>
  <c r="B19" i="15"/>
  <c r="AC19" i="15" s="1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AD17" i="15" s="1"/>
  <c r="B18" i="15"/>
  <c r="Y18" i="15" s="1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C17" i="15" s="1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AM16" i="15" s="1"/>
  <c r="K16" i="15"/>
  <c r="J16" i="15"/>
  <c r="I16" i="15"/>
  <c r="H16" i="15"/>
  <c r="G16" i="15"/>
  <c r="F16" i="15"/>
  <c r="E16" i="15"/>
  <c r="D16" i="15"/>
  <c r="C16" i="15"/>
  <c r="B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AM15" i="15" s="1"/>
  <c r="K15" i="15"/>
  <c r="AL15" i="15" s="1"/>
  <c r="J15" i="15"/>
  <c r="Y15" i="15" s="1"/>
  <c r="I15" i="15"/>
  <c r="H15" i="15"/>
  <c r="G15" i="15"/>
  <c r="F15" i="15"/>
  <c r="E15" i="15"/>
  <c r="D15" i="15"/>
  <c r="C15" i="15"/>
  <c r="B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AL14" i="15" s="1"/>
  <c r="J14" i="15"/>
  <c r="AK13" i="15" s="1"/>
  <c r="I14" i="15"/>
  <c r="H14" i="15"/>
  <c r="G14" i="15"/>
  <c r="F14" i="15"/>
  <c r="E14" i="15"/>
  <c r="D14" i="15"/>
  <c r="C14" i="15"/>
  <c r="B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AK12" i="15" s="1"/>
  <c r="I13" i="15"/>
  <c r="AJ13" i="15" s="1"/>
  <c r="H13" i="15"/>
  <c r="AI13" i="15" s="1"/>
  <c r="G13" i="15"/>
  <c r="F13" i="15"/>
  <c r="E13" i="15"/>
  <c r="D13" i="15"/>
  <c r="C13" i="15"/>
  <c r="B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AH12" i="15" s="1"/>
  <c r="F12" i="15"/>
  <c r="E12" i="15"/>
  <c r="D12" i="15"/>
  <c r="C12" i="15"/>
  <c r="B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AI10" i="15" s="1"/>
  <c r="G11" i="15"/>
  <c r="AH11" i="15" s="1"/>
  <c r="F11" i="15"/>
  <c r="AG11" i="15" s="1"/>
  <c r="E11" i="15"/>
  <c r="D11" i="15"/>
  <c r="C11" i="15"/>
  <c r="B11" i="15"/>
  <c r="X10" i="15"/>
  <c r="W10" i="15"/>
  <c r="V10" i="15"/>
  <c r="U10" i="15"/>
  <c r="T10" i="15"/>
  <c r="S10" i="15"/>
  <c r="AT9" i="15" s="1"/>
  <c r="R10" i="15"/>
  <c r="AS10" i="15" s="1"/>
  <c r="Q10" i="15"/>
  <c r="AR10" i="15" s="1"/>
  <c r="P10" i="15"/>
  <c r="O10" i="15"/>
  <c r="N10" i="15"/>
  <c r="M10" i="15"/>
  <c r="L10" i="15"/>
  <c r="K10" i="15"/>
  <c r="J10" i="15"/>
  <c r="I10" i="15"/>
  <c r="H10" i="15"/>
  <c r="G10" i="15"/>
  <c r="AH10" i="15" s="1"/>
  <c r="F10" i="15"/>
  <c r="AG10" i="15" s="1"/>
  <c r="E10" i="15"/>
  <c r="D10" i="15"/>
  <c r="C10" i="15"/>
  <c r="B10" i="15"/>
  <c r="X9" i="15"/>
  <c r="W9" i="15"/>
  <c r="V9" i="15"/>
  <c r="U9" i="15"/>
  <c r="T9" i="15"/>
  <c r="S9" i="15"/>
  <c r="R9" i="15"/>
  <c r="Q9" i="15"/>
  <c r="P9" i="15"/>
  <c r="AQ9" i="15" s="1"/>
  <c r="O9" i="15"/>
  <c r="N9" i="15"/>
  <c r="M9" i="15"/>
  <c r="L9" i="15"/>
  <c r="K9" i="15"/>
  <c r="J9" i="15"/>
  <c r="I9" i="15"/>
  <c r="H9" i="15"/>
  <c r="G9" i="15"/>
  <c r="F9" i="15"/>
  <c r="E9" i="15"/>
  <c r="AF9" i="15" s="1"/>
  <c r="D9" i="15"/>
  <c r="AE9" i="15" s="1"/>
  <c r="C9" i="15"/>
  <c r="B9" i="15"/>
  <c r="X8" i="15"/>
  <c r="W8" i="15"/>
  <c r="V8" i="15"/>
  <c r="U8" i="15"/>
  <c r="T8" i="15"/>
  <c r="S8" i="15"/>
  <c r="R8" i="15"/>
  <c r="Q8" i="15"/>
  <c r="AR8" i="15" s="1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AE6" i="15" s="1"/>
  <c r="C7" i="15"/>
  <c r="B7" i="15"/>
  <c r="Y7" i="15" s="1"/>
  <c r="X6" i="15"/>
  <c r="W6" i="15"/>
  <c r="V6" i="15"/>
  <c r="U6" i="15"/>
  <c r="T6" i="15"/>
  <c r="S6" i="15"/>
  <c r="R6" i="15"/>
  <c r="Q6" i="15"/>
  <c r="P6" i="15"/>
  <c r="O6" i="15"/>
  <c r="AP6" i="15" s="1"/>
  <c r="N6" i="15"/>
  <c r="M6" i="15"/>
  <c r="AN6" i="15" s="1"/>
  <c r="L6" i="15"/>
  <c r="K6" i="15"/>
  <c r="J6" i="15"/>
  <c r="I6" i="15"/>
  <c r="H6" i="15"/>
  <c r="G6" i="15"/>
  <c r="F6" i="15"/>
  <c r="E6" i="15"/>
  <c r="D6" i="15"/>
  <c r="C6" i="15"/>
  <c r="AD5" i="15" s="1"/>
  <c r="B6" i="15"/>
  <c r="AC6" i="15" s="1"/>
  <c r="X5" i="15"/>
  <c r="W5" i="15"/>
  <c r="V5" i="15"/>
  <c r="U5" i="15"/>
  <c r="T5" i="15"/>
  <c r="S5" i="15"/>
  <c r="R5" i="15"/>
  <c r="Q5" i="15"/>
  <c r="P5" i="15"/>
  <c r="O5" i="15"/>
  <c r="N5" i="15"/>
  <c r="AO5" i="15" s="1"/>
  <c r="M5" i="15"/>
  <c r="L5" i="15"/>
  <c r="AM5" i="15" s="1"/>
  <c r="K5" i="15"/>
  <c r="J5" i="15"/>
  <c r="I5" i="15"/>
  <c r="H5" i="15"/>
  <c r="G5" i="15"/>
  <c r="F5" i="15"/>
  <c r="E5" i="15"/>
  <c r="D5" i="15"/>
  <c r="C5" i="15"/>
  <c r="B5" i="15"/>
  <c r="AC5" i="15" s="1"/>
  <c r="Y89" i="15"/>
  <c r="AG84" i="15"/>
  <c r="AF84" i="15"/>
  <c r="AG83" i="15"/>
  <c r="AF83" i="15"/>
  <c r="AG82" i="15"/>
  <c r="AF82" i="15"/>
  <c r="AG81" i="15"/>
  <c r="AF81" i="15"/>
  <c r="AH81" i="15" s="1"/>
  <c r="AF80" i="15"/>
  <c r="AG79" i="15"/>
  <c r="AG78" i="15"/>
  <c r="AG77" i="15"/>
  <c r="AG76" i="15"/>
  <c r="AG75" i="15"/>
  <c r="AG74" i="15"/>
  <c r="AG73" i="15"/>
  <c r="AH73" i="15"/>
  <c r="AG72" i="15"/>
  <c r="AG71" i="15"/>
  <c r="AG70" i="15"/>
  <c r="AF63" i="15"/>
  <c r="AG61" i="15"/>
  <c r="AH61" i="15"/>
  <c r="AB61" i="15"/>
  <c r="A33" i="15" a="1"/>
  <c r="A33" i="15" s="1"/>
  <c r="Y27" i="15"/>
  <c r="AC26" i="15"/>
  <c r="Y26" i="15"/>
  <c r="AD25" i="15"/>
  <c r="AC25" i="15"/>
  <c r="AE24" i="15"/>
  <c r="AD24" i="15"/>
  <c r="AF23" i="15"/>
  <c r="AE23" i="15"/>
  <c r="AD23" i="15"/>
  <c r="AC22" i="15"/>
  <c r="AE22" i="15"/>
  <c r="AD21" i="15"/>
  <c r="AC21" i="15"/>
  <c r="AH21" i="15"/>
  <c r="AG21" i="15"/>
  <c r="AI20" i="15"/>
  <c r="AC20" i="15"/>
  <c r="AJ19" i="15"/>
  <c r="AH19" i="15"/>
  <c r="AG19" i="15"/>
  <c r="AJ18" i="15"/>
  <c r="AF18" i="15"/>
  <c r="AK18" i="15"/>
  <c r="AL17" i="15"/>
  <c r="AJ17" i="15"/>
  <c r="AI17" i="15"/>
  <c r="AF17" i="15"/>
  <c r="AE17" i="15"/>
  <c r="AK17" i="15"/>
  <c r="AH17" i="15"/>
  <c r="AG17" i="15"/>
  <c r="AJ16" i="15"/>
  <c r="AE16" i="15"/>
  <c r="AD16" i="15"/>
  <c r="AL16" i="15"/>
  <c r="AI16" i="15"/>
  <c r="AH16" i="15"/>
  <c r="AH15" i="15"/>
  <c r="AG15" i="15"/>
  <c r="AF15" i="15"/>
  <c r="AD15" i="15"/>
  <c r="AC15" i="15"/>
  <c r="AN15" i="15"/>
  <c r="AK15" i="15"/>
  <c r="AJ15" i="15"/>
  <c r="AI14" i="15"/>
  <c r="AE15" i="15"/>
  <c r="AG14" i="15"/>
  <c r="AF14" i="15"/>
  <c r="AD14" i="15"/>
  <c r="AO14" i="15"/>
  <c r="AN14" i="15"/>
  <c r="AH14" i="15"/>
  <c r="AE14" i="15"/>
  <c r="AC14" i="15"/>
  <c r="AO13" i="15"/>
  <c r="AN13" i="15"/>
  <c r="AC13" i="15"/>
  <c r="AP12" i="15"/>
  <c r="AG13" i="15"/>
  <c r="AE13" i="15"/>
  <c r="AD12" i="15"/>
  <c r="AO12" i="15"/>
  <c r="AM12" i="15"/>
  <c r="AG12" i="15"/>
  <c r="AC12" i="15"/>
  <c r="AN12" i="15"/>
  <c r="AL12" i="15"/>
  <c r="AN11" i="15"/>
  <c r="AM11" i="15"/>
  <c r="AR11" i="15"/>
  <c r="AO11" i="15"/>
  <c r="AF11" i="15"/>
  <c r="AN10" i="15"/>
  <c r="AM9" i="15"/>
  <c r="AK10" i="15"/>
  <c r="AJ9" i="15"/>
  <c r="AF10" i="15"/>
  <c r="AP9" i="15"/>
  <c r="AI9" i="15"/>
  <c r="AD9" i="15"/>
  <c r="AN9" i="15"/>
  <c r="AL8" i="15"/>
  <c r="AH9" i="15"/>
  <c r="AU8" i="15"/>
  <c r="AO8" i="15"/>
  <c r="AN8" i="15"/>
  <c r="AM8" i="15"/>
  <c r="AJ8" i="15"/>
  <c r="AI8" i="15"/>
  <c r="AC8" i="15"/>
  <c r="AT7" i="15"/>
  <c r="AK8" i="15"/>
  <c r="AH7" i="15"/>
  <c r="AV7" i="15"/>
  <c r="Z24" i="15" s="1" a="1"/>
  <c r="Z24" i="15" s="1"/>
  <c r="AS7" i="15"/>
  <c r="AM7" i="15"/>
  <c r="AL7" i="15"/>
  <c r="AK7" i="15"/>
  <c r="AJ7" i="15"/>
  <c r="AG7" i="15"/>
  <c r="AU7" i="15"/>
  <c r="AS6" i="15"/>
  <c r="AN7" i="15"/>
  <c r="AI7" i="15"/>
  <c r="AG6" i="15"/>
  <c r="AF7" i="15"/>
  <c r="AW6" i="15"/>
  <c r="AV6" i="15"/>
  <c r="AR6" i="15"/>
  <c r="AL6" i="15"/>
  <c r="AK6" i="15"/>
  <c r="AJ6" i="15"/>
  <c r="AF6" i="15"/>
  <c r="AT6" i="15"/>
  <c r="AQ6" i="15"/>
  <c r="AO6" i="15"/>
  <c r="AH6" i="15"/>
  <c r="AX5" i="15"/>
  <c r="Z26" i="15" s="1"/>
  <c r="AW5" i="15"/>
  <c r="AV5" i="15"/>
  <c r="AU5" i="15"/>
  <c r="AS5" i="15"/>
  <c r="AR5" i="15"/>
  <c r="AP5" i="15"/>
  <c r="AL5" i="15"/>
  <c r="AK5" i="15"/>
  <c r="AJ5" i="15"/>
  <c r="AI5" i="15"/>
  <c r="AG5" i="15"/>
  <c r="AF5" i="15"/>
  <c r="AT5" i="15"/>
  <c r="AQ5" i="15"/>
  <c r="Y5" i="15"/>
  <c r="AH5" i="15"/>
  <c r="AE5" i="15"/>
  <c r="AJ70" i="14"/>
  <c r="AJ69" i="14"/>
  <c r="AK63" i="14"/>
  <c r="AK64" i="14"/>
  <c r="AJ62" i="14"/>
  <c r="AK62" i="14" s="1"/>
  <c r="AJ63" i="14"/>
  <c r="AJ64" i="14"/>
  <c r="AJ65" i="14"/>
  <c r="AK65" i="14" s="1"/>
  <c r="AJ66" i="14"/>
  <c r="AK66" i="14" s="1"/>
  <c r="AJ67" i="14"/>
  <c r="AK67" i="14" s="1"/>
  <c r="AJ68" i="14"/>
  <c r="AK68" i="14" s="1"/>
  <c r="AI61" i="14"/>
  <c r="AH62" i="14"/>
  <c r="AG62" i="14"/>
  <c r="AH61" i="14"/>
  <c r="AG83" i="14"/>
  <c r="AG82" i="14"/>
  <c r="AG81" i="14"/>
  <c r="AG80" i="14"/>
  <c r="AG79" i="14"/>
  <c r="AG78" i="14"/>
  <c r="AG77" i="14"/>
  <c r="AG76" i="14"/>
  <c r="AG75" i="14"/>
  <c r="AG74" i="14"/>
  <c r="AG72" i="14"/>
  <c r="AG71" i="14"/>
  <c r="AG70" i="14"/>
  <c r="AG69" i="14"/>
  <c r="AG68" i="14"/>
  <c r="AH68" i="14" s="1"/>
  <c r="AG67" i="14"/>
  <c r="AG66" i="14"/>
  <c r="AG65" i="14"/>
  <c r="AG64" i="14"/>
  <c r="AG63" i="14"/>
  <c r="AG61" i="14"/>
  <c r="AF81" i="14"/>
  <c r="AF83" i="14"/>
  <c r="AF82" i="14"/>
  <c r="AF80" i="14"/>
  <c r="AF79" i="14"/>
  <c r="AF78" i="14"/>
  <c r="AF77" i="14"/>
  <c r="AF76" i="14"/>
  <c r="AF75" i="14"/>
  <c r="AF74" i="14"/>
  <c r="AF73" i="14"/>
  <c r="AF72" i="14"/>
  <c r="Z62" i="14"/>
  <c r="AH66" i="14"/>
  <c r="AH65" i="14"/>
  <c r="AH64" i="14"/>
  <c r="B24" i="13" l="1"/>
  <c r="AB63" i="15"/>
  <c r="AB67" i="15"/>
  <c r="AH64" i="15"/>
  <c r="AJ64" i="15" s="1"/>
  <c r="AK64" i="15" s="1"/>
  <c r="J87" i="15"/>
  <c r="J89" i="15" s="1"/>
  <c r="AH79" i="15"/>
  <c r="AJ79" i="15" s="1"/>
  <c r="AK79" i="15" s="1"/>
  <c r="AH83" i="15"/>
  <c r="AH70" i="15"/>
  <c r="AH74" i="15"/>
  <c r="AJ74" i="15" s="1"/>
  <c r="AK74" i="15" s="1"/>
  <c r="AD6" i="15"/>
  <c r="AE19" i="15"/>
  <c r="AR7" i="15"/>
  <c r="AF19" i="15"/>
  <c r="AI11" i="15"/>
  <c r="Y17" i="15"/>
  <c r="AD18" i="15"/>
  <c r="AC16" i="15"/>
  <c r="AH68" i="15"/>
  <c r="AJ68" i="15" s="1"/>
  <c r="AK68" i="15" s="1"/>
  <c r="Y6" i="15"/>
  <c r="Y13" i="15"/>
  <c r="AH66" i="15"/>
  <c r="AJ66" i="15" s="1"/>
  <c r="AK66" i="15" s="1"/>
  <c r="AB66" i="15"/>
  <c r="AH80" i="15"/>
  <c r="AJ80" i="15" s="1"/>
  <c r="AK80" i="15" s="1"/>
  <c r="AH84" i="15"/>
  <c r="AJ84" i="15" s="1"/>
  <c r="AK84" i="15" s="1"/>
  <c r="AM14" i="15"/>
  <c r="AM13" i="15"/>
  <c r="Y9" i="15"/>
  <c r="AF8" i="15"/>
  <c r="AP13" i="15"/>
  <c r="Y14" i="15"/>
  <c r="U85" i="15"/>
  <c r="Y11" i="15"/>
  <c r="AH72" i="15"/>
  <c r="AJ72" i="15" s="1"/>
  <c r="AK72" i="15" s="1"/>
  <c r="O87" i="15"/>
  <c r="Y8" i="15"/>
  <c r="AG8" i="15"/>
  <c r="AG9" i="15"/>
  <c r="AS8" i="15"/>
  <c r="AS9" i="15"/>
  <c r="AE21" i="15"/>
  <c r="AD22" i="15"/>
  <c r="V85" i="15"/>
  <c r="AH63" i="15"/>
  <c r="AJ63" i="15" s="1"/>
  <c r="AK63" i="15" s="1"/>
  <c r="AJ67" i="15"/>
  <c r="AK67" i="15" s="1"/>
  <c r="AJ81" i="15"/>
  <c r="AK81" i="15" s="1"/>
  <c r="AP10" i="15"/>
  <c r="AP11" i="15"/>
  <c r="AI18" i="15"/>
  <c r="AI19" i="15"/>
  <c r="AP7" i="15"/>
  <c r="AP8" i="15"/>
  <c r="W85" i="15"/>
  <c r="W87" i="15" s="1"/>
  <c r="W89" i="15" s="1"/>
  <c r="X86" i="15"/>
  <c r="AQ10" i="15"/>
  <c r="AQ11" i="15"/>
  <c r="T86" i="15"/>
  <c r="S85" i="15"/>
  <c r="AH77" i="15"/>
  <c r="AJ77" i="15" s="1"/>
  <c r="AK77" i="15" s="1"/>
  <c r="AD7" i="15"/>
  <c r="AD8" i="15"/>
  <c r="AR9" i="15"/>
  <c r="Y12" i="15"/>
  <c r="AE7" i="15"/>
  <c r="AE8" i="15"/>
  <c r="AQ7" i="15"/>
  <c r="Z19" i="15" s="1" a="1"/>
  <c r="Z19" i="15" s="1"/>
  <c r="AQ8" i="15"/>
  <c r="AC10" i="15"/>
  <c r="AO10" i="15"/>
  <c r="AF16" i="15"/>
  <c r="AF21" i="15"/>
  <c r="AF22" i="15"/>
  <c r="AC23" i="15"/>
  <c r="Y24" i="15"/>
  <c r="X85" i="15"/>
  <c r="AH76" i="15"/>
  <c r="AJ76" i="15" s="1"/>
  <c r="AK76" i="15" s="1"/>
  <c r="AH82" i="15"/>
  <c r="AJ82" i="15" s="1"/>
  <c r="AK82" i="15" s="1"/>
  <c r="AD13" i="15"/>
  <c r="AJ11" i="15"/>
  <c r="AJ12" i="15"/>
  <c r="I87" i="15"/>
  <c r="AH65" i="15"/>
  <c r="AJ65" i="15" s="1"/>
  <c r="AK65" i="15" s="1"/>
  <c r="AJ69" i="15"/>
  <c r="AK69" i="15" s="1"/>
  <c r="AC11" i="15"/>
  <c r="AH62" i="15"/>
  <c r="AJ62" i="15" s="1"/>
  <c r="AK62" i="15" s="1"/>
  <c r="AQ12" i="15"/>
  <c r="AL13" i="15"/>
  <c r="AJ14" i="15"/>
  <c r="AG16" i="15"/>
  <c r="AN5" i="15"/>
  <c r="Z16" i="15" s="1" a="1"/>
  <c r="Z16" i="15" s="1"/>
  <c r="AC7" i="15"/>
  <c r="AO7" i="15"/>
  <c r="AK9" i="15"/>
  <c r="AJ10" i="15"/>
  <c r="AK14" i="15"/>
  <c r="AG18" i="15"/>
  <c r="B33" i="15" a="1"/>
  <c r="AD10" i="15"/>
  <c r="AD11" i="15"/>
  <c r="S86" i="15"/>
  <c r="AJ73" i="15"/>
  <c r="AK73" i="15" s="1"/>
  <c r="AE10" i="15"/>
  <c r="AE11" i="15"/>
  <c r="AF13" i="15"/>
  <c r="AF12" i="15"/>
  <c r="Z13" i="15" a="1"/>
  <c r="Z13" i="15" s="1"/>
  <c r="AI15" i="15"/>
  <c r="U86" i="15"/>
  <c r="AL9" i="15"/>
  <c r="AL10" i="15"/>
  <c r="AK11" i="15"/>
  <c r="AE12" i="15"/>
  <c r="AI12" i="15"/>
  <c r="Z25" i="15" a="1"/>
  <c r="Z25" i="15" s="1"/>
  <c r="AM6" i="15"/>
  <c r="AH18" i="15"/>
  <c r="AJ70" i="15"/>
  <c r="AK70" i="15" s="1"/>
  <c r="AH71" i="15"/>
  <c r="AJ71" i="15" s="1"/>
  <c r="AK71" i="15" s="1"/>
  <c r="AH75" i="15"/>
  <c r="AJ75" i="15" s="1"/>
  <c r="AK75" i="15" s="1"/>
  <c r="AH78" i="15"/>
  <c r="AJ78" i="15" s="1"/>
  <c r="AK78" i="15" s="1"/>
  <c r="AJ83" i="15"/>
  <c r="AK83" i="15" s="1"/>
  <c r="AI6" i="15"/>
  <c r="AU6" i="15"/>
  <c r="Z23" i="15" s="1" a="1"/>
  <c r="Z23" i="15" s="1"/>
  <c r="AC9" i="15"/>
  <c r="AO9" i="15"/>
  <c r="AL11" i="15"/>
  <c r="AC18" i="15"/>
  <c r="V86" i="15"/>
  <c r="Y10" i="15"/>
  <c r="Y25" i="15"/>
  <c r="AM10" i="15"/>
  <c r="Y20" i="15"/>
  <c r="Y23" i="15"/>
  <c r="T85" i="15"/>
  <c r="AH13" i="15"/>
  <c r="AK16" i="15"/>
  <c r="AH8" i="15"/>
  <c r="Z10" i="15" s="1" a="1"/>
  <c r="Z10" i="15" s="1"/>
  <c r="AT8" i="15"/>
  <c r="Z22" i="15" s="1" a="1"/>
  <c r="Z22" i="15" s="1"/>
  <c r="Y16" i="15"/>
  <c r="Y19" i="15"/>
  <c r="AB64" i="15"/>
  <c r="AB68" i="15"/>
  <c r="AH67" i="14"/>
  <c r="AH63" i="14"/>
  <c r="B25" i="13" l="1"/>
  <c r="X70" i="15"/>
  <c r="Q87" i="15"/>
  <c r="Q89" i="15" s="1"/>
  <c r="L87" i="15"/>
  <c r="K87" i="15"/>
  <c r="K89" i="15" s="1"/>
  <c r="P87" i="15"/>
  <c r="Q77" i="15" s="1"/>
  <c r="R77" i="15" s="1"/>
  <c r="T87" i="15"/>
  <c r="T89" i="15" s="1"/>
  <c r="X87" i="15"/>
  <c r="M87" i="15"/>
  <c r="M89" i="15" s="1"/>
  <c r="S87" i="15"/>
  <c r="S89" i="15" s="1"/>
  <c r="U73" i="15"/>
  <c r="V73" i="15" s="1"/>
  <c r="Y70" i="15"/>
  <c r="AB70" i="15" s="1"/>
  <c r="AD70" i="15" s="1"/>
  <c r="AE70" i="15" s="1"/>
  <c r="Z9" i="15" a="1"/>
  <c r="Z9" i="15" s="1"/>
  <c r="Z7" i="15" a="1"/>
  <c r="Z7" i="15" s="1"/>
  <c r="Z5" i="15" a="1"/>
  <c r="Z5" i="15" s="1"/>
  <c r="Z15" i="15" a="1"/>
  <c r="Z15" i="15" s="1"/>
  <c r="Z20" i="15" a="1"/>
  <c r="Z20" i="15" s="1"/>
  <c r="Z14" i="15" a="1"/>
  <c r="Z14" i="15" s="1"/>
  <c r="Z6" i="15" a="1"/>
  <c r="Z6" i="15" s="1"/>
  <c r="Z18" i="15" a="1"/>
  <c r="Z18" i="15" s="1"/>
  <c r="Z8" i="15" a="1"/>
  <c r="Z8" i="15" s="1"/>
  <c r="Z17" i="15" a="1"/>
  <c r="Z17" i="15" s="1"/>
  <c r="Z12" i="15" a="1"/>
  <c r="Z12" i="15" s="1"/>
  <c r="Z21" i="15" a="1"/>
  <c r="Z21" i="15" s="1"/>
  <c r="I89" i="15"/>
  <c r="J84" i="15"/>
  <c r="K84" i="15" s="1"/>
  <c r="O89" i="15"/>
  <c r="P78" i="15"/>
  <c r="Z11" i="15" a="1"/>
  <c r="Z11" i="15" s="1"/>
  <c r="L89" i="15"/>
  <c r="M81" i="15"/>
  <c r="U87" i="15"/>
  <c r="D53" i="15"/>
  <c r="D50" i="15"/>
  <c r="D47" i="15"/>
  <c r="D44" i="15"/>
  <c r="D41" i="15"/>
  <c r="D38" i="15"/>
  <c r="D35" i="15"/>
  <c r="C53" i="15"/>
  <c r="F53" i="15" s="1"/>
  <c r="E53" i="15" s="1"/>
  <c r="C50" i="15"/>
  <c r="E50" i="15" s="1"/>
  <c r="C47" i="15"/>
  <c r="E47" i="15" s="1"/>
  <c r="C44" i="15"/>
  <c r="C41" i="15"/>
  <c r="C38" i="15"/>
  <c r="C35" i="15"/>
  <c r="D55" i="15"/>
  <c r="D52" i="15"/>
  <c r="D49" i="15"/>
  <c r="D46" i="15"/>
  <c r="D43" i="15"/>
  <c r="D40" i="15"/>
  <c r="D37" i="15"/>
  <c r="D34" i="15"/>
  <c r="C55" i="15"/>
  <c r="C52" i="15"/>
  <c r="C49" i="15"/>
  <c r="C46" i="15"/>
  <c r="C43" i="15"/>
  <c r="C40" i="15"/>
  <c r="C37" i="15"/>
  <c r="C34" i="15"/>
  <c r="B33" i="15"/>
  <c r="D45" i="15"/>
  <c r="C51" i="15"/>
  <c r="E51" i="15" s="1"/>
  <c r="C45" i="15"/>
  <c r="E45" i="15" s="1"/>
  <c r="D51" i="15"/>
  <c r="D54" i="15"/>
  <c r="D42" i="15"/>
  <c r="D39" i="15"/>
  <c r="C39" i="15"/>
  <c r="E39" i="15" s="1"/>
  <c r="C54" i="15"/>
  <c r="F54" i="15" s="1"/>
  <c r="E54" i="15" s="1"/>
  <c r="C42" i="15"/>
  <c r="E42" i="15" s="1"/>
  <c r="D48" i="15"/>
  <c r="C48" i="15"/>
  <c r="E48" i="15" s="1"/>
  <c r="C36" i="15"/>
  <c r="D36" i="15"/>
  <c r="AB65" i="15"/>
  <c r="K83" i="15"/>
  <c r="R87" i="15"/>
  <c r="R76" i="15"/>
  <c r="N87" i="15"/>
  <c r="L82" i="15"/>
  <c r="M82" i="15" s="1"/>
  <c r="N82" i="15" s="1"/>
  <c r="X89" i="15"/>
  <c r="Y69" i="15"/>
  <c r="AB69" i="15" s="1"/>
  <c r="AD69" i="15" s="1"/>
  <c r="AE69" i="15" s="1"/>
  <c r="V87" i="15"/>
  <c r="L84" i="15" l="1"/>
  <c r="M84" i="15" s="1"/>
  <c r="N84" i="15" s="1"/>
  <c r="L83" i="15"/>
  <c r="M83" i="15" s="1"/>
  <c r="O82" i="15"/>
  <c r="P82" i="15" s="1"/>
  <c r="Q82" i="15" s="1"/>
  <c r="R82" i="15" s="1"/>
  <c r="B26" i="13"/>
  <c r="S76" i="15"/>
  <c r="S82" i="15"/>
  <c r="T82" i="15" s="1"/>
  <c r="U82" i="15" s="1"/>
  <c r="V82" i="15" s="1"/>
  <c r="W82" i="15" s="1"/>
  <c r="X82" i="15" s="1"/>
  <c r="Y82" i="15" s="1"/>
  <c r="T76" i="15"/>
  <c r="U76" i="15" s="1"/>
  <c r="V76" i="15" s="1"/>
  <c r="N83" i="15"/>
  <c r="O83" i="15" s="1"/>
  <c r="P83" i="15" s="1"/>
  <c r="Q83" i="15" s="1"/>
  <c r="R83" i="15" s="1"/>
  <c r="S83" i="15" s="1"/>
  <c r="T83" i="15" s="1"/>
  <c r="U83" i="15" s="1"/>
  <c r="V83" i="15" s="1"/>
  <c r="W83" i="15" s="1"/>
  <c r="X83" i="15" s="1"/>
  <c r="Y83" i="15" s="1"/>
  <c r="S77" i="15"/>
  <c r="T77" i="15" s="1"/>
  <c r="U77" i="15" s="1"/>
  <c r="V77" i="15" s="1"/>
  <c r="W77" i="15" s="1"/>
  <c r="X77" i="15" s="1"/>
  <c r="Y77" i="15" s="1"/>
  <c r="Q78" i="15"/>
  <c r="R78" i="15" s="1"/>
  <c r="S78" i="15" s="1"/>
  <c r="T78" i="15" s="1"/>
  <c r="U78" i="15" s="1"/>
  <c r="V78" i="15" s="1"/>
  <c r="W78" i="15" s="1"/>
  <c r="X78" i="15" s="1"/>
  <c r="Y78" i="15" s="1"/>
  <c r="P89" i="15"/>
  <c r="N81" i="15"/>
  <c r="O81" i="15" s="1"/>
  <c r="P81" i="15" s="1"/>
  <c r="Q81" i="15" s="1"/>
  <c r="R81" i="15" s="1"/>
  <c r="S81" i="15" s="1"/>
  <c r="T81" i="15" s="1"/>
  <c r="U81" i="15" s="1"/>
  <c r="V81" i="15" s="1"/>
  <c r="W81" i="15" s="1"/>
  <c r="X81" i="15" s="1"/>
  <c r="Y81" i="15" s="1"/>
  <c r="T74" i="15"/>
  <c r="U74" i="15" s="1"/>
  <c r="V74" i="15" s="1"/>
  <c r="W74" i="15" s="1"/>
  <c r="X74" i="15" s="1"/>
  <c r="Y74" i="15" s="1"/>
  <c r="AB74" i="15" s="1"/>
  <c r="AD74" i="15" s="1"/>
  <c r="AE74" i="15" s="1"/>
  <c r="N80" i="15"/>
  <c r="O80" i="15" s="1"/>
  <c r="P80" i="15" s="1"/>
  <c r="Q80" i="15" s="1"/>
  <c r="R80" i="15" s="1"/>
  <c r="S80" i="15" s="1"/>
  <c r="T80" i="15" s="1"/>
  <c r="U80" i="15" s="1"/>
  <c r="V80" i="15" s="1"/>
  <c r="W80" i="15" s="1"/>
  <c r="X80" i="15" s="1"/>
  <c r="Y80" i="15" s="1"/>
  <c r="D33" i="15"/>
  <c r="C33" i="15"/>
  <c r="E33" i="15" s="1"/>
  <c r="V89" i="15"/>
  <c r="W71" i="15"/>
  <c r="X71" i="15" s="1"/>
  <c r="Y71" i="15" s="1"/>
  <c r="AB71" i="15" s="1"/>
  <c r="AD71" i="15" s="1"/>
  <c r="AE71" i="15" s="1"/>
  <c r="E34" i="15"/>
  <c r="E36" i="15"/>
  <c r="E40" i="15"/>
  <c r="E46" i="15"/>
  <c r="E35" i="15"/>
  <c r="F49" i="15"/>
  <c r="E49" i="15" s="1"/>
  <c r="F52" i="15"/>
  <c r="E52" i="15" s="1"/>
  <c r="W73" i="15"/>
  <c r="X73" i="15" s="1"/>
  <c r="Y73" i="15" s="1"/>
  <c r="AB73" i="15" s="1"/>
  <c r="AD73" i="15" s="1"/>
  <c r="AE73" i="15" s="1"/>
  <c r="O84" i="15"/>
  <c r="P84" i="15" s="1"/>
  <c r="Q84" i="15" s="1"/>
  <c r="R84" i="15" s="1"/>
  <c r="S84" i="15" s="1"/>
  <c r="T84" i="15" s="1"/>
  <c r="U84" i="15" s="1"/>
  <c r="V84" i="15" s="1"/>
  <c r="W84" i="15" s="1"/>
  <c r="X84" i="15" s="1"/>
  <c r="Y84" i="15" s="1"/>
  <c r="E43" i="15"/>
  <c r="O79" i="15"/>
  <c r="P79" i="15" s="1"/>
  <c r="Q79" i="15" s="1"/>
  <c r="R79" i="15" s="1"/>
  <c r="S79" i="15" s="1"/>
  <c r="T79" i="15" s="1"/>
  <c r="U79" i="15" s="1"/>
  <c r="V79" i="15" s="1"/>
  <c r="W79" i="15" s="1"/>
  <c r="X79" i="15" s="1"/>
  <c r="Y79" i="15" s="1"/>
  <c r="N89" i="15"/>
  <c r="W76" i="15"/>
  <c r="X76" i="15" s="1"/>
  <c r="Y76" i="15" s="1"/>
  <c r="E38" i="15"/>
  <c r="R89" i="15"/>
  <c r="S75" i="15"/>
  <c r="T75" i="15" s="1"/>
  <c r="U75" i="15" s="1"/>
  <c r="V75" i="15" s="1"/>
  <c r="W75" i="15" s="1"/>
  <c r="X75" i="15" s="1"/>
  <c r="Y75" i="15" s="1"/>
  <c r="E41" i="15"/>
  <c r="F55" i="15"/>
  <c r="E55" i="15" s="1"/>
  <c r="E44" i="15"/>
  <c r="U89" i="15"/>
  <c r="V72" i="15"/>
  <c r="W72" i="15" s="1"/>
  <c r="X72" i="15" s="1"/>
  <c r="Y72" i="15" s="1"/>
  <c r="AB72" i="15" s="1"/>
  <c r="AD72" i="15" s="1"/>
  <c r="AE72" i="15" s="1"/>
  <c r="Z75" i="15" l="1"/>
  <c r="AB75" i="15" s="1"/>
  <c r="AD75" i="15" s="1"/>
  <c r="AE75" i="15" s="1"/>
  <c r="Z76" i="15"/>
  <c r="AB76" i="15" s="1"/>
  <c r="AD76" i="15" s="1"/>
  <c r="AE76" i="15" s="1"/>
  <c r="Z77" i="15"/>
  <c r="AB77" i="15" s="1"/>
  <c r="AD77" i="15" s="1"/>
  <c r="AE77" i="15" s="1"/>
  <c r="Z78" i="15"/>
  <c r="AB78" i="15" s="1"/>
  <c r="AD78" i="15" s="1"/>
  <c r="AE78" i="15" s="1"/>
  <c r="Z79" i="15"/>
  <c r="AB79" i="15" s="1"/>
  <c r="AD79" i="15" s="1"/>
  <c r="AE79" i="15" s="1"/>
  <c r="Z81" i="15"/>
  <c r="AB81" i="15" s="1"/>
  <c r="AD81" i="15" s="1"/>
  <c r="AE81" i="15" s="1"/>
  <c r="Z84" i="15"/>
  <c r="AB84" i="15" s="1"/>
  <c r="AD84" i="15" s="1"/>
  <c r="AE84" i="15" s="1"/>
  <c r="Z82" i="15"/>
  <c r="AB82" i="15" s="1"/>
  <c r="AD82" i="15" s="1"/>
  <c r="AE82" i="15" s="1"/>
  <c r="Z83" i="15"/>
  <c r="AB83" i="15" s="1"/>
  <c r="AD83" i="15" s="1"/>
  <c r="AE83" i="15" s="1"/>
  <c r="Z80" i="15"/>
  <c r="AB80" i="15" s="1"/>
  <c r="AD80" i="15" s="1"/>
  <c r="AE80" i="15" s="1"/>
  <c r="B27" i="13"/>
  <c r="E29" i="9"/>
  <c r="E28" i="9"/>
  <c r="X28" i="9"/>
  <c r="D27" i="6"/>
  <c r="K29" i="6"/>
  <c r="K28" i="6"/>
  <c r="C88" i="14"/>
  <c r="D88" i="14"/>
  <c r="E88" i="14"/>
  <c r="F88" i="14"/>
  <c r="G88" i="14"/>
  <c r="H88" i="14"/>
  <c r="I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Y88" i="14"/>
  <c r="Y89" i="14" s="1"/>
  <c r="B88" i="14"/>
  <c r="Y62" i="14"/>
  <c r="Y63" i="14"/>
  <c r="X63" i="14"/>
  <c r="X64" i="14"/>
  <c r="Y64" i="14"/>
  <c r="X65" i="14"/>
  <c r="Y65" i="14"/>
  <c r="X66" i="14"/>
  <c r="Y66" i="14"/>
  <c r="X67" i="14"/>
  <c r="Y67" i="14"/>
  <c r="X68" i="14"/>
  <c r="Y68" i="14"/>
  <c r="X69" i="14"/>
  <c r="W64" i="14"/>
  <c r="W65" i="14"/>
  <c r="V65" i="14"/>
  <c r="V66" i="14"/>
  <c r="W66" i="14"/>
  <c r="U66" i="14"/>
  <c r="U67" i="14"/>
  <c r="V67" i="14"/>
  <c r="W67" i="14"/>
  <c r="T67" i="14"/>
  <c r="T68" i="14"/>
  <c r="U68" i="14"/>
  <c r="V68" i="14"/>
  <c r="W68" i="14"/>
  <c r="S68" i="14"/>
  <c r="S69" i="14"/>
  <c r="T69" i="14"/>
  <c r="U69" i="14"/>
  <c r="V69" i="14"/>
  <c r="W69" i="14"/>
  <c r="R69" i="14"/>
  <c r="R70" i="14"/>
  <c r="S70" i="14"/>
  <c r="T70" i="14"/>
  <c r="U70" i="14"/>
  <c r="V70" i="14"/>
  <c r="W70" i="14"/>
  <c r="Q70" i="14"/>
  <c r="Q71" i="14"/>
  <c r="R71" i="14"/>
  <c r="S71" i="14"/>
  <c r="T71" i="14"/>
  <c r="U71" i="14"/>
  <c r="V71" i="14"/>
  <c r="P71" i="14"/>
  <c r="P72" i="14"/>
  <c r="Q72" i="14"/>
  <c r="R72" i="14"/>
  <c r="S72" i="14"/>
  <c r="T72" i="14"/>
  <c r="U72" i="14"/>
  <c r="O72" i="14"/>
  <c r="O73" i="14"/>
  <c r="P73" i="14"/>
  <c r="Q73" i="14"/>
  <c r="R73" i="14"/>
  <c r="S73" i="14"/>
  <c r="T73" i="14"/>
  <c r="N73" i="14"/>
  <c r="N74" i="14"/>
  <c r="O74" i="14"/>
  <c r="P74" i="14"/>
  <c r="Q74" i="14"/>
  <c r="R74" i="14"/>
  <c r="S74" i="14"/>
  <c r="M74" i="14"/>
  <c r="M75" i="14"/>
  <c r="N75" i="14"/>
  <c r="O75" i="14"/>
  <c r="P75" i="14"/>
  <c r="Q75" i="14"/>
  <c r="R75" i="14"/>
  <c r="L75" i="14"/>
  <c r="L76" i="14"/>
  <c r="M76" i="14"/>
  <c r="N76" i="14"/>
  <c r="O76" i="14"/>
  <c r="P76" i="14"/>
  <c r="Q76" i="14"/>
  <c r="K76" i="14"/>
  <c r="K77" i="14"/>
  <c r="L77" i="14"/>
  <c r="M77" i="14"/>
  <c r="N77" i="14"/>
  <c r="O77" i="14"/>
  <c r="P77" i="14"/>
  <c r="J77" i="14"/>
  <c r="J78" i="14"/>
  <c r="K78" i="14"/>
  <c r="L78" i="14"/>
  <c r="M78" i="14"/>
  <c r="N78" i="14"/>
  <c r="O78" i="14"/>
  <c r="I78" i="14"/>
  <c r="I79" i="14"/>
  <c r="J79" i="14"/>
  <c r="K79" i="14"/>
  <c r="L79" i="14"/>
  <c r="M79" i="14"/>
  <c r="N79" i="14"/>
  <c r="H79" i="14"/>
  <c r="H80" i="14"/>
  <c r="I80" i="14"/>
  <c r="J80" i="14"/>
  <c r="K80" i="14"/>
  <c r="L80" i="14"/>
  <c r="M80" i="14"/>
  <c r="G80" i="14"/>
  <c r="G81" i="14"/>
  <c r="H81" i="14"/>
  <c r="I81" i="14"/>
  <c r="J81" i="14"/>
  <c r="K81" i="14"/>
  <c r="L81" i="14"/>
  <c r="F81" i="14"/>
  <c r="F82" i="14"/>
  <c r="G82" i="14"/>
  <c r="H82" i="14"/>
  <c r="I82" i="14"/>
  <c r="J82" i="14"/>
  <c r="K82" i="14"/>
  <c r="E82" i="14"/>
  <c r="E83" i="14"/>
  <c r="F83" i="14"/>
  <c r="G83" i="14"/>
  <c r="H83" i="14"/>
  <c r="I83" i="14"/>
  <c r="J83" i="14"/>
  <c r="D83" i="14"/>
  <c r="D84" i="14"/>
  <c r="E84" i="14"/>
  <c r="F84" i="14"/>
  <c r="G84" i="14"/>
  <c r="H84" i="14"/>
  <c r="I84" i="14"/>
  <c r="C84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B65" i="14"/>
  <c r="C65" i="14"/>
  <c r="D65" i="14"/>
  <c r="E65" i="14"/>
  <c r="F65" i="14"/>
  <c r="G65" i="14"/>
  <c r="H65" i="14"/>
  <c r="I65" i="14"/>
  <c r="J65" i="14"/>
  <c r="K65" i="14"/>
  <c r="L65" i="14"/>
  <c r="B66" i="14"/>
  <c r="C66" i="14"/>
  <c r="D66" i="14"/>
  <c r="E66" i="14"/>
  <c r="F66" i="14"/>
  <c r="G66" i="14"/>
  <c r="H66" i="14"/>
  <c r="I66" i="14"/>
  <c r="J66" i="14"/>
  <c r="K66" i="14"/>
  <c r="B67" i="14"/>
  <c r="C67" i="14"/>
  <c r="D67" i="14"/>
  <c r="E67" i="14"/>
  <c r="F67" i="14"/>
  <c r="G67" i="14"/>
  <c r="H67" i="14"/>
  <c r="I67" i="14"/>
  <c r="J67" i="14"/>
  <c r="B68" i="14"/>
  <c r="C68" i="14"/>
  <c r="D68" i="14"/>
  <c r="E68" i="14"/>
  <c r="F68" i="14"/>
  <c r="G68" i="14"/>
  <c r="H68" i="14"/>
  <c r="I68" i="14"/>
  <c r="B69" i="14"/>
  <c r="C69" i="14"/>
  <c r="D69" i="14"/>
  <c r="E69" i="14"/>
  <c r="F69" i="14"/>
  <c r="G69" i="14"/>
  <c r="H69" i="14"/>
  <c r="B70" i="14"/>
  <c r="C70" i="14"/>
  <c r="D70" i="14"/>
  <c r="E70" i="14"/>
  <c r="F70" i="14"/>
  <c r="G70" i="14"/>
  <c r="B71" i="14"/>
  <c r="C71" i="14"/>
  <c r="D71" i="14"/>
  <c r="E71" i="14"/>
  <c r="F71" i="14"/>
  <c r="B72" i="14"/>
  <c r="C72" i="14"/>
  <c r="D72" i="14"/>
  <c r="E72" i="14"/>
  <c r="B73" i="14"/>
  <c r="C73" i="14"/>
  <c r="D73" i="14"/>
  <c r="B74" i="14"/>
  <c r="C74" i="14"/>
  <c r="B75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B61" i="14"/>
  <c r="B28" i="13" l="1"/>
  <c r="AB62" i="14"/>
  <c r="AB63" i="14"/>
  <c r="AB64" i="14"/>
  <c r="AB65" i="14"/>
  <c r="AB66" i="14"/>
  <c r="AB67" i="14"/>
  <c r="AB68" i="14"/>
  <c r="A33" i="14" a="1"/>
  <c r="A33" i="14" s="1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X6" i="14"/>
  <c r="W7" i="14"/>
  <c r="X7" i="14"/>
  <c r="V8" i="14"/>
  <c r="W8" i="14"/>
  <c r="X8" i="14"/>
  <c r="U9" i="14"/>
  <c r="V9" i="14"/>
  <c r="W9" i="14"/>
  <c r="X9" i="14"/>
  <c r="T10" i="14"/>
  <c r="U10" i="14"/>
  <c r="V10" i="14"/>
  <c r="W10" i="14"/>
  <c r="X10" i="14"/>
  <c r="S11" i="14"/>
  <c r="T11" i="14"/>
  <c r="U11" i="14"/>
  <c r="V11" i="14"/>
  <c r="W11" i="14"/>
  <c r="X11" i="14"/>
  <c r="R12" i="14"/>
  <c r="S12" i="14"/>
  <c r="T12" i="14"/>
  <c r="U12" i="14"/>
  <c r="V12" i="14"/>
  <c r="W12" i="14"/>
  <c r="X12" i="14"/>
  <c r="Q13" i="14"/>
  <c r="R13" i="14"/>
  <c r="S13" i="14"/>
  <c r="T13" i="14"/>
  <c r="U13" i="14"/>
  <c r="V13" i="14"/>
  <c r="W13" i="14"/>
  <c r="X13" i="14"/>
  <c r="P14" i="14"/>
  <c r="Q14" i="14"/>
  <c r="R14" i="14"/>
  <c r="S14" i="14"/>
  <c r="T14" i="14"/>
  <c r="U14" i="14"/>
  <c r="V14" i="14"/>
  <c r="W14" i="14"/>
  <c r="X14" i="14"/>
  <c r="O15" i="14"/>
  <c r="P15" i="14"/>
  <c r="Q15" i="14"/>
  <c r="R15" i="14"/>
  <c r="S15" i="14"/>
  <c r="T15" i="14"/>
  <c r="U15" i="14"/>
  <c r="V15" i="14"/>
  <c r="W15" i="14"/>
  <c r="X15" i="14"/>
  <c r="N16" i="14"/>
  <c r="O16" i="14"/>
  <c r="P16" i="14"/>
  <c r="Q16" i="14"/>
  <c r="R16" i="14"/>
  <c r="S16" i="14"/>
  <c r="T16" i="14"/>
  <c r="U16" i="14"/>
  <c r="V16" i="14"/>
  <c r="W16" i="14"/>
  <c r="X16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9" i="13" l="1"/>
  <c r="C35" i="13"/>
  <c r="C48" i="13"/>
  <c r="C35" i="12"/>
  <c r="B30" i="13" l="1"/>
  <c r="B31" i="13" l="1"/>
  <c r="E8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D9" i="10"/>
  <c r="G9" i="10" s="1"/>
  <c r="D10" i="10"/>
  <c r="G10" i="10" s="1"/>
  <c r="D11" i="10"/>
  <c r="G11" i="10" s="1"/>
  <c r="D12" i="10"/>
  <c r="D12" i="11" s="1"/>
  <c r="D13" i="10"/>
  <c r="G13" i="10" s="1"/>
  <c r="D14" i="10"/>
  <c r="G14" i="10" s="1"/>
  <c r="D15" i="10"/>
  <c r="D15" i="11" s="1"/>
  <c r="D16" i="10"/>
  <c r="G16" i="10" s="1"/>
  <c r="D17" i="10"/>
  <c r="G17" i="10" s="1"/>
  <c r="D18" i="10"/>
  <c r="G18" i="10" s="1"/>
  <c r="D19" i="10"/>
  <c r="G19" i="10" s="1"/>
  <c r="D20" i="10"/>
  <c r="G20" i="10" s="1"/>
  <c r="D21" i="10"/>
  <c r="D21" i="11" s="1"/>
  <c r="D22" i="10"/>
  <c r="G22" i="10" s="1"/>
  <c r="D23" i="10"/>
  <c r="G23" i="10" s="1"/>
  <c r="D24" i="10"/>
  <c r="D24" i="11" s="1"/>
  <c r="D25" i="10"/>
  <c r="G25" i="10" s="1"/>
  <c r="D26" i="10"/>
  <c r="G26" i="10" s="1"/>
  <c r="D27" i="10"/>
  <c r="D27" i="11" s="1"/>
  <c r="D28" i="10"/>
  <c r="G28" i="10" s="1"/>
  <c r="D29" i="10"/>
  <c r="G29" i="10" s="1"/>
  <c r="D30" i="10"/>
  <c r="G30" i="10" s="1"/>
  <c r="D31" i="10"/>
  <c r="G31" i="10" s="1"/>
  <c r="D8" i="10"/>
  <c r="D8" i="11" s="1"/>
  <c r="G8" i="11" s="1"/>
  <c r="G8" i="10"/>
  <c r="H8" i="10" s="1"/>
  <c r="K78" i="1" s="1"/>
  <c r="F8" i="10"/>
  <c r="C27" i="9"/>
  <c r="D26" i="9"/>
  <c r="C26" i="9"/>
  <c r="E25" i="9"/>
  <c r="D25" i="9"/>
  <c r="C25" i="9"/>
  <c r="F24" i="9"/>
  <c r="AB24" i="9" s="1"/>
  <c r="E24" i="9"/>
  <c r="D24" i="9"/>
  <c r="C24" i="9"/>
  <c r="G23" i="9"/>
  <c r="AB23" i="9" s="1"/>
  <c r="F23" i="9"/>
  <c r="E23" i="9"/>
  <c r="D23" i="9"/>
  <c r="C23" i="9"/>
  <c r="H22" i="9"/>
  <c r="G22" i="9"/>
  <c r="F22" i="9"/>
  <c r="E22" i="9"/>
  <c r="D22" i="9"/>
  <c r="C22" i="9"/>
  <c r="I21" i="9"/>
  <c r="H21" i="9"/>
  <c r="G21" i="9"/>
  <c r="F21" i="9"/>
  <c r="E21" i="9"/>
  <c r="D21" i="9"/>
  <c r="C21" i="9"/>
  <c r="J20" i="9"/>
  <c r="AB20" i="9" s="1"/>
  <c r="I20" i="9"/>
  <c r="H20" i="9"/>
  <c r="G20" i="9"/>
  <c r="F20" i="9"/>
  <c r="E20" i="9"/>
  <c r="D20" i="9"/>
  <c r="C20" i="9"/>
  <c r="K19" i="9"/>
  <c r="J19" i="9"/>
  <c r="I19" i="9"/>
  <c r="H19" i="9"/>
  <c r="G19" i="9"/>
  <c r="F19" i="9"/>
  <c r="E19" i="9"/>
  <c r="D19" i="9"/>
  <c r="C19" i="9"/>
  <c r="L18" i="9"/>
  <c r="AB18" i="9" s="1"/>
  <c r="K18" i="9"/>
  <c r="J18" i="9"/>
  <c r="I18" i="9"/>
  <c r="H18" i="9"/>
  <c r="G18" i="9"/>
  <c r="F18" i="9"/>
  <c r="E18" i="9"/>
  <c r="D18" i="9"/>
  <c r="C18" i="9"/>
  <c r="M17" i="9"/>
  <c r="AB17" i="9" s="1"/>
  <c r="L17" i="9"/>
  <c r="K17" i="9"/>
  <c r="J17" i="9"/>
  <c r="I17" i="9"/>
  <c r="H17" i="9"/>
  <c r="G17" i="9"/>
  <c r="F17" i="9"/>
  <c r="E17" i="9"/>
  <c r="D17" i="9"/>
  <c r="C17" i="9"/>
  <c r="N16" i="9"/>
  <c r="AB16" i="9" s="1"/>
  <c r="M16" i="9"/>
  <c r="L16" i="9"/>
  <c r="K16" i="9"/>
  <c r="J16" i="9"/>
  <c r="I16" i="9"/>
  <c r="H16" i="9"/>
  <c r="G16" i="9"/>
  <c r="F16" i="9"/>
  <c r="E16" i="9"/>
  <c r="D16" i="9"/>
  <c r="C16" i="9"/>
  <c r="O15" i="9"/>
  <c r="AB15" i="9" s="1"/>
  <c r="N15" i="9"/>
  <c r="M15" i="9"/>
  <c r="L15" i="9"/>
  <c r="K15" i="9"/>
  <c r="J15" i="9"/>
  <c r="I15" i="9"/>
  <c r="H15" i="9"/>
  <c r="G15" i="9"/>
  <c r="F15" i="9"/>
  <c r="E15" i="9"/>
  <c r="D15" i="9"/>
  <c r="C15" i="9"/>
  <c r="P14" i="9"/>
  <c r="AB14" i="9" s="1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Q13" i="9"/>
  <c r="AB13" i="9" s="1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R12" i="9"/>
  <c r="AB12" i="9" s="1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S11" i="9"/>
  <c r="AB11" i="9" s="1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T10" i="9"/>
  <c r="AB10" i="9" s="1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U9" i="9"/>
  <c r="AB9" i="9" s="1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V8" i="9"/>
  <c r="AB8" i="9" s="1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W7" i="9"/>
  <c r="AB7" i="9" s="1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X6" i="9"/>
  <c r="AB6" i="9" s="1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Y5" i="9"/>
  <c r="AB5" i="9" s="1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Z4" i="9"/>
  <c r="AB4" i="9" s="1"/>
  <c r="Y4" i="9"/>
  <c r="Y29" i="9" s="1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B27" i="9"/>
  <c r="AB22" i="9"/>
  <c r="AB21" i="9"/>
  <c r="F8" i="7"/>
  <c r="B32" i="13" l="1"/>
  <c r="T29" i="9"/>
  <c r="V29" i="9"/>
  <c r="G12" i="10"/>
  <c r="W29" i="9"/>
  <c r="C29" i="9"/>
  <c r="O29" i="9"/>
  <c r="AA4" i="9"/>
  <c r="F78" i="1" s="1"/>
  <c r="N29" i="9"/>
  <c r="D29" i="9"/>
  <c r="D10" i="11"/>
  <c r="X29" i="9"/>
  <c r="D13" i="11"/>
  <c r="Q29" i="9"/>
  <c r="D16" i="11"/>
  <c r="R29" i="9"/>
  <c r="D17" i="11"/>
  <c r="R28" i="9"/>
  <c r="D18" i="11"/>
  <c r="F29" i="9"/>
  <c r="I28" i="9"/>
  <c r="I30" i="9" s="1"/>
  <c r="J21" i="9" s="1"/>
  <c r="D22" i="11"/>
  <c r="K29" i="9"/>
  <c r="G24" i="10"/>
  <c r="F28" i="9"/>
  <c r="L29" i="9"/>
  <c r="H28" i="9"/>
  <c r="G29" i="9"/>
  <c r="D28" i="11"/>
  <c r="G28" i="9"/>
  <c r="I29" i="9"/>
  <c r="M29" i="9"/>
  <c r="O28" i="9"/>
  <c r="O30" i="9" s="1"/>
  <c r="P15" i="9" s="1"/>
  <c r="D29" i="11"/>
  <c r="P29" i="9"/>
  <c r="H29" i="9"/>
  <c r="M28" i="9"/>
  <c r="D30" i="11"/>
  <c r="N28" i="9"/>
  <c r="G21" i="10"/>
  <c r="D20" i="11"/>
  <c r="D9" i="11"/>
  <c r="D25" i="11"/>
  <c r="T28" i="9"/>
  <c r="T30" i="9" s="1"/>
  <c r="U10" i="9" s="1"/>
  <c r="C28" i="9"/>
  <c r="C30" i="9" s="1"/>
  <c r="D27" i="9" s="1"/>
  <c r="J28" i="9"/>
  <c r="P28" i="9"/>
  <c r="P30" i="9" s="1"/>
  <c r="Q14" i="9" s="1"/>
  <c r="S29" i="9"/>
  <c r="J29" i="9"/>
  <c r="G27" i="10"/>
  <c r="D28" i="9"/>
  <c r="K28" i="9"/>
  <c r="G15" i="10"/>
  <c r="D14" i="11"/>
  <c r="D26" i="11"/>
  <c r="Q28" i="9"/>
  <c r="E30" i="9"/>
  <c r="L28" i="9"/>
  <c r="D11" i="11"/>
  <c r="D19" i="11"/>
  <c r="D23" i="11"/>
  <c r="D31" i="11"/>
  <c r="U29" i="9"/>
  <c r="F8" i="11"/>
  <c r="AB19" i="9"/>
  <c r="Y28" i="9"/>
  <c r="Y30" i="9" s="1"/>
  <c r="AB25" i="9"/>
  <c r="S28" i="9"/>
  <c r="U28" i="9"/>
  <c r="AB26" i="9"/>
  <c r="V28" i="9"/>
  <c r="V30" i="9" s="1"/>
  <c r="W28" i="9"/>
  <c r="B33" i="13" l="1"/>
  <c r="S30" i="9"/>
  <c r="T11" i="9" s="1"/>
  <c r="U11" i="9" s="1"/>
  <c r="N30" i="9"/>
  <c r="O16" i="9" s="1"/>
  <c r="R30" i="9"/>
  <c r="D30" i="9"/>
  <c r="E26" i="9" s="1"/>
  <c r="AC4" i="9"/>
  <c r="J78" i="1" s="1"/>
  <c r="W30" i="9"/>
  <c r="X7" i="9" s="1"/>
  <c r="M30" i="9"/>
  <c r="N17" i="9" s="1"/>
  <c r="L30" i="9"/>
  <c r="M18" i="9" s="1"/>
  <c r="N18" i="9" s="1"/>
  <c r="O18" i="9" s="1"/>
  <c r="P18" i="9" s="1"/>
  <c r="Q18" i="9" s="1"/>
  <c r="R18" i="9" s="1"/>
  <c r="S18" i="9" s="1"/>
  <c r="T18" i="9" s="1"/>
  <c r="U18" i="9" s="1"/>
  <c r="Q30" i="9"/>
  <c r="R13" i="9" s="1"/>
  <c r="H30" i="9"/>
  <c r="I22" i="9" s="1"/>
  <c r="J22" i="9" s="1"/>
  <c r="F30" i="9"/>
  <c r="G24" i="9" s="1"/>
  <c r="G30" i="9"/>
  <c r="H23" i="9" s="1"/>
  <c r="I23" i="9" s="1"/>
  <c r="J23" i="9" s="1"/>
  <c r="X30" i="9"/>
  <c r="Y6" i="9" s="1"/>
  <c r="Q15" i="9"/>
  <c r="K30" i="9"/>
  <c r="L19" i="9" s="1"/>
  <c r="U30" i="9"/>
  <c r="V9" i="9" s="1"/>
  <c r="W9" i="9" s="1"/>
  <c r="J30" i="9"/>
  <c r="K20" i="9" s="1"/>
  <c r="L20" i="9" s="1"/>
  <c r="P16" i="9"/>
  <c r="Q16" i="9" s="1"/>
  <c r="E27" i="9"/>
  <c r="F27" i="9" s="1"/>
  <c r="Y7" i="9"/>
  <c r="Z7" i="9" s="1"/>
  <c r="AA7" i="9" s="1"/>
  <c r="Z6" i="9"/>
  <c r="AA6" i="9" s="1"/>
  <c r="AB33" i="9"/>
  <c r="Y31" i="9"/>
  <c r="Y32" i="9" s="1"/>
  <c r="E9" i="10" s="1"/>
  <c r="W8" i="9"/>
  <c r="Z5" i="9"/>
  <c r="AA5" i="9" s="1"/>
  <c r="S12" i="9"/>
  <c r="T12" i="9" s="1"/>
  <c r="U12" i="9" s="1"/>
  <c r="F26" i="9"/>
  <c r="F25" i="9"/>
  <c r="O17" i="9"/>
  <c r="P17" i="9" s="1"/>
  <c r="Q17" i="9" s="1"/>
  <c r="R17" i="9" s="1"/>
  <c r="S17" i="9" s="1"/>
  <c r="T17" i="9" s="1"/>
  <c r="U17" i="9" s="1"/>
  <c r="S13" i="9"/>
  <c r="T13" i="9" s="1"/>
  <c r="U13" i="9" s="1"/>
  <c r="V13" i="9" s="1"/>
  <c r="W13" i="9" s="1"/>
  <c r="X13" i="9" s="1"/>
  <c r="Y13" i="9" s="1"/>
  <c r="Z13" i="9" s="1"/>
  <c r="AA13" i="9" s="1"/>
  <c r="B34" i="13" l="1"/>
  <c r="M20" i="9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AA20" i="9" s="1"/>
  <c r="V11" i="9"/>
  <c r="W11" i="9" s="1"/>
  <c r="X11" i="9" s="1"/>
  <c r="Y11" i="9" s="1"/>
  <c r="Z11" i="9" s="1"/>
  <c r="R16" i="9"/>
  <c r="S16" i="9" s="1"/>
  <c r="T16" i="9" s="1"/>
  <c r="U16" i="9" s="1"/>
  <c r="G25" i="9"/>
  <c r="H25" i="9" s="1"/>
  <c r="I25" i="9" s="1"/>
  <c r="J25" i="9" s="1"/>
  <c r="M19" i="9"/>
  <c r="N19" i="9" s="1"/>
  <c r="O19" i="9" s="1"/>
  <c r="P19" i="9" s="1"/>
  <c r="Q19" i="9" s="1"/>
  <c r="R19" i="9" s="1"/>
  <c r="S19" i="9" s="1"/>
  <c r="T19" i="9" s="1"/>
  <c r="U19" i="9" s="1"/>
  <c r="V19" i="9" s="1"/>
  <c r="W19" i="9" s="1"/>
  <c r="X19" i="9" s="1"/>
  <c r="Y19" i="9" s="1"/>
  <c r="Z19" i="9" s="1"/>
  <c r="AA19" i="9" s="1"/>
  <c r="AC19" i="9" s="1"/>
  <c r="J93" i="1" s="1"/>
  <c r="G27" i="9"/>
  <c r="H27" i="9" s="1"/>
  <c r="I27" i="9" s="1"/>
  <c r="J27" i="9" s="1"/>
  <c r="K27" i="9" s="1"/>
  <c r="L27" i="9" s="1"/>
  <c r="M27" i="9" s="1"/>
  <c r="N27" i="9" s="1"/>
  <c r="O27" i="9" s="1"/>
  <c r="P27" i="9" s="1"/>
  <c r="Q27" i="9" s="1"/>
  <c r="R27" i="9" s="1"/>
  <c r="S27" i="9" s="1"/>
  <c r="T27" i="9" s="1"/>
  <c r="U27" i="9" s="1"/>
  <c r="V27" i="9" s="1"/>
  <c r="W27" i="9" s="1"/>
  <c r="X27" i="9" s="1"/>
  <c r="Y27" i="9" s="1"/>
  <c r="Z27" i="9" s="1"/>
  <c r="AA27" i="9" s="1"/>
  <c r="AC27" i="9" s="1"/>
  <c r="J101" i="1" s="1"/>
  <c r="G26" i="9"/>
  <c r="H26" i="9" s="1"/>
  <c r="I26" i="9" s="1"/>
  <c r="J26" i="9" s="1"/>
  <c r="K26" i="9" s="1"/>
  <c r="L26" i="9" s="1"/>
  <c r="M26" i="9" s="1"/>
  <c r="N26" i="9" s="1"/>
  <c r="O26" i="9" s="1"/>
  <c r="P26" i="9" s="1"/>
  <c r="Q26" i="9" s="1"/>
  <c r="R26" i="9" s="1"/>
  <c r="S26" i="9" s="1"/>
  <c r="T26" i="9" s="1"/>
  <c r="U26" i="9" s="1"/>
  <c r="V26" i="9" s="1"/>
  <c r="W26" i="9" s="1"/>
  <c r="X26" i="9" s="1"/>
  <c r="Y26" i="9" s="1"/>
  <c r="Z26" i="9" s="1"/>
  <c r="AA26" i="9" s="1"/>
  <c r="F100" i="1" s="1"/>
  <c r="R15" i="9"/>
  <c r="S15" i="9" s="1"/>
  <c r="T15" i="9" s="1"/>
  <c r="U15" i="9" s="1"/>
  <c r="V15" i="9" s="1"/>
  <c r="W15" i="9" s="1"/>
  <c r="X15" i="9" s="1"/>
  <c r="Y15" i="9" s="1"/>
  <c r="Z15" i="9" s="1"/>
  <c r="AA15" i="9" s="1"/>
  <c r="R14" i="9"/>
  <c r="S14" i="9" s="1"/>
  <c r="T14" i="9" s="1"/>
  <c r="U14" i="9" s="1"/>
  <c r="V14" i="9" s="1"/>
  <c r="W14" i="9" s="1"/>
  <c r="X14" i="9" s="1"/>
  <c r="Y14" i="9" s="1"/>
  <c r="Z14" i="9" s="1"/>
  <c r="AA14" i="9" s="1"/>
  <c r="AC14" i="9" s="1"/>
  <c r="J88" i="1" s="1"/>
  <c r="X8" i="9"/>
  <c r="Y8" i="9" s="1"/>
  <c r="Z8" i="9" s="1"/>
  <c r="AA8" i="9" s="1"/>
  <c r="F82" i="1" s="1"/>
  <c r="X9" i="9"/>
  <c r="Y9" i="9" s="1"/>
  <c r="Z9" i="9" s="1"/>
  <c r="AA9" i="9" s="1"/>
  <c r="AC9" i="9" s="1"/>
  <c r="J83" i="1" s="1"/>
  <c r="H24" i="9"/>
  <c r="I24" i="9" s="1"/>
  <c r="J24" i="9" s="1"/>
  <c r="K24" i="9" s="1"/>
  <c r="L24" i="9" s="1"/>
  <c r="M24" i="9" s="1"/>
  <c r="N24" i="9" s="1"/>
  <c r="O24" i="9" s="1"/>
  <c r="P24" i="9" s="1"/>
  <c r="Q24" i="9" s="1"/>
  <c r="R24" i="9" s="1"/>
  <c r="S24" i="9" s="1"/>
  <c r="T24" i="9" s="1"/>
  <c r="U24" i="9" s="1"/>
  <c r="V24" i="9" s="1"/>
  <c r="W24" i="9" s="1"/>
  <c r="X24" i="9" s="1"/>
  <c r="Y24" i="9" s="1"/>
  <c r="Z24" i="9" s="1"/>
  <c r="AA24" i="9" s="1"/>
  <c r="AC24" i="9" s="1"/>
  <c r="J98" i="1" s="1"/>
  <c r="K22" i="9"/>
  <c r="L22" i="9" s="1"/>
  <c r="M22" i="9" s="1"/>
  <c r="N22" i="9" s="1"/>
  <c r="O22" i="9" s="1"/>
  <c r="P22" i="9" s="1"/>
  <c r="Q22" i="9" s="1"/>
  <c r="R22" i="9" s="1"/>
  <c r="S22" i="9" s="1"/>
  <c r="T22" i="9" s="1"/>
  <c r="U22" i="9" s="1"/>
  <c r="V22" i="9" s="1"/>
  <c r="W22" i="9" s="1"/>
  <c r="X22" i="9" s="1"/>
  <c r="Y22" i="9" s="1"/>
  <c r="Z22" i="9" s="1"/>
  <c r="AA22" i="9" s="1"/>
  <c r="AC22" i="9" s="1"/>
  <c r="J96" i="1" s="1"/>
  <c r="K23" i="9"/>
  <c r="L23" i="9" s="1"/>
  <c r="M23" i="9" s="1"/>
  <c r="N23" i="9" s="1"/>
  <c r="O23" i="9" s="1"/>
  <c r="P23" i="9" s="1"/>
  <c r="Q23" i="9" s="1"/>
  <c r="R23" i="9" s="1"/>
  <c r="S23" i="9" s="1"/>
  <c r="T23" i="9" s="1"/>
  <c r="U23" i="9" s="1"/>
  <c r="V23" i="9" s="1"/>
  <c r="W23" i="9" s="1"/>
  <c r="X23" i="9" s="1"/>
  <c r="Y23" i="9" s="1"/>
  <c r="Z23" i="9" s="1"/>
  <c r="AA23" i="9" s="1"/>
  <c r="V17" i="9"/>
  <c r="W17" i="9" s="1"/>
  <c r="X17" i="9" s="1"/>
  <c r="Y17" i="9" s="1"/>
  <c r="Z17" i="9" s="1"/>
  <c r="AA17" i="9" s="1"/>
  <c r="V18" i="9"/>
  <c r="W18" i="9" s="1"/>
  <c r="X18" i="9" s="1"/>
  <c r="Y18" i="9" s="1"/>
  <c r="Z18" i="9" s="1"/>
  <c r="AA18" i="9" s="1"/>
  <c r="F92" i="1" s="1"/>
  <c r="V12" i="9"/>
  <c r="W12" i="9" s="1"/>
  <c r="X12" i="9" s="1"/>
  <c r="Y12" i="9" s="1"/>
  <c r="Z12" i="9" s="1"/>
  <c r="AA12" i="9" s="1"/>
  <c r="F86" i="1" s="1"/>
  <c r="V10" i="9"/>
  <c r="W10" i="9" s="1"/>
  <c r="X10" i="9" s="1"/>
  <c r="Y10" i="9" s="1"/>
  <c r="Z10" i="9" s="1"/>
  <c r="AA10" i="9" s="1"/>
  <c r="F84" i="1" s="1"/>
  <c r="V16" i="9"/>
  <c r="W16" i="9" s="1"/>
  <c r="X16" i="9" s="1"/>
  <c r="Y16" i="9" s="1"/>
  <c r="Z16" i="9" s="1"/>
  <c r="AA16" i="9" s="1"/>
  <c r="AC16" i="9" s="1"/>
  <c r="J90" i="1" s="1"/>
  <c r="K25" i="9"/>
  <c r="L25" i="9" s="1"/>
  <c r="M25" i="9" s="1"/>
  <c r="N25" i="9" s="1"/>
  <c r="O25" i="9" s="1"/>
  <c r="P25" i="9" s="1"/>
  <c r="Q25" i="9" s="1"/>
  <c r="R25" i="9" s="1"/>
  <c r="S25" i="9" s="1"/>
  <c r="T25" i="9" s="1"/>
  <c r="U25" i="9" s="1"/>
  <c r="V25" i="9" s="1"/>
  <c r="W25" i="9" s="1"/>
  <c r="X25" i="9" s="1"/>
  <c r="Y25" i="9" s="1"/>
  <c r="Z25" i="9" s="1"/>
  <c r="AA25" i="9" s="1"/>
  <c r="AC25" i="9" s="1"/>
  <c r="J99" i="1" s="1"/>
  <c r="K21" i="9"/>
  <c r="L21" i="9" s="1"/>
  <c r="M21" i="9" s="1"/>
  <c r="N21" i="9" s="1"/>
  <c r="O21" i="9" s="1"/>
  <c r="P21" i="9" s="1"/>
  <c r="Q21" i="9" s="1"/>
  <c r="R21" i="9" s="1"/>
  <c r="S21" i="9" s="1"/>
  <c r="T21" i="9" s="1"/>
  <c r="U21" i="9" s="1"/>
  <c r="V21" i="9" s="1"/>
  <c r="W21" i="9" s="1"/>
  <c r="X21" i="9" s="1"/>
  <c r="Y21" i="9" s="1"/>
  <c r="Z21" i="9" s="1"/>
  <c r="AA21" i="9" s="1"/>
  <c r="AC21" i="9" s="1"/>
  <c r="J95" i="1" s="1"/>
  <c r="AC15" i="9"/>
  <c r="J89" i="1" s="1"/>
  <c r="F89" i="1"/>
  <c r="F80" i="1"/>
  <c r="AC6" i="9"/>
  <c r="J80" i="1" s="1"/>
  <c r="AC23" i="9"/>
  <c r="J97" i="1" s="1"/>
  <c r="F97" i="1"/>
  <c r="AC5" i="9"/>
  <c r="J79" i="1" s="1"/>
  <c r="F79" i="1"/>
  <c r="F9" i="10"/>
  <c r="H9" i="10" s="1"/>
  <c r="C34" i="13"/>
  <c r="E9" i="11"/>
  <c r="AC20" i="9"/>
  <c r="J94" i="1" s="1"/>
  <c r="F94" i="1"/>
  <c r="AC13" i="9"/>
  <c r="J87" i="1" s="1"/>
  <c r="F87" i="1"/>
  <c r="AC7" i="9"/>
  <c r="J81" i="1" s="1"/>
  <c r="F81" i="1"/>
  <c r="AA11" i="9"/>
  <c r="F85" i="1" s="1"/>
  <c r="AC17" i="9"/>
  <c r="J91" i="1" s="1"/>
  <c r="F91" i="1"/>
  <c r="X31" i="9"/>
  <c r="X32" i="9" s="1"/>
  <c r="E10" i="10" s="1"/>
  <c r="B35" i="13" l="1"/>
  <c r="F93" i="1"/>
  <c r="AC18" i="9"/>
  <c r="J92" i="1" s="1"/>
  <c r="F96" i="1"/>
  <c r="F83" i="1"/>
  <c r="AC12" i="9"/>
  <c r="J86" i="1" s="1"/>
  <c r="F98" i="1"/>
  <c r="F88" i="1"/>
  <c r="F101" i="1"/>
  <c r="F90" i="1"/>
  <c r="F99" i="1"/>
  <c r="F95" i="1"/>
  <c r="AC26" i="9"/>
  <c r="J100" i="1" s="1"/>
  <c r="AC10" i="9"/>
  <c r="J84" i="1" s="1"/>
  <c r="AC8" i="9"/>
  <c r="J82" i="1" s="1"/>
  <c r="AC11" i="9"/>
  <c r="J85" i="1" s="1"/>
  <c r="K79" i="1"/>
  <c r="AA33" i="9"/>
  <c r="F9" i="11"/>
  <c r="G9" i="11"/>
  <c r="D35" i="13"/>
  <c r="F10" i="10"/>
  <c r="H10" i="10" s="1"/>
  <c r="C33" i="13"/>
  <c r="D34" i="13" s="1"/>
  <c r="E10" i="11"/>
  <c r="W31" i="9"/>
  <c r="W32" i="9" s="1"/>
  <c r="E11" i="10" s="1"/>
  <c r="V31" i="9" l="1"/>
  <c r="AC33" i="9"/>
  <c r="C5" i="13" s="1"/>
  <c r="E34" i="13" s="1"/>
  <c r="F11" i="10"/>
  <c r="H11" i="10" s="1"/>
  <c r="C32" i="13"/>
  <c r="D33" i="13" s="1"/>
  <c r="E11" i="11"/>
  <c r="F10" i="11"/>
  <c r="G10" i="11"/>
  <c r="K80" i="1"/>
  <c r="V32" i="9"/>
  <c r="E12" i="10" s="1"/>
  <c r="U31" i="9"/>
  <c r="F34" i="13" l="1"/>
  <c r="J34" i="13" s="1"/>
  <c r="E33" i="13"/>
  <c r="E35" i="13"/>
  <c r="F11" i="11"/>
  <c r="G11" i="11"/>
  <c r="F12" i="10"/>
  <c r="H12" i="10" s="1"/>
  <c r="C31" i="13"/>
  <c r="E12" i="11"/>
  <c r="K81" i="1"/>
  <c r="U32" i="9"/>
  <c r="E13" i="10" s="1"/>
  <c r="T31" i="9"/>
  <c r="F35" i="13" l="1"/>
  <c r="J35" i="13" s="1"/>
  <c r="F33" i="13"/>
  <c r="J33" i="13" s="1"/>
  <c r="D32" i="13"/>
  <c r="E32" i="13" s="1"/>
  <c r="F32" i="13" s="1"/>
  <c r="G12" i="11"/>
  <c r="F12" i="11"/>
  <c r="K82" i="1"/>
  <c r="F13" i="10"/>
  <c r="H13" i="10" s="1"/>
  <c r="C30" i="13"/>
  <c r="D31" i="13" s="1"/>
  <c r="E31" i="13" s="1"/>
  <c r="F31" i="13" s="1"/>
  <c r="E13" i="11"/>
  <c r="T32" i="9"/>
  <c r="E14" i="10" s="1"/>
  <c r="S31" i="9"/>
  <c r="J31" i="13" l="1"/>
  <c r="F14" i="10"/>
  <c r="H14" i="10" s="1"/>
  <c r="C29" i="13"/>
  <c r="D30" i="13" s="1"/>
  <c r="E30" i="13" s="1"/>
  <c r="F30" i="13" s="1"/>
  <c r="E14" i="11"/>
  <c r="K83" i="1"/>
  <c r="F13" i="11"/>
  <c r="G13" i="11"/>
  <c r="J32" i="13"/>
  <c r="S32" i="9"/>
  <c r="E15" i="10" s="1"/>
  <c r="R31" i="9"/>
  <c r="J30" i="13" l="1"/>
  <c r="F15" i="10"/>
  <c r="H15" i="10" s="1"/>
  <c r="C28" i="13"/>
  <c r="D29" i="13" s="1"/>
  <c r="E29" i="13" s="1"/>
  <c r="F29" i="13" s="1"/>
  <c r="E15" i="11"/>
  <c r="F14" i="11"/>
  <c r="G14" i="11"/>
  <c r="K84" i="1"/>
  <c r="R32" i="9"/>
  <c r="E16" i="10" s="1"/>
  <c r="Q31" i="9"/>
  <c r="J29" i="13" l="1"/>
  <c r="F15" i="11"/>
  <c r="G15" i="11"/>
  <c r="K85" i="1"/>
  <c r="C27" i="13"/>
  <c r="F16" i="10"/>
  <c r="H16" i="10" s="1"/>
  <c r="E16" i="11"/>
  <c r="Q32" i="9"/>
  <c r="E17" i="10" s="1"/>
  <c r="P31" i="9"/>
  <c r="K86" i="1" l="1"/>
  <c r="D28" i="13"/>
  <c r="E28" i="13" s="1"/>
  <c r="F28" i="13" s="1"/>
  <c r="C26" i="13"/>
  <c r="F17" i="10"/>
  <c r="H17" i="10" s="1"/>
  <c r="E17" i="11"/>
  <c r="G16" i="11"/>
  <c r="F16" i="11"/>
  <c r="P32" i="9"/>
  <c r="E18" i="10" s="1"/>
  <c r="O31" i="9"/>
  <c r="C25" i="13" l="1"/>
  <c r="F18" i="10"/>
  <c r="H18" i="10" s="1"/>
  <c r="E18" i="11"/>
  <c r="J28" i="13"/>
  <c r="F17" i="11"/>
  <c r="G17" i="11"/>
  <c r="K87" i="1"/>
  <c r="D26" i="13"/>
  <c r="E26" i="13" s="1"/>
  <c r="F26" i="13" s="1"/>
  <c r="D27" i="13"/>
  <c r="E27" i="13" s="1"/>
  <c r="F27" i="13" s="1"/>
  <c r="O32" i="9"/>
  <c r="E19" i="10" s="1"/>
  <c r="N31" i="9"/>
  <c r="F18" i="11" l="1"/>
  <c r="G18" i="11"/>
  <c r="K88" i="1"/>
  <c r="J26" i="13"/>
  <c r="C24" i="13"/>
  <c r="F19" i="10"/>
  <c r="H19" i="10" s="1"/>
  <c r="E19" i="11"/>
  <c r="J27" i="13"/>
  <c r="N32" i="9"/>
  <c r="E20" i="10" s="1"/>
  <c r="M31" i="9"/>
  <c r="K89" i="1" l="1"/>
  <c r="F20" i="10"/>
  <c r="H20" i="10" s="1"/>
  <c r="C23" i="13"/>
  <c r="E20" i="11"/>
  <c r="F19" i="11"/>
  <c r="G19" i="11"/>
  <c r="D24" i="13"/>
  <c r="E24" i="13" s="1"/>
  <c r="F24" i="13" s="1"/>
  <c r="D25" i="13"/>
  <c r="E25" i="13" s="1"/>
  <c r="F25" i="13" s="1"/>
  <c r="M32" i="9"/>
  <c r="E21" i="10" s="1"/>
  <c r="L31" i="9"/>
  <c r="J25" i="13" l="1"/>
  <c r="F20" i="11"/>
  <c r="G20" i="11"/>
  <c r="F21" i="10"/>
  <c r="H21" i="10" s="1"/>
  <c r="C22" i="13"/>
  <c r="E21" i="11"/>
  <c r="J24" i="13"/>
  <c r="K90" i="1"/>
  <c r="L32" i="9"/>
  <c r="E22" i="10" s="1"/>
  <c r="K31" i="9"/>
  <c r="F21" i="11" l="1"/>
  <c r="G21" i="11"/>
  <c r="K91" i="1"/>
  <c r="F22" i="10"/>
  <c r="H22" i="10" s="1"/>
  <c r="C21" i="13"/>
  <c r="E22" i="11"/>
  <c r="D23" i="13"/>
  <c r="E23" i="13" s="1"/>
  <c r="F23" i="13" s="1"/>
  <c r="K32" i="9"/>
  <c r="E23" i="10" s="1"/>
  <c r="J31" i="9"/>
  <c r="F23" i="10" l="1"/>
  <c r="H23" i="10" s="1"/>
  <c r="C20" i="13"/>
  <c r="D21" i="13" s="1"/>
  <c r="E21" i="13" s="1"/>
  <c r="F21" i="13" s="1"/>
  <c r="E23" i="11"/>
  <c r="J23" i="13"/>
  <c r="F22" i="11"/>
  <c r="G22" i="11"/>
  <c r="K92" i="1"/>
  <c r="D22" i="13"/>
  <c r="E22" i="13" s="1"/>
  <c r="F22" i="13" s="1"/>
  <c r="J32" i="9"/>
  <c r="E24" i="10" s="1"/>
  <c r="I31" i="9"/>
  <c r="J22" i="13" l="1"/>
  <c r="J21" i="13"/>
  <c r="F23" i="11"/>
  <c r="G23" i="11"/>
  <c r="F24" i="10"/>
  <c r="H24" i="10" s="1"/>
  <c r="C19" i="13"/>
  <c r="E24" i="11"/>
  <c r="K93" i="1"/>
  <c r="I32" i="9"/>
  <c r="E25" i="10" s="1"/>
  <c r="H31" i="9"/>
  <c r="G24" i="11" l="1"/>
  <c r="F24" i="11"/>
  <c r="D20" i="13"/>
  <c r="E20" i="13" s="1"/>
  <c r="F20" i="13" s="1"/>
  <c r="K94" i="1"/>
  <c r="C18" i="13"/>
  <c r="F25" i="10"/>
  <c r="H25" i="10" s="1"/>
  <c r="E25" i="11"/>
  <c r="H32" i="9"/>
  <c r="E26" i="10" s="1"/>
  <c r="G31" i="9"/>
  <c r="C17" i="13" l="1"/>
  <c r="E26" i="11"/>
  <c r="F26" i="10"/>
  <c r="H26" i="10" s="1"/>
  <c r="F25" i="11"/>
  <c r="G25" i="11"/>
  <c r="K95" i="1"/>
  <c r="D19" i="13"/>
  <c r="E19" i="13" s="1"/>
  <c r="F19" i="13" s="1"/>
  <c r="J20" i="13"/>
  <c r="G32" i="9"/>
  <c r="E27" i="10" s="1"/>
  <c r="F31" i="9"/>
  <c r="J19" i="13" l="1"/>
  <c r="K96" i="1"/>
  <c r="C16" i="13"/>
  <c r="E27" i="11"/>
  <c r="F27" i="10"/>
  <c r="H27" i="10" s="1"/>
  <c r="D17" i="13"/>
  <c r="E17" i="13" s="1"/>
  <c r="F17" i="13" s="1"/>
  <c r="F26" i="11"/>
  <c r="G26" i="11"/>
  <c r="D18" i="13"/>
  <c r="E18" i="13" s="1"/>
  <c r="F18" i="13" s="1"/>
  <c r="F32" i="9"/>
  <c r="E28" i="10" s="1"/>
  <c r="E31" i="9"/>
  <c r="J17" i="13" l="1"/>
  <c r="K97" i="1"/>
  <c r="C15" i="13"/>
  <c r="D16" i="13" s="1"/>
  <c r="E16" i="13" s="1"/>
  <c r="F16" i="13" s="1"/>
  <c r="F28" i="10"/>
  <c r="H28" i="10" s="1"/>
  <c r="E28" i="11"/>
  <c r="F27" i="11"/>
  <c r="G27" i="11"/>
  <c r="J18" i="13"/>
  <c r="E32" i="9"/>
  <c r="E29" i="10" s="1"/>
  <c r="D31" i="9"/>
  <c r="C31" i="9" s="1"/>
  <c r="J16" i="13" l="1"/>
  <c r="G28" i="11"/>
  <c r="F28" i="11"/>
  <c r="K98" i="1"/>
  <c r="C14" i="13"/>
  <c r="F29" i="10"/>
  <c r="H29" i="10" s="1"/>
  <c r="E29" i="11"/>
  <c r="D32" i="9"/>
  <c r="E30" i="10" s="1"/>
  <c r="C32" i="9"/>
  <c r="E31" i="10" s="1"/>
  <c r="F29" i="11" l="1"/>
  <c r="G29" i="11"/>
  <c r="D15" i="13"/>
  <c r="E15" i="13" s="1"/>
  <c r="F15" i="13" s="1"/>
  <c r="C12" i="13"/>
  <c r="D12" i="13" s="1"/>
  <c r="F31" i="10"/>
  <c r="H31" i="10" s="1"/>
  <c r="E31" i="11"/>
  <c r="K99" i="1"/>
  <c r="C13" i="13"/>
  <c r="D13" i="13" s="1"/>
  <c r="E13" i="13" s="1"/>
  <c r="F13" i="13" s="1"/>
  <c r="F30" i="10"/>
  <c r="H30" i="10" s="1"/>
  <c r="E30" i="11"/>
  <c r="F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8" i="8"/>
  <c r="E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8" i="8"/>
  <c r="D44" i="2"/>
  <c r="B5" i="14" s="1"/>
  <c r="D9" i="7"/>
  <c r="G9" i="7" s="1"/>
  <c r="D10" i="7"/>
  <c r="D10" i="8" s="1"/>
  <c r="D11" i="7"/>
  <c r="D11" i="8" s="1"/>
  <c r="D12" i="7"/>
  <c r="D12" i="8" s="1"/>
  <c r="D13" i="7"/>
  <c r="G13" i="7" s="1"/>
  <c r="D14" i="7"/>
  <c r="D14" i="8" s="1"/>
  <c r="D15" i="7"/>
  <c r="D15" i="8" s="1"/>
  <c r="D16" i="7"/>
  <c r="G16" i="7" s="1"/>
  <c r="D17" i="7"/>
  <c r="D17" i="8" s="1"/>
  <c r="D18" i="7"/>
  <c r="D18" i="8" s="1"/>
  <c r="D19" i="7"/>
  <c r="G19" i="7" s="1"/>
  <c r="D20" i="7"/>
  <c r="D20" i="8" s="1"/>
  <c r="D21" i="7"/>
  <c r="G21" i="7" s="1"/>
  <c r="D22" i="7"/>
  <c r="D22" i="8" s="1"/>
  <c r="D23" i="7"/>
  <c r="D23" i="8" s="1"/>
  <c r="D24" i="7"/>
  <c r="G24" i="7" s="1"/>
  <c r="D25" i="7"/>
  <c r="G25" i="7" s="1"/>
  <c r="D26" i="7"/>
  <c r="D26" i="8" s="1"/>
  <c r="D27" i="7"/>
  <c r="D27" i="8" s="1"/>
  <c r="D28" i="7"/>
  <c r="G28" i="7" s="1"/>
  <c r="D29" i="7"/>
  <c r="D29" i="8" s="1"/>
  <c r="D30" i="7"/>
  <c r="D30" i="8" s="1"/>
  <c r="D31" i="7"/>
  <c r="G31" i="7" s="1"/>
  <c r="D8" i="7"/>
  <c r="G8" i="7" s="1"/>
  <c r="H8" i="7" s="1"/>
  <c r="K100" i="1" l="1"/>
  <c r="F31" i="11"/>
  <c r="G31" i="11"/>
  <c r="E12" i="13"/>
  <c r="D14" i="13"/>
  <c r="E14" i="13" s="1"/>
  <c r="F14" i="13" s="1"/>
  <c r="J13" i="13"/>
  <c r="K101" i="1"/>
  <c r="H32" i="10"/>
  <c r="J15" i="13"/>
  <c r="F30" i="11"/>
  <c r="G30" i="11"/>
  <c r="G22" i="7"/>
  <c r="G23" i="7"/>
  <c r="D24" i="8"/>
  <c r="G10" i="7"/>
  <c r="D25" i="8"/>
  <c r="D21" i="8"/>
  <c r="G11" i="7"/>
  <c r="D13" i="8"/>
  <c r="G12" i="7"/>
  <c r="G29" i="7"/>
  <c r="G30" i="7"/>
  <c r="D9" i="8"/>
  <c r="G17" i="7"/>
  <c r="G18" i="7"/>
  <c r="K79" i="2"/>
  <c r="G20" i="7"/>
  <c r="D31" i="8"/>
  <c r="D19" i="8"/>
  <c r="G14" i="7"/>
  <c r="G26" i="7"/>
  <c r="D28" i="8"/>
  <c r="D16" i="8"/>
  <c r="G15" i="7"/>
  <c r="G27" i="7"/>
  <c r="D8" i="8"/>
  <c r="G8" i="8" s="1"/>
  <c r="E36" i="13" l="1"/>
  <c r="F12" i="13"/>
  <c r="D36" i="13"/>
  <c r="G32" i="11"/>
  <c r="J14" i="13"/>
  <c r="R4" i="6"/>
  <c r="Q61" i="14" s="1"/>
  <c r="S4" i="6"/>
  <c r="R61" i="14" s="1"/>
  <c r="T4" i="6"/>
  <c r="S61" i="14" s="1"/>
  <c r="U4" i="6"/>
  <c r="T61" i="14" s="1"/>
  <c r="V4" i="6"/>
  <c r="U61" i="14" s="1"/>
  <c r="W4" i="6"/>
  <c r="V61" i="14" s="1"/>
  <c r="X4" i="6"/>
  <c r="W61" i="14" s="1"/>
  <c r="Y4" i="6"/>
  <c r="X61" i="14" s="1"/>
  <c r="Z4" i="6"/>
  <c r="Q5" i="6"/>
  <c r="P62" i="14" s="1"/>
  <c r="R5" i="6"/>
  <c r="Q62" i="14" s="1"/>
  <c r="S5" i="6"/>
  <c r="R62" i="14" s="1"/>
  <c r="T5" i="6"/>
  <c r="S62" i="14" s="1"/>
  <c r="U5" i="6"/>
  <c r="T62" i="14" s="1"/>
  <c r="V5" i="6"/>
  <c r="U62" i="14" s="1"/>
  <c r="W5" i="6"/>
  <c r="V62" i="14" s="1"/>
  <c r="X5" i="6"/>
  <c r="W62" i="14" s="1"/>
  <c r="Y5" i="6"/>
  <c r="P6" i="6"/>
  <c r="O63" i="14" s="1"/>
  <c r="Q6" i="6"/>
  <c r="P63" i="14" s="1"/>
  <c r="R6" i="6"/>
  <c r="Q63" i="14" s="1"/>
  <c r="S6" i="6"/>
  <c r="R63" i="14" s="1"/>
  <c r="T6" i="6"/>
  <c r="S63" i="14" s="1"/>
  <c r="U6" i="6"/>
  <c r="T63" i="14" s="1"/>
  <c r="V6" i="6"/>
  <c r="U63" i="14" s="1"/>
  <c r="W6" i="6"/>
  <c r="V63" i="14" s="1"/>
  <c r="X6" i="6"/>
  <c r="O7" i="6"/>
  <c r="N64" i="14" s="1"/>
  <c r="P7" i="6"/>
  <c r="O64" i="14" s="1"/>
  <c r="Q7" i="6"/>
  <c r="P64" i="14" s="1"/>
  <c r="R7" i="6"/>
  <c r="Q64" i="14" s="1"/>
  <c r="S7" i="6"/>
  <c r="R64" i="14" s="1"/>
  <c r="T7" i="6"/>
  <c r="S64" i="14" s="1"/>
  <c r="U7" i="6"/>
  <c r="T64" i="14" s="1"/>
  <c r="V7" i="6"/>
  <c r="U64" i="14" s="1"/>
  <c r="W7" i="6"/>
  <c r="V64" i="14" s="1"/>
  <c r="N8" i="6"/>
  <c r="M65" i="14" s="1"/>
  <c r="O8" i="6"/>
  <c r="N65" i="14" s="1"/>
  <c r="P8" i="6"/>
  <c r="O65" i="14" s="1"/>
  <c r="Q8" i="6"/>
  <c r="P65" i="14" s="1"/>
  <c r="R8" i="6"/>
  <c r="Q65" i="14" s="1"/>
  <c r="S8" i="6"/>
  <c r="R65" i="14" s="1"/>
  <c r="T8" i="6"/>
  <c r="S65" i="14" s="1"/>
  <c r="U8" i="6"/>
  <c r="T65" i="14" s="1"/>
  <c r="V8" i="6"/>
  <c r="M9" i="6"/>
  <c r="L66" i="14" s="1"/>
  <c r="N9" i="6"/>
  <c r="M66" i="14" s="1"/>
  <c r="O9" i="6"/>
  <c r="N66" i="14" s="1"/>
  <c r="P9" i="6"/>
  <c r="O66" i="14" s="1"/>
  <c r="Q9" i="6"/>
  <c r="P66" i="14" s="1"/>
  <c r="R9" i="6"/>
  <c r="Q66" i="14" s="1"/>
  <c r="S9" i="6"/>
  <c r="R66" i="14" s="1"/>
  <c r="T9" i="6"/>
  <c r="S66" i="14" s="1"/>
  <c r="U9" i="6"/>
  <c r="L10" i="6"/>
  <c r="K67" i="14" s="1"/>
  <c r="M10" i="6"/>
  <c r="L67" i="14" s="1"/>
  <c r="N10" i="6"/>
  <c r="M67" i="14" s="1"/>
  <c r="O10" i="6"/>
  <c r="N67" i="14" s="1"/>
  <c r="P10" i="6"/>
  <c r="O67" i="14" s="1"/>
  <c r="Q10" i="6"/>
  <c r="P67" i="14" s="1"/>
  <c r="R10" i="6"/>
  <c r="Q67" i="14" s="1"/>
  <c r="S10" i="6"/>
  <c r="R67" i="14" s="1"/>
  <c r="T10" i="6"/>
  <c r="K11" i="6"/>
  <c r="J68" i="14" s="1"/>
  <c r="L11" i="6"/>
  <c r="K68" i="14" s="1"/>
  <c r="M11" i="6"/>
  <c r="L68" i="14" s="1"/>
  <c r="N11" i="6"/>
  <c r="M68" i="14" s="1"/>
  <c r="O11" i="6"/>
  <c r="N68" i="14" s="1"/>
  <c r="P11" i="6"/>
  <c r="O68" i="14" s="1"/>
  <c r="Q11" i="6"/>
  <c r="P68" i="14" s="1"/>
  <c r="R11" i="6"/>
  <c r="Q68" i="14" s="1"/>
  <c r="S11" i="6"/>
  <c r="J12" i="6"/>
  <c r="I69" i="14" s="1"/>
  <c r="K12" i="6"/>
  <c r="J69" i="14" s="1"/>
  <c r="L12" i="6"/>
  <c r="K69" i="14" s="1"/>
  <c r="M12" i="6"/>
  <c r="L69" i="14" s="1"/>
  <c r="N12" i="6"/>
  <c r="M69" i="14" s="1"/>
  <c r="O12" i="6"/>
  <c r="N69" i="14" s="1"/>
  <c r="P12" i="6"/>
  <c r="O69" i="14" s="1"/>
  <c r="Q12" i="6"/>
  <c r="P69" i="14" s="1"/>
  <c r="R12" i="6"/>
  <c r="Q69" i="14" s="1"/>
  <c r="I13" i="6"/>
  <c r="H70" i="14" s="1"/>
  <c r="J13" i="6"/>
  <c r="I70" i="14" s="1"/>
  <c r="K13" i="6"/>
  <c r="J70" i="14" s="1"/>
  <c r="L13" i="6"/>
  <c r="K70" i="14" s="1"/>
  <c r="M13" i="6"/>
  <c r="L70" i="14" s="1"/>
  <c r="N13" i="6"/>
  <c r="M70" i="14" s="1"/>
  <c r="O13" i="6"/>
  <c r="N70" i="14" s="1"/>
  <c r="P13" i="6"/>
  <c r="O70" i="14" s="1"/>
  <c r="Q13" i="6"/>
  <c r="P70" i="14" s="1"/>
  <c r="H14" i="6"/>
  <c r="G71" i="14" s="1"/>
  <c r="I14" i="6"/>
  <c r="H71" i="14" s="1"/>
  <c r="J14" i="6"/>
  <c r="I71" i="14" s="1"/>
  <c r="K14" i="6"/>
  <c r="J71" i="14" s="1"/>
  <c r="L14" i="6"/>
  <c r="K71" i="14" s="1"/>
  <c r="M14" i="6"/>
  <c r="L71" i="14" s="1"/>
  <c r="N14" i="6"/>
  <c r="M71" i="14" s="1"/>
  <c r="O14" i="6"/>
  <c r="N71" i="14" s="1"/>
  <c r="P14" i="6"/>
  <c r="O71" i="14" s="1"/>
  <c r="G15" i="6"/>
  <c r="F72" i="14" s="1"/>
  <c r="H15" i="6"/>
  <c r="G72" i="14" s="1"/>
  <c r="I15" i="6"/>
  <c r="H72" i="14" s="1"/>
  <c r="J15" i="6"/>
  <c r="I72" i="14" s="1"/>
  <c r="K15" i="6"/>
  <c r="J72" i="14" s="1"/>
  <c r="L15" i="6"/>
  <c r="K72" i="14" s="1"/>
  <c r="M15" i="6"/>
  <c r="L72" i="14" s="1"/>
  <c r="N15" i="6"/>
  <c r="M72" i="14" s="1"/>
  <c r="O15" i="6"/>
  <c r="N72" i="14" s="1"/>
  <c r="F16" i="6"/>
  <c r="E73" i="14" s="1"/>
  <c r="G16" i="6"/>
  <c r="F73" i="14" s="1"/>
  <c r="H16" i="6"/>
  <c r="G73" i="14" s="1"/>
  <c r="I16" i="6"/>
  <c r="H73" i="14" s="1"/>
  <c r="J16" i="6"/>
  <c r="I73" i="14" s="1"/>
  <c r="K16" i="6"/>
  <c r="J73" i="14" s="1"/>
  <c r="L16" i="6"/>
  <c r="K73" i="14" s="1"/>
  <c r="M16" i="6"/>
  <c r="L73" i="14" s="1"/>
  <c r="N16" i="6"/>
  <c r="M73" i="14" s="1"/>
  <c r="E17" i="6"/>
  <c r="D74" i="14" s="1"/>
  <c r="F17" i="6"/>
  <c r="E74" i="14" s="1"/>
  <c r="G17" i="6"/>
  <c r="F74" i="14" s="1"/>
  <c r="H17" i="6"/>
  <c r="G74" i="14" s="1"/>
  <c r="I17" i="6"/>
  <c r="H74" i="14" s="1"/>
  <c r="J17" i="6"/>
  <c r="I74" i="14" s="1"/>
  <c r="K17" i="6"/>
  <c r="J74" i="14" s="1"/>
  <c r="L17" i="6"/>
  <c r="K74" i="14" s="1"/>
  <c r="M17" i="6"/>
  <c r="L74" i="14" s="1"/>
  <c r="D18" i="6"/>
  <c r="E18" i="6"/>
  <c r="F18" i="6"/>
  <c r="E75" i="14" s="1"/>
  <c r="G18" i="6"/>
  <c r="F75" i="14" s="1"/>
  <c r="H18" i="6"/>
  <c r="G75" i="14" s="1"/>
  <c r="I18" i="6"/>
  <c r="H75" i="14" s="1"/>
  <c r="J18" i="6"/>
  <c r="I75" i="14" s="1"/>
  <c r="K18" i="6"/>
  <c r="J75" i="14" s="1"/>
  <c r="L18" i="6"/>
  <c r="K75" i="14" s="1"/>
  <c r="C19" i="6"/>
  <c r="D19" i="6"/>
  <c r="E19" i="6"/>
  <c r="D76" i="14" s="1"/>
  <c r="F19" i="6"/>
  <c r="E76" i="14" s="1"/>
  <c r="G19" i="6"/>
  <c r="F76" i="14" s="1"/>
  <c r="H19" i="6"/>
  <c r="G76" i="14" s="1"/>
  <c r="I19" i="6"/>
  <c r="H76" i="14" s="1"/>
  <c r="J19" i="6"/>
  <c r="I76" i="14" s="1"/>
  <c r="K19" i="6"/>
  <c r="J76" i="14" s="1"/>
  <c r="C20" i="6"/>
  <c r="B77" i="14" s="1"/>
  <c r="D20" i="6"/>
  <c r="C77" i="14" s="1"/>
  <c r="E20" i="6"/>
  <c r="D77" i="14" s="1"/>
  <c r="F20" i="6"/>
  <c r="E77" i="14" s="1"/>
  <c r="G20" i="6"/>
  <c r="F77" i="14" s="1"/>
  <c r="H20" i="6"/>
  <c r="G77" i="14" s="1"/>
  <c r="I20" i="6"/>
  <c r="H77" i="14" s="1"/>
  <c r="J20" i="6"/>
  <c r="I77" i="14" s="1"/>
  <c r="C21" i="6"/>
  <c r="B78" i="14" s="1"/>
  <c r="D21" i="6"/>
  <c r="C78" i="14" s="1"/>
  <c r="E21" i="6"/>
  <c r="D78" i="14" s="1"/>
  <c r="F21" i="6"/>
  <c r="E78" i="14" s="1"/>
  <c r="G21" i="6"/>
  <c r="F78" i="14" s="1"/>
  <c r="H21" i="6"/>
  <c r="G78" i="14" s="1"/>
  <c r="I21" i="6"/>
  <c r="H78" i="14" s="1"/>
  <c r="C22" i="6"/>
  <c r="B79" i="14" s="1"/>
  <c r="D22" i="6"/>
  <c r="C79" i="14" s="1"/>
  <c r="E22" i="6"/>
  <c r="D79" i="14" s="1"/>
  <c r="F22" i="6"/>
  <c r="E79" i="14" s="1"/>
  <c r="G22" i="6"/>
  <c r="F79" i="14" s="1"/>
  <c r="H22" i="6"/>
  <c r="C23" i="6"/>
  <c r="B80" i="14" s="1"/>
  <c r="D23" i="6"/>
  <c r="C80" i="14" s="1"/>
  <c r="E23" i="6"/>
  <c r="D80" i="14" s="1"/>
  <c r="F23" i="6"/>
  <c r="E80" i="14" s="1"/>
  <c r="G23" i="6"/>
  <c r="C24" i="6"/>
  <c r="B81" i="14" s="1"/>
  <c r="D24" i="6"/>
  <c r="C81" i="14" s="1"/>
  <c r="E24" i="6"/>
  <c r="D81" i="14" s="1"/>
  <c r="F24" i="6"/>
  <c r="C25" i="6"/>
  <c r="B82" i="14" s="1"/>
  <c r="D25" i="6"/>
  <c r="C82" i="14" s="1"/>
  <c r="E25" i="6"/>
  <c r="D82" i="14" s="1"/>
  <c r="C26" i="6"/>
  <c r="B83" i="14" s="1"/>
  <c r="D26" i="6"/>
  <c r="C83" i="14" s="1"/>
  <c r="C27" i="6"/>
  <c r="B84" i="14" s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Z68" i="1" s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V69" i="1" s="1"/>
  <c r="V71" i="1" s="1"/>
  <c r="W46" i="1"/>
  <c r="X46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E54" i="1"/>
  <c r="F54" i="1"/>
  <c r="G54" i="1"/>
  <c r="H54" i="1"/>
  <c r="I54" i="1"/>
  <c r="J54" i="1"/>
  <c r="K54" i="1"/>
  <c r="L54" i="1"/>
  <c r="M54" i="1"/>
  <c r="N54" i="1"/>
  <c r="O54" i="1"/>
  <c r="P54" i="1"/>
  <c r="E55" i="1"/>
  <c r="F55" i="1"/>
  <c r="G55" i="1"/>
  <c r="H55" i="1"/>
  <c r="I55" i="1"/>
  <c r="J55" i="1"/>
  <c r="K55" i="1"/>
  <c r="L55" i="1"/>
  <c r="M55" i="1"/>
  <c r="N55" i="1"/>
  <c r="O55" i="1"/>
  <c r="E56" i="1"/>
  <c r="F56" i="1"/>
  <c r="G56" i="1"/>
  <c r="H56" i="1"/>
  <c r="I56" i="1"/>
  <c r="J56" i="1"/>
  <c r="K56" i="1"/>
  <c r="L56" i="1"/>
  <c r="M56" i="1"/>
  <c r="N56" i="1"/>
  <c r="E57" i="1"/>
  <c r="F57" i="1"/>
  <c r="G57" i="1"/>
  <c r="H57" i="1"/>
  <c r="I57" i="1"/>
  <c r="J57" i="1"/>
  <c r="K57" i="1"/>
  <c r="L57" i="1"/>
  <c r="M57" i="1"/>
  <c r="E58" i="1"/>
  <c r="F58" i="1"/>
  <c r="G58" i="1"/>
  <c r="H58" i="1"/>
  <c r="I58" i="1"/>
  <c r="J58" i="1"/>
  <c r="K58" i="1"/>
  <c r="L58" i="1"/>
  <c r="E59" i="1"/>
  <c r="F59" i="1"/>
  <c r="G59" i="1"/>
  <c r="H59" i="1"/>
  <c r="I59" i="1"/>
  <c r="J59" i="1"/>
  <c r="K59" i="1"/>
  <c r="E60" i="1"/>
  <c r="F60" i="1"/>
  <c r="G60" i="1"/>
  <c r="H60" i="1"/>
  <c r="I60" i="1"/>
  <c r="J60" i="1"/>
  <c r="E61" i="1"/>
  <c r="F61" i="1"/>
  <c r="G61" i="1"/>
  <c r="H61" i="1"/>
  <c r="I61" i="1"/>
  <c r="E62" i="1"/>
  <c r="F62" i="1"/>
  <c r="G62" i="1"/>
  <c r="H62" i="1"/>
  <c r="E63" i="1"/>
  <c r="F63" i="1"/>
  <c r="G63" i="1"/>
  <c r="E64" i="1"/>
  <c r="F64" i="1"/>
  <c r="E65" i="1"/>
  <c r="D43" i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D66" i="2"/>
  <c r="B27" i="14" s="1"/>
  <c r="Y27" i="14" s="1"/>
  <c r="C41" i="13" l="1"/>
  <c r="E50" i="13"/>
  <c r="F50" i="13" s="1"/>
  <c r="E49" i="13"/>
  <c r="F49" i="13" s="1"/>
  <c r="I86" i="14"/>
  <c r="M86" i="14"/>
  <c r="Q86" i="14"/>
  <c r="P85" i="14"/>
  <c r="L86" i="14"/>
  <c r="P86" i="14"/>
  <c r="L85" i="14"/>
  <c r="K85" i="14"/>
  <c r="O85" i="14"/>
  <c r="W85" i="14"/>
  <c r="X86" i="14"/>
  <c r="O86" i="14"/>
  <c r="K86" i="14"/>
  <c r="V86" i="14"/>
  <c r="U85" i="14"/>
  <c r="J85" i="14"/>
  <c r="J86" i="14"/>
  <c r="T86" i="14"/>
  <c r="S85" i="14"/>
  <c r="U86" i="14"/>
  <c r="T85" i="14"/>
  <c r="I85" i="14"/>
  <c r="I87" i="14" s="1"/>
  <c r="I89" i="14" s="1"/>
  <c r="M85" i="14"/>
  <c r="Y68" i="1"/>
  <c r="U68" i="1"/>
  <c r="S69" i="1"/>
  <c r="E52" i="13"/>
  <c r="F52" i="13" s="1"/>
  <c r="E51" i="13"/>
  <c r="F51" i="13" s="1"/>
  <c r="R69" i="1"/>
  <c r="R71" i="1" s="1"/>
  <c r="F69" i="1"/>
  <c r="F70" i="1" s="1"/>
  <c r="D69" i="1"/>
  <c r="D71" i="1" s="1"/>
  <c r="E69" i="1"/>
  <c r="E70" i="1" s="1"/>
  <c r="P68" i="1"/>
  <c r="N68" i="1"/>
  <c r="T69" i="1"/>
  <c r="T71" i="1" s="1"/>
  <c r="Q69" i="1"/>
  <c r="Q71" i="1" s="1"/>
  <c r="W69" i="1"/>
  <c r="W71" i="1" s="1"/>
  <c r="M68" i="1"/>
  <c r="G68" i="1"/>
  <c r="R68" i="1"/>
  <c r="H68" i="1"/>
  <c r="X68" i="1"/>
  <c r="L68" i="1"/>
  <c r="H69" i="1"/>
  <c r="H71" i="1" s="1"/>
  <c r="K68" i="1"/>
  <c r="I69" i="1"/>
  <c r="I71" i="1" s="1"/>
  <c r="T68" i="1"/>
  <c r="V68" i="1"/>
  <c r="J68" i="1"/>
  <c r="F68" i="1"/>
  <c r="O68" i="1"/>
  <c r="W68" i="1"/>
  <c r="E68" i="1"/>
  <c r="J69" i="1"/>
  <c r="J71" i="1" s="1"/>
  <c r="K69" i="1"/>
  <c r="K71" i="1" s="1"/>
  <c r="J12" i="13"/>
  <c r="J36" i="13" s="1"/>
  <c r="F36" i="13"/>
  <c r="G12" i="13" s="1"/>
  <c r="AB22" i="6"/>
  <c r="G79" i="14"/>
  <c r="U65" i="14"/>
  <c r="AB8" i="6"/>
  <c r="Y61" i="14"/>
  <c r="AB4" i="6"/>
  <c r="AA4" i="6"/>
  <c r="D75" i="14"/>
  <c r="D28" i="6"/>
  <c r="C75" i="14"/>
  <c r="D29" i="6"/>
  <c r="T66" i="14"/>
  <c r="AB9" i="6"/>
  <c r="X62" i="14"/>
  <c r="AB5" i="6"/>
  <c r="C76" i="14"/>
  <c r="C28" i="6"/>
  <c r="C30" i="6" s="1"/>
  <c r="B76" i="14"/>
  <c r="C29" i="6"/>
  <c r="S67" i="14"/>
  <c r="R85" i="14" s="1"/>
  <c r="AB10" i="6"/>
  <c r="W63" i="14"/>
  <c r="V85" i="14" s="1"/>
  <c r="AB6" i="6"/>
  <c r="R68" i="14"/>
  <c r="R86" i="14" s="1"/>
  <c r="AB11" i="6"/>
  <c r="AB24" i="6"/>
  <c r="E81" i="14"/>
  <c r="AB23" i="6"/>
  <c r="F80" i="14"/>
  <c r="H28" i="6"/>
  <c r="J28" i="6"/>
  <c r="L28" i="6"/>
  <c r="N28" i="6"/>
  <c r="G29" i="6"/>
  <c r="G28" i="6"/>
  <c r="G30" i="6" s="1"/>
  <c r="M28" i="6"/>
  <c r="M30" i="6" s="1"/>
  <c r="R29" i="6"/>
  <c r="R28" i="6"/>
  <c r="S29" i="6"/>
  <c r="AB14" i="6"/>
  <c r="O28" i="6"/>
  <c r="AB17" i="6"/>
  <c r="O29" i="6"/>
  <c r="I28" i="6"/>
  <c r="L29" i="6"/>
  <c r="AB27" i="6"/>
  <c r="AB20" i="6"/>
  <c r="F28" i="6"/>
  <c r="I29" i="6"/>
  <c r="AB26" i="6"/>
  <c r="F29" i="6"/>
  <c r="AB12" i="6"/>
  <c r="Q28" i="6"/>
  <c r="AB15" i="6"/>
  <c r="Q29" i="6"/>
  <c r="AB25" i="6"/>
  <c r="AB18" i="6"/>
  <c r="N29" i="6"/>
  <c r="N30" i="6" s="1"/>
  <c r="Y28" i="6"/>
  <c r="AB7" i="6"/>
  <c r="Y29" i="6"/>
  <c r="X28" i="6"/>
  <c r="E28" i="6"/>
  <c r="H29" i="6"/>
  <c r="X29" i="6"/>
  <c r="W28" i="6"/>
  <c r="E29" i="6"/>
  <c r="AB13" i="6"/>
  <c r="P28" i="6"/>
  <c r="W29" i="6"/>
  <c r="V28" i="6"/>
  <c r="AB21" i="6"/>
  <c r="AB16" i="6"/>
  <c r="P29" i="6"/>
  <c r="V29" i="6"/>
  <c r="U28" i="6"/>
  <c r="AB19" i="6"/>
  <c r="M29" i="6"/>
  <c r="U29" i="6"/>
  <c r="T28" i="6"/>
  <c r="J29" i="6"/>
  <c r="J30" i="6" s="1"/>
  <c r="T29" i="6"/>
  <c r="S28" i="6"/>
  <c r="S71" i="1"/>
  <c r="S70" i="1"/>
  <c r="Q68" i="1"/>
  <c r="U69" i="1"/>
  <c r="U71" i="1" s="1"/>
  <c r="G69" i="1"/>
  <c r="G70" i="1" s="1"/>
  <c r="I68" i="1"/>
  <c r="L69" i="1"/>
  <c r="L71" i="1" s="1"/>
  <c r="X69" i="1"/>
  <c r="X71" i="1" s="1"/>
  <c r="M69" i="1"/>
  <c r="M71" i="1" s="1"/>
  <c r="Y69" i="1"/>
  <c r="Y71" i="1" s="1"/>
  <c r="S68" i="1"/>
  <c r="N69" i="1"/>
  <c r="N71" i="1" s="1"/>
  <c r="Z69" i="1"/>
  <c r="Z71" i="1" s="1"/>
  <c r="O69" i="1"/>
  <c r="O71" i="1" s="1"/>
  <c r="P69" i="1"/>
  <c r="P71" i="1" s="1"/>
  <c r="D68" i="1"/>
  <c r="D70" i="1"/>
  <c r="R70" i="1"/>
  <c r="G71" i="1"/>
  <c r="V70" i="1"/>
  <c r="W70" i="1"/>
  <c r="C43" i="13" l="1" a="1"/>
  <c r="C43" i="13" s="1"/>
  <c r="I12" i="13"/>
  <c r="C39" i="13"/>
  <c r="L87" i="14"/>
  <c r="L89" i="14" s="1"/>
  <c r="X85" i="14"/>
  <c r="AB61" i="14"/>
  <c r="M81" i="14"/>
  <c r="Q85" i="14"/>
  <c r="J84" i="14"/>
  <c r="J87" i="14"/>
  <c r="J89" i="14" s="1"/>
  <c r="S86" i="14"/>
  <c r="W86" i="14"/>
  <c r="W87" i="14" s="1"/>
  <c r="W89" i="14" s="1"/>
  <c r="M87" i="14"/>
  <c r="M89" i="14" s="1"/>
  <c r="Q87" i="14"/>
  <c r="Q89" i="14" s="1"/>
  <c r="Y70" i="1"/>
  <c r="E71" i="1"/>
  <c r="M70" i="1"/>
  <c r="J70" i="1"/>
  <c r="F71" i="1"/>
  <c r="G51" i="13"/>
  <c r="Q70" i="1"/>
  <c r="I70" i="1"/>
  <c r="T70" i="1"/>
  <c r="H70" i="1"/>
  <c r="H12" i="13"/>
  <c r="O70" i="1"/>
  <c r="Z70" i="1"/>
  <c r="K70" i="1"/>
  <c r="I35" i="13"/>
  <c r="G35" i="13"/>
  <c r="H35" i="13" s="1"/>
  <c r="G34" i="13"/>
  <c r="H34" i="13" s="1"/>
  <c r="I34" i="13"/>
  <c r="G33" i="13"/>
  <c r="H33" i="13" s="1"/>
  <c r="I33" i="13"/>
  <c r="G32" i="13"/>
  <c r="H32" i="13" s="1"/>
  <c r="G31" i="13"/>
  <c r="H31" i="13" s="1"/>
  <c r="I31" i="13"/>
  <c r="I32" i="13"/>
  <c r="I30" i="13"/>
  <c r="G30" i="13"/>
  <c r="H30" i="13" s="1"/>
  <c r="G29" i="13"/>
  <c r="H29" i="13" s="1"/>
  <c r="I29" i="13"/>
  <c r="I28" i="13"/>
  <c r="G28" i="13"/>
  <c r="H28" i="13" s="1"/>
  <c r="I27" i="13"/>
  <c r="G26" i="13"/>
  <c r="H26" i="13" s="1"/>
  <c r="G27" i="13"/>
  <c r="H27" i="13" s="1"/>
  <c r="I26" i="13"/>
  <c r="G25" i="13"/>
  <c r="H25" i="13" s="1"/>
  <c r="I25" i="13"/>
  <c r="G24" i="13"/>
  <c r="H24" i="13" s="1"/>
  <c r="I24" i="13"/>
  <c r="I23" i="13"/>
  <c r="G23" i="13"/>
  <c r="H23" i="13" s="1"/>
  <c r="G22" i="13"/>
  <c r="H22" i="13" s="1"/>
  <c r="I22" i="13"/>
  <c r="I21" i="13"/>
  <c r="G21" i="13"/>
  <c r="H21" i="13" s="1"/>
  <c r="G20" i="13"/>
  <c r="H20" i="13" s="1"/>
  <c r="I20" i="13"/>
  <c r="I19" i="13"/>
  <c r="G19" i="13"/>
  <c r="H19" i="13" s="1"/>
  <c r="G18" i="13"/>
  <c r="H18" i="13" s="1"/>
  <c r="I17" i="13"/>
  <c r="G17" i="13"/>
  <c r="H17" i="13" s="1"/>
  <c r="I18" i="13"/>
  <c r="G16" i="13"/>
  <c r="H16" i="13" s="1"/>
  <c r="I16" i="13"/>
  <c r="G13" i="13"/>
  <c r="H13" i="13" s="1"/>
  <c r="I13" i="13"/>
  <c r="G15" i="13"/>
  <c r="H15" i="13" s="1"/>
  <c r="I15" i="13"/>
  <c r="I14" i="13"/>
  <c r="G14" i="13"/>
  <c r="H14" i="13" s="1"/>
  <c r="X70" i="1"/>
  <c r="L70" i="1"/>
  <c r="P70" i="1"/>
  <c r="K36" i="13"/>
  <c r="J41" i="13" s="1"/>
  <c r="X87" i="14"/>
  <c r="X89" i="14" s="1"/>
  <c r="N87" i="14"/>
  <c r="N89" i="14" s="1"/>
  <c r="P87" i="14"/>
  <c r="P89" i="14" s="1"/>
  <c r="S87" i="14"/>
  <c r="S89" i="14" s="1"/>
  <c r="O87" i="14"/>
  <c r="O89" i="14" s="1"/>
  <c r="K87" i="14"/>
  <c r="K89" i="14" s="1"/>
  <c r="R87" i="14"/>
  <c r="R89" i="14" s="1"/>
  <c r="U87" i="14"/>
  <c r="U89" i="14" s="1"/>
  <c r="T87" i="14"/>
  <c r="T89" i="14" s="1"/>
  <c r="V87" i="14"/>
  <c r="V89" i="14" s="1"/>
  <c r="K30" i="6"/>
  <c r="J88" i="14" s="1"/>
  <c r="W30" i="6"/>
  <c r="X7" i="6" s="1"/>
  <c r="L29" i="14"/>
  <c r="J29" i="14"/>
  <c r="F79" i="2"/>
  <c r="M29" i="14"/>
  <c r="V29" i="14"/>
  <c r="AB33" i="6"/>
  <c r="K20" i="6"/>
  <c r="I29" i="14"/>
  <c r="B29" i="14"/>
  <c r="F29" i="14"/>
  <c r="H30" i="6"/>
  <c r="I22" i="6" s="1"/>
  <c r="H23" i="6"/>
  <c r="O16" i="6"/>
  <c r="L20" i="6"/>
  <c r="L30" i="6"/>
  <c r="U30" i="6"/>
  <c r="I30" i="6"/>
  <c r="J21" i="6" s="1"/>
  <c r="K21" i="6" s="1"/>
  <c r="N17" i="6"/>
  <c r="O17" i="6" s="1"/>
  <c r="S30" i="6"/>
  <c r="D30" i="6"/>
  <c r="C29" i="14" s="1"/>
  <c r="AC4" i="6"/>
  <c r="J79" i="2" s="1"/>
  <c r="R30" i="6"/>
  <c r="O30" i="6"/>
  <c r="E30" i="6"/>
  <c r="X30" i="6"/>
  <c r="F30" i="6"/>
  <c r="T30" i="6"/>
  <c r="V30" i="6"/>
  <c r="P30" i="6"/>
  <c r="Q30" i="6"/>
  <c r="Y30" i="6"/>
  <c r="N70" i="1"/>
  <c r="U70" i="1"/>
  <c r="Q77" i="14" l="1"/>
  <c r="R77" i="14" s="1"/>
  <c r="S77" i="14" s="1"/>
  <c r="T77" i="14" s="1"/>
  <c r="U77" i="14" s="1"/>
  <c r="V77" i="14" s="1"/>
  <c r="X70" i="14"/>
  <c r="Y70" i="14" s="1"/>
  <c r="AB70" i="14" s="1"/>
  <c r="Y69" i="14"/>
  <c r="AB69" i="14" s="1"/>
  <c r="K83" i="14"/>
  <c r="L83" i="14" s="1"/>
  <c r="M83" i="14" s="1"/>
  <c r="N83" i="14" s="1"/>
  <c r="O83" i="14" s="1"/>
  <c r="P83" i="14" s="1"/>
  <c r="T74" i="14"/>
  <c r="U74" i="14" s="1"/>
  <c r="V74" i="14" s="1"/>
  <c r="W74" i="14" s="1"/>
  <c r="X74" i="14" s="1"/>
  <c r="Y74" i="14" s="1"/>
  <c r="O79" i="14"/>
  <c r="P79" i="14" s="1"/>
  <c r="Q79" i="14" s="1"/>
  <c r="R79" i="14" s="1"/>
  <c r="S79" i="14" s="1"/>
  <c r="T79" i="14" s="1"/>
  <c r="W71" i="14"/>
  <c r="X71" i="14" s="1"/>
  <c r="Y71" i="14" s="1"/>
  <c r="AB71" i="14" s="1"/>
  <c r="K84" i="14"/>
  <c r="L84" i="14" s="1"/>
  <c r="M84" i="14" s="1"/>
  <c r="N84" i="14" s="1"/>
  <c r="O84" i="14" s="1"/>
  <c r="V72" i="14"/>
  <c r="W72" i="14" s="1"/>
  <c r="X72" i="14" s="1"/>
  <c r="Y72" i="14" s="1"/>
  <c r="AB72" i="14" s="1"/>
  <c r="N81" i="14"/>
  <c r="O81" i="14" s="1"/>
  <c r="P81" i="14" s="1"/>
  <c r="Q81" i="14" s="1"/>
  <c r="R81" i="14" s="1"/>
  <c r="R76" i="14"/>
  <c r="S76" i="14" s="1"/>
  <c r="T76" i="14" s="1"/>
  <c r="U76" i="14" s="1"/>
  <c r="V76" i="14" s="1"/>
  <c r="W76" i="14" s="1"/>
  <c r="N80" i="14"/>
  <c r="O80" i="14" s="1"/>
  <c r="P80" i="14" s="1"/>
  <c r="Q80" i="14" s="1"/>
  <c r="R80" i="14" s="1"/>
  <c r="S80" i="14" s="1"/>
  <c r="U73" i="14"/>
  <c r="V73" i="14" s="1"/>
  <c r="W73" i="14" s="1"/>
  <c r="X73" i="14" s="1"/>
  <c r="Y73" i="14" s="1"/>
  <c r="S75" i="14"/>
  <c r="T75" i="14" s="1"/>
  <c r="U75" i="14" s="1"/>
  <c r="V75" i="14" s="1"/>
  <c r="W75" i="14" s="1"/>
  <c r="X75" i="14" s="1"/>
  <c r="L82" i="14"/>
  <c r="M82" i="14" s="1"/>
  <c r="N82" i="14" s="1"/>
  <c r="O82" i="14" s="1"/>
  <c r="P82" i="14" s="1"/>
  <c r="Q82" i="14" s="1"/>
  <c r="P78" i="14"/>
  <c r="Q78" i="14" s="1"/>
  <c r="R78" i="14" s="1"/>
  <c r="S78" i="14" s="1"/>
  <c r="T78" i="14" s="1"/>
  <c r="U78" i="14" s="1"/>
  <c r="L19" i="6"/>
  <c r="L21" i="6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G50" i="13"/>
  <c r="G52" i="13"/>
  <c r="G49" i="13"/>
  <c r="I36" i="13"/>
  <c r="G36" i="13"/>
  <c r="H36" i="13"/>
  <c r="I23" i="6"/>
  <c r="P16" i="6"/>
  <c r="W29" i="14"/>
  <c r="H29" i="14"/>
  <c r="T29" i="14"/>
  <c r="K29" i="14"/>
  <c r="M20" i="6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X29" i="14"/>
  <c r="Y31" i="6"/>
  <c r="Y32" i="6" s="1"/>
  <c r="E9" i="7" s="1"/>
  <c r="Z5" i="6"/>
  <c r="AA5" i="6" s="1"/>
  <c r="O29" i="14"/>
  <c r="U29" i="14"/>
  <c r="F25" i="6"/>
  <c r="G25" i="6" s="1"/>
  <c r="H25" i="6" s="1"/>
  <c r="I25" i="6" s="1"/>
  <c r="J25" i="6" s="1"/>
  <c r="K25" i="6" s="1"/>
  <c r="L25" i="6" s="1"/>
  <c r="M25" i="6" s="1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D29" i="14"/>
  <c r="N29" i="14"/>
  <c r="J22" i="6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P29" i="14"/>
  <c r="Q29" i="14"/>
  <c r="G29" i="14"/>
  <c r="S29" i="14"/>
  <c r="G24" i="6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E29" i="14"/>
  <c r="R29" i="14"/>
  <c r="E26" i="6"/>
  <c r="F26" i="6" s="1"/>
  <c r="G26" i="6" s="1"/>
  <c r="H26" i="6" s="1"/>
  <c r="I26" i="6" s="1"/>
  <c r="J26" i="6" s="1"/>
  <c r="K26" i="6" s="1"/>
  <c r="L26" i="6" s="1"/>
  <c r="M26" i="6" s="1"/>
  <c r="N26" i="6" s="1"/>
  <c r="O26" i="6" s="1"/>
  <c r="P26" i="6" s="1"/>
  <c r="Q26" i="6" s="1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U10" i="6"/>
  <c r="V10" i="6" s="1"/>
  <c r="W10" i="6" s="1"/>
  <c r="X10" i="6" s="1"/>
  <c r="Y10" i="6" s="1"/>
  <c r="Z10" i="6" s="1"/>
  <c r="AA10" i="6" s="1"/>
  <c r="Y6" i="6"/>
  <c r="Z6" i="6" s="1"/>
  <c r="AA6" i="6" s="1"/>
  <c r="S12" i="6"/>
  <c r="T12" i="6" s="1"/>
  <c r="U12" i="6" s="1"/>
  <c r="V12" i="6" s="1"/>
  <c r="W12" i="6" s="1"/>
  <c r="X12" i="6" s="1"/>
  <c r="Y12" i="6" s="1"/>
  <c r="Z12" i="6" s="1"/>
  <c r="AA12" i="6" s="1"/>
  <c r="P15" i="6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T11" i="6"/>
  <c r="U11" i="6" s="1"/>
  <c r="V11" i="6" s="1"/>
  <c r="W11" i="6" s="1"/>
  <c r="X11" i="6" s="1"/>
  <c r="Y11" i="6" s="1"/>
  <c r="Z11" i="6" s="1"/>
  <c r="AA11" i="6" s="1"/>
  <c r="P17" i="6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R13" i="6"/>
  <c r="S13" i="6" s="1"/>
  <c r="T13" i="6" s="1"/>
  <c r="U13" i="6" s="1"/>
  <c r="V13" i="6" s="1"/>
  <c r="W13" i="6" s="1"/>
  <c r="X13" i="6" s="1"/>
  <c r="Y13" i="6" s="1"/>
  <c r="Z13" i="6" s="1"/>
  <c r="AA13" i="6" s="1"/>
  <c r="J23" i="6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V9" i="6"/>
  <c r="W9" i="6" s="1"/>
  <c r="X9" i="6" s="1"/>
  <c r="Y9" i="6" s="1"/>
  <c r="Z9" i="6" s="1"/>
  <c r="AA9" i="6" s="1"/>
  <c r="Q14" i="6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M18" i="6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E27" i="6"/>
  <c r="F27" i="6" s="1"/>
  <c r="G27" i="6" s="1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R27" i="6" s="1"/>
  <c r="S27" i="6" s="1"/>
  <c r="T27" i="6" s="1"/>
  <c r="U27" i="6" s="1"/>
  <c r="V27" i="6" s="1"/>
  <c r="W27" i="6" s="1"/>
  <c r="X27" i="6" s="1"/>
  <c r="Y27" i="6" s="1"/>
  <c r="Z27" i="6" s="1"/>
  <c r="AA27" i="6" s="1"/>
  <c r="F102" i="2" s="1"/>
  <c r="M19" i="6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W8" i="6"/>
  <c r="X8" i="6" s="1"/>
  <c r="Y8" i="6" s="1"/>
  <c r="Z8" i="6" s="1"/>
  <c r="AA8" i="6" s="1"/>
  <c r="Y7" i="6"/>
  <c r="Z7" i="6" s="1"/>
  <c r="AA7" i="6" s="1"/>
  <c r="Q16" i="6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E44" i="2"/>
  <c r="C5" i="14" s="1"/>
  <c r="F44" i="2"/>
  <c r="D5" i="14" s="1"/>
  <c r="G44" i="2"/>
  <c r="E5" i="14" s="1"/>
  <c r="H44" i="2"/>
  <c r="F5" i="14" s="1"/>
  <c r="I44" i="2"/>
  <c r="G5" i="14" s="1"/>
  <c r="J44" i="2"/>
  <c r="H5" i="14" s="1"/>
  <c r="K44" i="2"/>
  <c r="I5" i="14" s="1"/>
  <c r="L44" i="2"/>
  <c r="J5" i="14" s="1"/>
  <c r="M44" i="2"/>
  <c r="K5" i="14" s="1"/>
  <c r="N44" i="2"/>
  <c r="L5" i="14" s="1"/>
  <c r="O44" i="2"/>
  <c r="M5" i="14" s="1"/>
  <c r="P44" i="2"/>
  <c r="N5" i="14" s="1"/>
  <c r="Q44" i="2"/>
  <c r="O5" i="14" s="1"/>
  <c r="R44" i="2"/>
  <c r="P5" i="14" s="1"/>
  <c r="S44" i="2"/>
  <c r="Q5" i="14" s="1"/>
  <c r="T44" i="2"/>
  <c r="R5" i="14" s="1"/>
  <c r="U44" i="2"/>
  <c r="S5" i="14" s="1"/>
  <c r="V44" i="2"/>
  <c r="T5" i="14" s="1"/>
  <c r="W44" i="2"/>
  <c r="U5" i="14" s="1"/>
  <c r="X44" i="2"/>
  <c r="V5" i="14" s="1"/>
  <c r="Y44" i="2"/>
  <c r="W5" i="14" s="1"/>
  <c r="Z44" i="2"/>
  <c r="X5" i="14" s="1"/>
  <c r="E45" i="2"/>
  <c r="C6" i="14" s="1"/>
  <c r="F45" i="2"/>
  <c r="D6" i="14" s="1"/>
  <c r="G45" i="2"/>
  <c r="E6" i="14" s="1"/>
  <c r="H45" i="2"/>
  <c r="F6" i="14" s="1"/>
  <c r="I45" i="2"/>
  <c r="G6" i="14" s="1"/>
  <c r="J45" i="2"/>
  <c r="H6" i="14" s="1"/>
  <c r="AI6" i="14" s="1"/>
  <c r="K45" i="2"/>
  <c r="I6" i="14" s="1"/>
  <c r="L45" i="2"/>
  <c r="J6" i="14" s="1"/>
  <c r="M45" i="2"/>
  <c r="K6" i="14" s="1"/>
  <c r="N45" i="2"/>
  <c r="L6" i="14" s="1"/>
  <c r="O45" i="2"/>
  <c r="M6" i="14" s="1"/>
  <c r="P45" i="2"/>
  <c r="N6" i="14" s="1"/>
  <c r="Q45" i="2"/>
  <c r="O6" i="14" s="1"/>
  <c r="R45" i="2"/>
  <c r="P6" i="14" s="1"/>
  <c r="S45" i="2"/>
  <c r="Q6" i="14" s="1"/>
  <c r="T45" i="2"/>
  <c r="R6" i="14" s="1"/>
  <c r="U45" i="2"/>
  <c r="S6" i="14" s="1"/>
  <c r="V45" i="2"/>
  <c r="T6" i="14" s="1"/>
  <c r="AU6" i="14" s="1"/>
  <c r="W45" i="2"/>
  <c r="U6" i="14" s="1"/>
  <c r="X45" i="2"/>
  <c r="V6" i="14" s="1"/>
  <c r="Y45" i="2"/>
  <c r="W6" i="14" s="1"/>
  <c r="E46" i="2"/>
  <c r="C7" i="14" s="1"/>
  <c r="F46" i="2"/>
  <c r="D7" i="14" s="1"/>
  <c r="G46" i="2"/>
  <c r="E7" i="14" s="1"/>
  <c r="H46" i="2"/>
  <c r="F7" i="14" s="1"/>
  <c r="I46" i="2"/>
  <c r="G7" i="14" s="1"/>
  <c r="J46" i="2"/>
  <c r="H7" i="14" s="1"/>
  <c r="K46" i="2"/>
  <c r="I7" i="14" s="1"/>
  <c r="L46" i="2"/>
  <c r="J7" i="14" s="1"/>
  <c r="M46" i="2"/>
  <c r="K7" i="14" s="1"/>
  <c r="N46" i="2"/>
  <c r="L7" i="14" s="1"/>
  <c r="O46" i="2"/>
  <c r="M7" i="14" s="1"/>
  <c r="P46" i="2"/>
  <c r="N7" i="14" s="1"/>
  <c r="Q46" i="2"/>
  <c r="O7" i="14" s="1"/>
  <c r="R46" i="2"/>
  <c r="P7" i="14" s="1"/>
  <c r="S46" i="2"/>
  <c r="Q7" i="14" s="1"/>
  <c r="T46" i="2"/>
  <c r="R7" i="14" s="1"/>
  <c r="U46" i="2"/>
  <c r="S7" i="14" s="1"/>
  <c r="V46" i="2"/>
  <c r="T7" i="14" s="1"/>
  <c r="W46" i="2"/>
  <c r="U7" i="14" s="1"/>
  <c r="X46" i="2"/>
  <c r="V7" i="14" s="1"/>
  <c r="E47" i="2"/>
  <c r="C8" i="14" s="1"/>
  <c r="F47" i="2"/>
  <c r="D8" i="14" s="1"/>
  <c r="G47" i="2"/>
  <c r="E8" i="14" s="1"/>
  <c r="H47" i="2"/>
  <c r="F8" i="14" s="1"/>
  <c r="I47" i="2"/>
  <c r="G8" i="14" s="1"/>
  <c r="J47" i="2"/>
  <c r="H8" i="14" s="1"/>
  <c r="K47" i="2"/>
  <c r="I8" i="14" s="1"/>
  <c r="L47" i="2"/>
  <c r="J8" i="14" s="1"/>
  <c r="M47" i="2"/>
  <c r="K8" i="14" s="1"/>
  <c r="N47" i="2"/>
  <c r="L8" i="14" s="1"/>
  <c r="O47" i="2"/>
  <c r="M8" i="14" s="1"/>
  <c r="P47" i="2"/>
  <c r="N8" i="14" s="1"/>
  <c r="Q47" i="2"/>
  <c r="O8" i="14" s="1"/>
  <c r="R47" i="2"/>
  <c r="P8" i="14" s="1"/>
  <c r="S47" i="2"/>
  <c r="Q8" i="14" s="1"/>
  <c r="T47" i="2"/>
  <c r="R8" i="14" s="1"/>
  <c r="U47" i="2"/>
  <c r="S8" i="14" s="1"/>
  <c r="V47" i="2"/>
  <c r="T8" i="14" s="1"/>
  <c r="W47" i="2"/>
  <c r="U8" i="14" s="1"/>
  <c r="E48" i="2"/>
  <c r="C9" i="14" s="1"/>
  <c r="F48" i="2"/>
  <c r="D9" i="14" s="1"/>
  <c r="G48" i="2"/>
  <c r="E9" i="14" s="1"/>
  <c r="H48" i="2"/>
  <c r="F9" i="14" s="1"/>
  <c r="I48" i="2"/>
  <c r="G9" i="14" s="1"/>
  <c r="J48" i="2"/>
  <c r="H9" i="14" s="1"/>
  <c r="K48" i="2"/>
  <c r="I9" i="14" s="1"/>
  <c r="L48" i="2"/>
  <c r="J9" i="14" s="1"/>
  <c r="M48" i="2"/>
  <c r="K9" i="14" s="1"/>
  <c r="N48" i="2"/>
  <c r="L9" i="14" s="1"/>
  <c r="O48" i="2"/>
  <c r="M9" i="14" s="1"/>
  <c r="P48" i="2"/>
  <c r="N9" i="14" s="1"/>
  <c r="Q48" i="2"/>
  <c r="O9" i="14" s="1"/>
  <c r="R48" i="2"/>
  <c r="P9" i="14" s="1"/>
  <c r="S48" i="2"/>
  <c r="Q9" i="14" s="1"/>
  <c r="T48" i="2"/>
  <c r="R9" i="14" s="1"/>
  <c r="U48" i="2"/>
  <c r="S9" i="14" s="1"/>
  <c r="V48" i="2"/>
  <c r="T9" i="14" s="1"/>
  <c r="E49" i="2"/>
  <c r="C10" i="14" s="1"/>
  <c r="F49" i="2"/>
  <c r="D10" i="14" s="1"/>
  <c r="G49" i="2"/>
  <c r="E10" i="14" s="1"/>
  <c r="H49" i="2"/>
  <c r="F10" i="14" s="1"/>
  <c r="I49" i="2"/>
  <c r="G10" i="14" s="1"/>
  <c r="J49" i="2"/>
  <c r="H10" i="14" s="1"/>
  <c r="K49" i="2"/>
  <c r="I10" i="14" s="1"/>
  <c r="L49" i="2"/>
  <c r="J10" i="14" s="1"/>
  <c r="M49" i="2"/>
  <c r="K10" i="14" s="1"/>
  <c r="N49" i="2"/>
  <c r="L10" i="14" s="1"/>
  <c r="O49" i="2"/>
  <c r="M10" i="14" s="1"/>
  <c r="P49" i="2"/>
  <c r="N10" i="14" s="1"/>
  <c r="Q49" i="2"/>
  <c r="O10" i="14" s="1"/>
  <c r="R49" i="2"/>
  <c r="P10" i="14" s="1"/>
  <c r="S49" i="2"/>
  <c r="Q10" i="14" s="1"/>
  <c r="T49" i="2"/>
  <c r="R10" i="14" s="1"/>
  <c r="U49" i="2"/>
  <c r="S10" i="14" s="1"/>
  <c r="E50" i="2"/>
  <c r="C11" i="14" s="1"/>
  <c r="F50" i="2"/>
  <c r="D11" i="14" s="1"/>
  <c r="G50" i="2"/>
  <c r="E11" i="14" s="1"/>
  <c r="H50" i="2"/>
  <c r="F11" i="14" s="1"/>
  <c r="I50" i="2"/>
  <c r="G11" i="14" s="1"/>
  <c r="J50" i="2"/>
  <c r="H11" i="14" s="1"/>
  <c r="K50" i="2"/>
  <c r="I11" i="14" s="1"/>
  <c r="L50" i="2"/>
  <c r="J11" i="14" s="1"/>
  <c r="M50" i="2"/>
  <c r="K11" i="14" s="1"/>
  <c r="N50" i="2"/>
  <c r="L11" i="14" s="1"/>
  <c r="O50" i="2"/>
  <c r="M11" i="14" s="1"/>
  <c r="P50" i="2"/>
  <c r="N11" i="14" s="1"/>
  <c r="Q50" i="2"/>
  <c r="O11" i="14" s="1"/>
  <c r="R50" i="2"/>
  <c r="P11" i="14" s="1"/>
  <c r="S50" i="2"/>
  <c r="Q11" i="14" s="1"/>
  <c r="T50" i="2"/>
  <c r="R11" i="14" s="1"/>
  <c r="E51" i="2"/>
  <c r="C12" i="14" s="1"/>
  <c r="F51" i="2"/>
  <c r="D12" i="14" s="1"/>
  <c r="G51" i="2"/>
  <c r="E12" i="14" s="1"/>
  <c r="H51" i="2"/>
  <c r="F12" i="14" s="1"/>
  <c r="I51" i="2"/>
  <c r="G12" i="14" s="1"/>
  <c r="J51" i="2"/>
  <c r="H12" i="14" s="1"/>
  <c r="K51" i="2"/>
  <c r="I12" i="14" s="1"/>
  <c r="L51" i="2"/>
  <c r="J12" i="14" s="1"/>
  <c r="M51" i="2"/>
  <c r="K12" i="14" s="1"/>
  <c r="N51" i="2"/>
  <c r="L12" i="14" s="1"/>
  <c r="O51" i="2"/>
  <c r="M12" i="14" s="1"/>
  <c r="P51" i="2"/>
  <c r="N12" i="14" s="1"/>
  <c r="Q51" i="2"/>
  <c r="O12" i="14" s="1"/>
  <c r="R51" i="2"/>
  <c r="P12" i="14" s="1"/>
  <c r="S51" i="2"/>
  <c r="Q12" i="14" s="1"/>
  <c r="E52" i="2"/>
  <c r="C13" i="14" s="1"/>
  <c r="F52" i="2"/>
  <c r="D13" i="14" s="1"/>
  <c r="G52" i="2"/>
  <c r="E13" i="14" s="1"/>
  <c r="H52" i="2"/>
  <c r="F13" i="14" s="1"/>
  <c r="I52" i="2"/>
  <c r="G13" i="14" s="1"/>
  <c r="J52" i="2"/>
  <c r="H13" i="14" s="1"/>
  <c r="K52" i="2"/>
  <c r="I13" i="14" s="1"/>
  <c r="L52" i="2"/>
  <c r="J13" i="14" s="1"/>
  <c r="M52" i="2"/>
  <c r="K13" i="14" s="1"/>
  <c r="N52" i="2"/>
  <c r="L13" i="14" s="1"/>
  <c r="O52" i="2"/>
  <c r="M13" i="14" s="1"/>
  <c r="P52" i="2"/>
  <c r="N13" i="14" s="1"/>
  <c r="Q52" i="2"/>
  <c r="O13" i="14" s="1"/>
  <c r="R52" i="2"/>
  <c r="P13" i="14" s="1"/>
  <c r="E53" i="2"/>
  <c r="C14" i="14" s="1"/>
  <c r="F53" i="2"/>
  <c r="D14" i="14" s="1"/>
  <c r="G53" i="2"/>
  <c r="E14" i="14" s="1"/>
  <c r="H53" i="2"/>
  <c r="F14" i="14" s="1"/>
  <c r="I53" i="2"/>
  <c r="G14" i="14" s="1"/>
  <c r="J53" i="2"/>
  <c r="H14" i="14" s="1"/>
  <c r="K53" i="2"/>
  <c r="I14" i="14" s="1"/>
  <c r="L53" i="2"/>
  <c r="J14" i="14" s="1"/>
  <c r="M53" i="2"/>
  <c r="K14" i="14" s="1"/>
  <c r="N53" i="2"/>
  <c r="L14" i="14" s="1"/>
  <c r="O53" i="2"/>
  <c r="M14" i="14" s="1"/>
  <c r="P53" i="2"/>
  <c r="N14" i="14" s="1"/>
  <c r="Q53" i="2"/>
  <c r="O14" i="14" s="1"/>
  <c r="E54" i="2"/>
  <c r="C15" i="14" s="1"/>
  <c r="F54" i="2"/>
  <c r="D15" i="14" s="1"/>
  <c r="G54" i="2"/>
  <c r="E15" i="14" s="1"/>
  <c r="H54" i="2"/>
  <c r="F15" i="14" s="1"/>
  <c r="I54" i="2"/>
  <c r="G15" i="14" s="1"/>
  <c r="J54" i="2"/>
  <c r="H15" i="14" s="1"/>
  <c r="K54" i="2"/>
  <c r="I15" i="14" s="1"/>
  <c r="L54" i="2"/>
  <c r="J15" i="14" s="1"/>
  <c r="M54" i="2"/>
  <c r="K15" i="14" s="1"/>
  <c r="N54" i="2"/>
  <c r="L15" i="14" s="1"/>
  <c r="O54" i="2"/>
  <c r="M15" i="14" s="1"/>
  <c r="P54" i="2"/>
  <c r="N15" i="14" s="1"/>
  <c r="E55" i="2"/>
  <c r="C16" i="14" s="1"/>
  <c r="F55" i="2"/>
  <c r="D16" i="14" s="1"/>
  <c r="G55" i="2"/>
  <c r="E16" i="14" s="1"/>
  <c r="H55" i="2"/>
  <c r="F16" i="14" s="1"/>
  <c r="I55" i="2"/>
  <c r="G16" i="14" s="1"/>
  <c r="J55" i="2"/>
  <c r="H16" i="14" s="1"/>
  <c r="K55" i="2"/>
  <c r="I16" i="14" s="1"/>
  <c r="L55" i="2"/>
  <c r="J16" i="14" s="1"/>
  <c r="M55" i="2"/>
  <c r="K16" i="14" s="1"/>
  <c r="AL16" i="14" s="1"/>
  <c r="N55" i="2"/>
  <c r="L16" i="14" s="1"/>
  <c r="O55" i="2"/>
  <c r="M16" i="14" s="1"/>
  <c r="E56" i="2"/>
  <c r="C17" i="14" s="1"/>
  <c r="F56" i="2"/>
  <c r="D17" i="14" s="1"/>
  <c r="G56" i="2"/>
  <c r="E17" i="14" s="1"/>
  <c r="H56" i="2"/>
  <c r="F17" i="14" s="1"/>
  <c r="I56" i="2"/>
  <c r="G17" i="14" s="1"/>
  <c r="J56" i="2"/>
  <c r="H17" i="14" s="1"/>
  <c r="K56" i="2"/>
  <c r="I17" i="14" s="1"/>
  <c r="L56" i="2"/>
  <c r="J17" i="14" s="1"/>
  <c r="M56" i="2"/>
  <c r="K17" i="14" s="1"/>
  <c r="N56" i="2"/>
  <c r="L17" i="14" s="1"/>
  <c r="E57" i="2"/>
  <c r="C18" i="14" s="1"/>
  <c r="F57" i="2"/>
  <c r="D18" i="14" s="1"/>
  <c r="G57" i="2"/>
  <c r="E18" i="14" s="1"/>
  <c r="H57" i="2"/>
  <c r="F18" i="14" s="1"/>
  <c r="I57" i="2"/>
  <c r="G18" i="14" s="1"/>
  <c r="J57" i="2"/>
  <c r="H18" i="14" s="1"/>
  <c r="K57" i="2"/>
  <c r="I18" i="14" s="1"/>
  <c r="L57" i="2"/>
  <c r="J18" i="14" s="1"/>
  <c r="M57" i="2"/>
  <c r="K18" i="14" s="1"/>
  <c r="E58" i="2"/>
  <c r="C19" i="14" s="1"/>
  <c r="F58" i="2"/>
  <c r="D19" i="14" s="1"/>
  <c r="G58" i="2"/>
  <c r="E19" i="14" s="1"/>
  <c r="H58" i="2"/>
  <c r="F19" i="14" s="1"/>
  <c r="I58" i="2"/>
  <c r="G19" i="14" s="1"/>
  <c r="J58" i="2"/>
  <c r="H19" i="14" s="1"/>
  <c r="K58" i="2"/>
  <c r="I19" i="14" s="1"/>
  <c r="L58" i="2"/>
  <c r="J19" i="14" s="1"/>
  <c r="E59" i="2"/>
  <c r="C20" i="14" s="1"/>
  <c r="F59" i="2"/>
  <c r="D20" i="14" s="1"/>
  <c r="G59" i="2"/>
  <c r="E20" i="14" s="1"/>
  <c r="H59" i="2"/>
  <c r="F20" i="14" s="1"/>
  <c r="I59" i="2"/>
  <c r="G20" i="14" s="1"/>
  <c r="J59" i="2"/>
  <c r="H20" i="14" s="1"/>
  <c r="K59" i="2"/>
  <c r="I20" i="14" s="1"/>
  <c r="E60" i="2"/>
  <c r="C21" i="14" s="1"/>
  <c r="F60" i="2"/>
  <c r="D21" i="14" s="1"/>
  <c r="G60" i="2"/>
  <c r="E21" i="14" s="1"/>
  <c r="H60" i="2"/>
  <c r="F21" i="14" s="1"/>
  <c r="I60" i="2"/>
  <c r="G21" i="14" s="1"/>
  <c r="J60" i="2"/>
  <c r="H21" i="14" s="1"/>
  <c r="E61" i="2"/>
  <c r="C22" i="14" s="1"/>
  <c r="F61" i="2"/>
  <c r="D22" i="14" s="1"/>
  <c r="G61" i="2"/>
  <c r="E22" i="14" s="1"/>
  <c r="H61" i="2"/>
  <c r="F22" i="14" s="1"/>
  <c r="I61" i="2"/>
  <c r="G22" i="14" s="1"/>
  <c r="E62" i="2"/>
  <c r="C23" i="14" s="1"/>
  <c r="F62" i="2"/>
  <c r="D23" i="14" s="1"/>
  <c r="G62" i="2"/>
  <c r="E23" i="14" s="1"/>
  <c r="H62" i="2"/>
  <c r="F23" i="14" s="1"/>
  <c r="E63" i="2"/>
  <c r="C24" i="14" s="1"/>
  <c r="F63" i="2"/>
  <c r="D24" i="14" s="1"/>
  <c r="G63" i="2"/>
  <c r="E24" i="14" s="1"/>
  <c r="E64" i="2"/>
  <c r="C25" i="14" s="1"/>
  <c r="F64" i="2"/>
  <c r="D25" i="14" s="1"/>
  <c r="E65" i="2"/>
  <c r="C26" i="14" s="1"/>
  <c r="D45" i="2"/>
  <c r="B6" i="14" s="1"/>
  <c r="D46" i="2"/>
  <c r="B7" i="14" s="1"/>
  <c r="D47" i="2"/>
  <c r="B8" i="14" s="1"/>
  <c r="D48" i="2"/>
  <c r="B9" i="14" s="1"/>
  <c r="D49" i="2"/>
  <c r="B10" i="14" s="1"/>
  <c r="D50" i="2"/>
  <c r="B11" i="14" s="1"/>
  <c r="D51" i="2"/>
  <c r="B12" i="14" s="1"/>
  <c r="D52" i="2"/>
  <c r="B13" i="14" s="1"/>
  <c r="D53" i="2"/>
  <c r="B14" i="14" s="1"/>
  <c r="D54" i="2"/>
  <c r="B15" i="14" s="1"/>
  <c r="D55" i="2"/>
  <c r="B16" i="14" s="1"/>
  <c r="D56" i="2"/>
  <c r="B17" i="14" s="1"/>
  <c r="D57" i="2"/>
  <c r="B18" i="14" s="1"/>
  <c r="D58" i="2"/>
  <c r="B19" i="14" s="1"/>
  <c r="D59" i="2"/>
  <c r="B20" i="14" s="1"/>
  <c r="D60" i="2"/>
  <c r="B21" i="14" s="1"/>
  <c r="D61" i="2"/>
  <c r="B22" i="14" s="1"/>
  <c r="D62" i="2"/>
  <c r="B23" i="14" s="1"/>
  <c r="D63" i="2"/>
  <c r="B24" i="14" s="1"/>
  <c r="D64" i="2"/>
  <c r="B25" i="14" s="1"/>
  <c r="D65" i="2"/>
  <c r="B26" i="14" s="1"/>
  <c r="E43" i="2"/>
  <c r="F43" i="2" s="1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C6" i="3"/>
  <c r="C7" i="3"/>
  <c r="C8" i="3"/>
  <c r="C9" i="3"/>
  <c r="C10" i="3"/>
  <c r="C5" i="3"/>
  <c r="E110" i="2"/>
  <c r="F110" i="2" s="1"/>
  <c r="G110" i="2" s="1"/>
  <c r="H110" i="2" s="1"/>
  <c r="I110" i="2" s="1"/>
  <c r="J110" i="2" s="1"/>
  <c r="K110" i="2" s="1"/>
  <c r="L110" i="2" s="1"/>
  <c r="M110" i="2" s="1"/>
  <c r="N110" i="2" s="1"/>
  <c r="O110" i="2" s="1"/>
  <c r="P110" i="2" s="1"/>
  <c r="Q110" i="2" s="1"/>
  <c r="R110" i="2" s="1"/>
  <c r="S110" i="2" s="1"/>
  <c r="T110" i="2" s="1"/>
  <c r="U110" i="2" s="1"/>
  <c r="V110" i="2" s="1"/>
  <c r="W110" i="2" s="1"/>
  <c r="X110" i="2" s="1"/>
  <c r="Y110" i="2" s="1"/>
  <c r="Z110" i="2" s="1"/>
  <c r="AA110" i="2" s="1"/>
  <c r="B80" i="2"/>
  <c r="E79" i="2" a="1"/>
  <c r="E15" i="2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E109" i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B79" i="1"/>
  <c r="E78" i="1" a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X76" i="14" l="1"/>
  <c r="Y76" i="14" s="1"/>
  <c r="Z76" i="14" s="1"/>
  <c r="AB76" i="14" s="1"/>
  <c r="T80" i="14"/>
  <c r="U80" i="14" s="1"/>
  <c r="V80" i="14" s="1"/>
  <c r="W80" i="14" s="1"/>
  <c r="X80" i="14" s="1"/>
  <c r="Y80" i="14" s="1"/>
  <c r="Z80" i="14" s="1"/>
  <c r="AB80" i="14" s="1"/>
  <c r="S81" i="14"/>
  <c r="T81" i="14" s="1"/>
  <c r="U81" i="14" s="1"/>
  <c r="V81" i="14" s="1"/>
  <c r="W81" i="14" s="1"/>
  <c r="X81" i="14" s="1"/>
  <c r="Y81" i="14" s="1"/>
  <c r="Z81" i="14" s="1"/>
  <c r="AB81" i="14" s="1"/>
  <c r="P84" i="14"/>
  <c r="Q84" i="14" s="1"/>
  <c r="R84" i="14" s="1"/>
  <c r="S84" i="14" s="1"/>
  <c r="T84" i="14" s="1"/>
  <c r="U84" i="14" s="1"/>
  <c r="V84" i="14" s="1"/>
  <c r="W84" i="14" s="1"/>
  <c r="X84" i="14" s="1"/>
  <c r="Y84" i="14" s="1"/>
  <c r="Z84" i="14" s="1"/>
  <c r="AB84" i="14" s="1"/>
  <c r="AB74" i="14"/>
  <c r="V78" i="14"/>
  <c r="W78" i="14" s="1"/>
  <c r="X78" i="14" s="1"/>
  <c r="Y78" i="14" s="1"/>
  <c r="Z78" i="14" s="1"/>
  <c r="AB78" i="14" s="1"/>
  <c r="Q83" i="14"/>
  <c r="R83" i="14" s="1"/>
  <c r="S83" i="14" s="1"/>
  <c r="T83" i="14" s="1"/>
  <c r="U83" i="14" s="1"/>
  <c r="V83" i="14" s="1"/>
  <c r="W83" i="14" s="1"/>
  <c r="X83" i="14" s="1"/>
  <c r="Y83" i="14" s="1"/>
  <c r="Z83" i="14" s="1"/>
  <c r="AB83" i="14" s="1"/>
  <c r="U79" i="14"/>
  <c r="V79" i="14" s="1"/>
  <c r="W79" i="14" s="1"/>
  <c r="X79" i="14" s="1"/>
  <c r="Y79" i="14" s="1"/>
  <c r="Z79" i="14" s="1"/>
  <c r="AB79" i="14" s="1"/>
  <c r="R82" i="14"/>
  <c r="S82" i="14" s="1"/>
  <c r="T82" i="14" s="1"/>
  <c r="U82" i="14" s="1"/>
  <c r="V82" i="14" s="1"/>
  <c r="W82" i="14" s="1"/>
  <c r="X82" i="14" s="1"/>
  <c r="Y82" i="14" s="1"/>
  <c r="Z82" i="14" s="1"/>
  <c r="AB82" i="14" s="1"/>
  <c r="Y75" i="14"/>
  <c r="AB75" i="14" s="1"/>
  <c r="AB73" i="14"/>
  <c r="W77" i="14"/>
  <c r="X77" i="14" s="1"/>
  <c r="Y77" i="14" s="1"/>
  <c r="AB77" i="14" s="1"/>
  <c r="AI18" i="14"/>
  <c r="AH18" i="14"/>
  <c r="AE16" i="14"/>
  <c r="AN6" i="14"/>
  <c r="AE20" i="14"/>
  <c r="AG17" i="14"/>
  <c r="AF17" i="14"/>
  <c r="AM7" i="14"/>
  <c r="AJ13" i="14"/>
  <c r="AL12" i="14"/>
  <c r="AI10" i="14"/>
  <c r="AD20" i="14"/>
  <c r="AO11" i="14"/>
  <c r="AI8" i="14"/>
  <c r="AQ7" i="14"/>
  <c r="AE7" i="14"/>
  <c r="AD22" i="14"/>
  <c r="AJ19" i="14"/>
  <c r="AG18" i="14"/>
  <c r="AG10" i="14"/>
  <c r="AQ11" i="14"/>
  <c r="AD11" i="14"/>
  <c r="AU8" i="14"/>
  <c r="AI19" i="14"/>
  <c r="AF18" i="14"/>
  <c r="AL9" i="14"/>
  <c r="AG8" i="14"/>
  <c r="AD25" i="14"/>
  <c r="AM12" i="14"/>
  <c r="AP11" i="14"/>
  <c r="AH21" i="14"/>
  <c r="AN9" i="14"/>
  <c r="AE18" i="14"/>
  <c r="AR8" i="14"/>
  <c r="AF8" i="14"/>
  <c r="AJ5" i="14"/>
  <c r="AH14" i="14"/>
  <c r="AK12" i="14"/>
  <c r="AX5" i="14"/>
  <c r="Z26" i="14" s="1"/>
  <c r="AH10" i="14"/>
  <c r="AS10" i="14"/>
  <c r="AM9" i="14"/>
  <c r="AG21" i="14"/>
  <c r="AF21" i="14"/>
  <c r="AS8" i="14"/>
  <c r="AL6" i="14"/>
  <c r="AV5" i="14"/>
  <c r="AN7" i="14"/>
  <c r="AH19" i="14"/>
  <c r="AG19" i="14"/>
  <c r="AV6" i="14"/>
  <c r="AJ6" i="14"/>
  <c r="AD18" i="14"/>
  <c r="AI13" i="14"/>
  <c r="AN11" i="14"/>
  <c r="AR10" i="14"/>
  <c r="AF10" i="14"/>
  <c r="AE13" i="14"/>
  <c r="AK9" i="14"/>
  <c r="AE21" i="14"/>
  <c r="AM16" i="14"/>
  <c r="AQ8" i="14"/>
  <c r="AE8" i="14"/>
  <c r="AL7" i="14"/>
  <c r="AE24" i="14"/>
  <c r="AT6" i="14"/>
  <c r="AH6" i="14"/>
  <c r="AF19" i="14"/>
  <c r="AK17" i="14"/>
  <c r="AJ16" i="14"/>
  <c r="AQ5" i="14"/>
  <c r="AI16" i="14"/>
  <c r="AJ18" i="14"/>
  <c r="AT8" i="14"/>
  <c r="AH8" i="14"/>
  <c r="AD17" i="14"/>
  <c r="AD14" i="14"/>
  <c r="AO7" i="14"/>
  <c r="AE10" i="14"/>
  <c r="AW6" i="14"/>
  <c r="AT5" i="14"/>
  <c r="AK14" i="14"/>
  <c r="AF16" i="14"/>
  <c r="AF15" i="14"/>
  <c r="AG14" i="14"/>
  <c r="AM11" i="14"/>
  <c r="AL11" i="14"/>
  <c r="AQ10" i="14"/>
  <c r="AK6" i="14"/>
  <c r="AU5" i="14"/>
  <c r="AP10" i="14"/>
  <c r="AD10" i="14"/>
  <c r="AH13" i="14"/>
  <c r="AN15" i="14"/>
  <c r="AI9" i="14"/>
  <c r="AJ15" i="14"/>
  <c r="AL13" i="14"/>
  <c r="B33" i="14" a="1"/>
  <c r="C39" i="14" s="1"/>
  <c r="AM15" i="14"/>
  <c r="AE11" i="14"/>
  <c r="AJ10" i="14"/>
  <c r="AP9" i="14"/>
  <c r="AD9" i="14"/>
  <c r="AP6" i="14"/>
  <c r="AC13" i="6"/>
  <c r="F88" i="2"/>
  <c r="AC12" i="6"/>
  <c r="F87" i="2"/>
  <c r="C34" i="12"/>
  <c r="F9" i="7"/>
  <c r="H9" i="7" s="1"/>
  <c r="AC22" i="6"/>
  <c r="F97" i="2"/>
  <c r="AC26" i="6"/>
  <c r="F101" i="2"/>
  <c r="AC14" i="6"/>
  <c r="F89" i="2"/>
  <c r="AC9" i="6"/>
  <c r="J84" i="2" s="1"/>
  <c r="F84" i="2"/>
  <c r="AC25" i="6"/>
  <c r="F100" i="2"/>
  <c r="AO9" i="14"/>
  <c r="AJ8" i="14"/>
  <c r="AR7" i="14"/>
  <c r="AF7" i="14"/>
  <c r="AO6" i="14"/>
  <c r="AM5" i="14"/>
  <c r="AC15" i="6"/>
  <c r="F90" i="2"/>
  <c r="AC19" i="6"/>
  <c r="F94" i="2"/>
  <c r="Y24" i="14"/>
  <c r="AC24" i="14"/>
  <c r="Y12" i="14"/>
  <c r="AC12" i="14"/>
  <c r="AD24" i="14"/>
  <c r="AE17" i="14"/>
  <c r="AD16" i="14"/>
  <c r="AD15" i="14"/>
  <c r="AE14" i="14"/>
  <c r="AG13" i="14"/>
  <c r="AJ12" i="14"/>
  <c r="AP7" i="14"/>
  <c r="AD7" i="14"/>
  <c r="AM6" i="14"/>
  <c r="AW5" i="14"/>
  <c r="AK5" i="14"/>
  <c r="AC18" i="6"/>
  <c r="F93" i="2"/>
  <c r="AC6" i="6"/>
  <c r="J81" i="2" s="1"/>
  <c r="F81" i="2"/>
  <c r="Y14" i="14"/>
  <c r="AC14" i="14"/>
  <c r="AC25" i="14"/>
  <c r="Y25" i="14"/>
  <c r="AC16" i="6"/>
  <c r="F91" i="2"/>
  <c r="AI5" i="14"/>
  <c r="AE15" i="14"/>
  <c r="AC10" i="14"/>
  <c r="Y10" i="14"/>
  <c r="AD21" i="14"/>
  <c r="AN14" i="14"/>
  <c r="AG12" i="14"/>
  <c r="AK11" i="14"/>
  <c r="AJ9" i="14"/>
  <c r="AH5" i="14"/>
  <c r="AC7" i="6"/>
  <c r="J82" i="2" s="1"/>
  <c r="F82" i="2"/>
  <c r="AC23" i="6"/>
  <c r="F98" i="2"/>
  <c r="Y26" i="14"/>
  <c r="AC26" i="14"/>
  <c r="AC13" i="14"/>
  <c r="Y13" i="14"/>
  <c r="AL5" i="14"/>
  <c r="AH12" i="14"/>
  <c r="AE23" i="14"/>
  <c r="AD23" i="14"/>
  <c r="AM14" i="14"/>
  <c r="AO10" i="14"/>
  <c r="AP8" i="14"/>
  <c r="AD8" i="14"/>
  <c r="AS5" i="14"/>
  <c r="AG5" i="14"/>
  <c r="AC20" i="6"/>
  <c r="F95" i="2"/>
  <c r="AF14" i="14"/>
  <c r="AI12" i="14"/>
  <c r="AC10" i="6"/>
  <c r="J85" i="2" s="1"/>
  <c r="F85" i="2"/>
  <c r="AF23" i="14"/>
  <c r="AC9" i="14"/>
  <c r="Y9" i="14"/>
  <c r="AC8" i="14"/>
  <c r="Y8" i="14"/>
  <c r="AL15" i="14"/>
  <c r="AO13" i="14"/>
  <c r="AF12" i="14"/>
  <c r="AJ11" i="14"/>
  <c r="AC19" i="14"/>
  <c r="Y19" i="14"/>
  <c r="AC7" i="14"/>
  <c r="Y7" i="14"/>
  <c r="AI20" i="14"/>
  <c r="AE19" i="14"/>
  <c r="AL17" i="14"/>
  <c r="AK16" i="14"/>
  <c r="AK15" i="14"/>
  <c r="AL14" i="14"/>
  <c r="AN13" i="14"/>
  <c r="AQ12" i="14"/>
  <c r="AE12" i="14"/>
  <c r="AI11" i="14"/>
  <c r="AN10" i="14"/>
  <c r="AT9" i="14"/>
  <c r="AH9" i="14"/>
  <c r="AO8" i="14"/>
  <c r="AK7" i="14"/>
  <c r="AR5" i="14"/>
  <c r="AF5" i="14"/>
  <c r="AC24" i="6"/>
  <c r="F99" i="2"/>
  <c r="AF13" i="14"/>
  <c r="AP13" i="14"/>
  <c r="AC6" i="14"/>
  <c r="Y6" i="14"/>
  <c r="AC5" i="14"/>
  <c r="AD19" i="14"/>
  <c r="AM13" i="14"/>
  <c r="AP12" i="14"/>
  <c r="AD12" i="14"/>
  <c r="AH11" i="14"/>
  <c r="AM10" i="14"/>
  <c r="AS9" i="14"/>
  <c r="AG9" i="14"/>
  <c r="AN8" i="14"/>
  <c r="AV7" i="14"/>
  <c r="AJ7" i="14"/>
  <c r="AS6" i="14"/>
  <c r="AG6" i="14"/>
  <c r="AE5" i="14"/>
  <c r="AC5" i="6"/>
  <c r="J80" i="2" s="1"/>
  <c r="F80" i="2"/>
  <c r="AA33" i="6"/>
  <c r="Y11" i="14"/>
  <c r="AC11" i="14"/>
  <c r="AC22" i="14"/>
  <c r="Y22" i="14"/>
  <c r="AO14" i="14"/>
  <c r="AD13" i="14"/>
  <c r="Y18" i="14"/>
  <c r="AC18" i="14"/>
  <c r="AH20" i="14"/>
  <c r="AG20" i="14"/>
  <c r="AJ17" i="14"/>
  <c r="AJ14" i="14"/>
  <c r="AO12" i="14"/>
  <c r="AL10" i="14"/>
  <c r="AR9" i="14"/>
  <c r="AF9" i="14"/>
  <c r="AM8" i="14"/>
  <c r="AU7" i="14"/>
  <c r="AI7" i="14"/>
  <c r="AR6" i="14"/>
  <c r="AF6" i="14"/>
  <c r="AP5" i="14"/>
  <c r="AD5" i="14"/>
  <c r="Y5" i="14"/>
  <c r="AC17" i="6"/>
  <c r="F92" i="2"/>
  <c r="Y23" i="14"/>
  <c r="AC23" i="14"/>
  <c r="AC21" i="6"/>
  <c r="F96" i="2"/>
  <c r="Y21" i="14"/>
  <c r="AC21" i="14"/>
  <c r="AC20" i="14"/>
  <c r="Y20" i="14"/>
  <c r="AG22" i="14"/>
  <c r="Y17" i="14"/>
  <c r="AC17" i="14"/>
  <c r="AF22" i="14"/>
  <c r="AI15" i="14"/>
  <c r="AG11" i="14"/>
  <c r="AC16" i="14"/>
  <c r="Y16" i="14"/>
  <c r="AE22" i="14"/>
  <c r="AF20" i="14"/>
  <c r="AK18" i="14"/>
  <c r="AI17" i="14"/>
  <c r="AH16" i="14"/>
  <c r="AH15" i="14"/>
  <c r="AI14" i="14"/>
  <c r="AK13" i="14"/>
  <c r="AN12" i="14"/>
  <c r="AR11" i="14"/>
  <c r="AF11" i="14"/>
  <c r="AK10" i="14"/>
  <c r="AQ9" i="14"/>
  <c r="AE9" i="14"/>
  <c r="AL8" i="14"/>
  <c r="AT7" i="14"/>
  <c r="AH7" i="14"/>
  <c r="AQ6" i="14"/>
  <c r="AE6" i="14"/>
  <c r="AO5" i="14"/>
  <c r="X31" i="6"/>
  <c r="Y15" i="14"/>
  <c r="AC15" i="14"/>
  <c r="AH17" i="14"/>
  <c r="AG16" i="14"/>
  <c r="AG15" i="14"/>
  <c r="AK8" i="14"/>
  <c r="AS7" i="14"/>
  <c r="AG7" i="14"/>
  <c r="AD6" i="14"/>
  <c r="AN5" i="14"/>
  <c r="AC11" i="6"/>
  <c r="J86" i="2" s="1"/>
  <c r="F86" i="2"/>
  <c r="AC8" i="6"/>
  <c r="J83" i="2" s="1"/>
  <c r="F83" i="2"/>
  <c r="AC27" i="6"/>
  <c r="AC84" i="14" s="1"/>
  <c r="E9" i="8"/>
  <c r="L68" i="2"/>
  <c r="L69" i="2"/>
  <c r="J69" i="2"/>
  <c r="J68" i="2"/>
  <c r="U68" i="2"/>
  <c r="U69" i="2"/>
  <c r="I68" i="2"/>
  <c r="I69" i="2"/>
  <c r="N69" i="2"/>
  <c r="N68" i="2"/>
  <c r="V68" i="2"/>
  <c r="V69" i="2"/>
  <c r="T68" i="2"/>
  <c r="T69" i="2"/>
  <c r="H68" i="2"/>
  <c r="H69" i="2"/>
  <c r="X69" i="2"/>
  <c r="X68" i="2"/>
  <c r="S68" i="2"/>
  <c r="S69" i="2"/>
  <c r="G68" i="2"/>
  <c r="G69" i="2"/>
  <c r="M69" i="2"/>
  <c r="M68" i="2"/>
  <c r="R68" i="2"/>
  <c r="R69" i="2"/>
  <c r="F68" i="2"/>
  <c r="F69" i="2"/>
  <c r="Y68" i="2"/>
  <c r="Y69" i="2"/>
  <c r="K68" i="2"/>
  <c r="K69" i="2"/>
  <c r="Q69" i="2"/>
  <c r="Q68" i="2"/>
  <c r="E68" i="2"/>
  <c r="E69" i="2"/>
  <c r="Z69" i="2"/>
  <c r="Z68" i="2"/>
  <c r="P68" i="2"/>
  <c r="P69" i="2"/>
  <c r="W69" i="2"/>
  <c r="W68" i="2"/>
  <c r="D68" i="2"/>
  <c r="D69" i="2"/>
  <c r="O68" i="2"/>
  <c r="O69" i="2"/>
  <c r="B81" i="2"/>
  <c r="E80" i="2" a="1"/>
  <c r="E79" i="1" a="1"/>
  <c r="B80" i="1"/>
  <c r="J93" i="2" l="1"/>
  <c r="AC75" i="14"/>
  <c r="AD75" i="14" s="1"/>
  <c r="AE75" i="14" s="1"/>
  <c r="J92" i="2"/>
  <c r="AC74" i="14"/>
  <c r="AD74" i="14" s="1"/>
  <c r="AE74" i="14" s="1"/>
  <c r="J91" i="2"/>
  <c r="AC73" i="14"/>
  <c r="AD73" i="14"/>
  <c r="AE73" i="14" s="1"/>
  <c r="AH73" i="14" s="1"/>
  <c r="AJ73" i="14" s="1"/>
  <c r="AK73" i="14" s="1"/>
  <c r="J90" i="2"/>
  <c r="AC72" i="14"/>
  <c r="AD72" i="14" s="1"/>
  <c r="AE72" i="14" s="1"/>
  <c r="AH72" i="14" s="1"/>
  <c r="AJ72" i="14" s="1"/>
  <c r="AK72" i="14" s="1"/>
  <c r="J89" i="2"/>
  <c r="AC71" i="14"/>
  <c r="AD71" i="14" s="1"/>
  <c r="AE71" i="14" s="1"/>
  <c r="J88" i="2"/>
  <c r="AC70" i="14"/>
  <c r="AD70" i="14" s="1"/>
  <c r="AE70" i="14" s="1"/>
  <c r="AH70" i="14" s="1"/>
  <c r="AK70" i="14" s="1"/>
  <c r="J87" i="2"/>
  <c r="AC69" i="14"/>
  <c r="AD69" i="14" s="1"/>
  <c r="AE69" i="14" s="1"/>
  <c r="AH69" i="14" s="1"/>
  <c r="AK69" i="14" s="1"/>
  <c r="AJ74" i="14"/>
  <c r="AK74" i="14" s="1"/>
  <c r="AH71" i="14"/>
  <c r="AJ71" i="14" s="1"/>
  <c r="AK71" i="14" s="1"/>
  <c r="AH75" i="14"/>
  <c r="AJ75" i="14" s="1"/>
  <c r="AK75" i="14" s="1"/>
  <c r="AD84" i="14"/>
  <c r="AE84" i="14" s="1"/>
  <c r="AJ84" i="14" s="1"/>
  <c r="AK84" i="14" s="1"/>
  <c r="J100" i="2"/>
  <c r="AC82" i="14"/>
  <c r="AD82" i="14" s="1"/>
  <c r="AE82" i="14" s="1"/>
  <c r="AH82" i="14" s="1"/>
  <c r="AJ82" i="14" s="1"/>
  <c r="AK82" i="14" s="1"/>
  <c r="J97" i="2"/>
  <c r="AC79" i="14"/>
  <c r="AD79" i="14" s="1"/>
  <c r="AE79" i="14" s="1"/>
  <c r="AH79" i="14" s="1"/>
  <c r="AJ79" i="14" s="1"/>
  <c r="AK79" i="14" s="1"/>
  <c r="J98" i="2"/>
  <c r="AC80" i="14"/>
  <c r="AD80" i="14" s="1"/>
  <c r="AE80" i="14" s="1"/>
  <c r="AH80" i="14" s="1"/>
  <c r="AJ80" i="14" s="1"/>
  <c r="AK80" i="14" s="1"/>
  <c r="J94" i="2"/>
  <c r="AC76" i="14"/>
  <c r="AD76" i="14" s="1"/>
  <c r="AE76" i="14" s="1"/>
  <c r="AH76" i="14" s="1"/>
  <c r="AJ76" i="14" s="1"/>
  <c r="AK76" i="14" s="1"/>
  <c r="J96" i="2"/>
  <c r="AC78" i="14"/>
  <c r="AD78" i="14" s="1"/>
  <c r="AE78" i="14" s="1"/>
  <c r="AH78" i="14" s="1"/>
  <c r="AJ78" i="14" s="1"/>
  <c r="AK78" i="14" s="1"/>
  <c r="J99" i="2"/>
  <c r="AC81" i="14"/>
  <c r="AD81" i="14" s="1"/>
  <c r="AE81" i="14" s="1"/>
  <c r="AH81" i="14" s="1"/>
  <c r="AJ81" i="14" s="1"/>
  <c r="AK81" i="14" s="1"/>
  <c r="J95" i="2"/>
  <c r="AC77" i="14"/>
  <c r="AD77" i="14" s="1"/>
  <c r="AE77" i="14" s="1"/>
  <c r="AH77" i="14" s="1"/>
  <c r="AJ77" i="14" s="1"/>
  <c r="AK77" i="14" s="1"/>
  <c r="J101" i="2"/>
  <c r="AC83" i="14"/>
  <c r="AD83" i="14" s="1"/>
  <c r="AE83" i="14" s="1"/>
  <c r="AH83" i="14" s="1"/>
  <c r="AJ83" i="14" s="1"/>
  <c r="AK83" i="14" s="1"/>
  <c r="Z23" i="14" a="1"/>
  <c r="Z23" i="14" s="1"/>
  <c r="Z24" i="14" a="1"/>
  <c r="Z24" i="14" s="1"/>
  <c r="Z25" i="14" a="1"/>
  <c r="Z25" i="14" s="1"/>
  <c r="C42" i="14"/>
  <c r="C43" i="14"/>
  <c r="D40" i="14"/>
  <c r="C52" i="14"/>
  <c r="D37" i="14"/>
  <c r="Z22" i="14" a="1"/>
  <c r="Z22" i="14" s="1"/>
  <c r="C44" i="14"/>
  <c r="D54" i="14"/>
  <c r="C34" i="14"/>
  <c r="D41" i="14"/>
  <c r="D45" i="14"/>
  <c r="D55" i="14"/>
  <c r="D49" i="14"/>
  <c r="D34" i="14"/>
  <c r="C35" i="14"/>
  <c r="C38" i="14"/>
  <c r="B33" i="14"/>
  <c r="C33" i="14" s="1"/>
  <c r="D35" i="14"/>
  <c r="D53" i="14"/>
  <c r="C37" i="14"/>
  <c r="C48" i="14"/>
  <c r="D50" i="14"/>
  <c r="C53" i="14"/>
  <c r="D52" i="14"/>
  <c r="C41" i="14"/>
  <c r="C54" i="14"/>
  <c r="D51" i="14"/>
  <c r="C45" i="14"/>
  <c r="D42" i="14"/>
  <c r="C46" i="14"/>
  <c r="D36" i="14"/>
  <c r="Z19" i="14" a="1"/>
  <c r="Z19" i="14" s="1"/>
  <c r="C40" i="14"/>
  <c r="C55" i="14"/>
  <c r="C47" i="14"/>
  <c r="Z9" i="14" a="1"/>
  <c r="Z9" i="14" s="1"/>
  <c r="Z20" i="14" a="1"/>
  <c r="Z20" i="14" s="1"/>
  <c r="D44" i="14"/>
  <c r="D38" i="14"/>
  <c r="D39" i="14"/>
  <c r="F39" i="14" s="1"/>
  <c r="E39" i="14" s="1"/>
  <c r="C50" i="14"/>
  <c r="C51" i="14"/>
  <c r="D48" i="14"/>
  <c r="D46" i="14"/>
  <c r="D47" i="14"/>
  <c r="Z12" i="14" a="1"/>
  <c r="Z12" i="14" s="1"/>
  <c r="C49" i="14"/>
  <c r="D43" i="14"/>
  <c r="C36" i="14"/>
  <c r="Z14" i="14" a="1"/>
  <c r="Z14" i="14" s="1"/>
  <c r="Z17" i="14" a="1"/>
  <c r="Z17" i="14" s="1"/>
  <c r="Z15" i="14" a="1"/>
  <c r="Z15" i="14" s="1"/>
  <c r="Z5" i="14" a="1"/>
  <c r="Z5" i="14" s="1"/>
  <c r="Z16" i="14" a="1"/>
  <c r="Z16" i="14" s="1"/>
  <c r="Z6" i="14" a="1"/>
  <c r="Z6" i="14" s="1"/>
  <c r="D35" i="12"/>
  <c r="Z18" i="14" a="1"/>
  <c r="Z18" i="14" s="1"/>
  <c r="Z13" i="14" a="1"/>
  <c r="Z13" i="14" s="1"/>
  <c r="X32" i="6"/>
  <c r="E10" i="7" s="1"/>
  <c r="C33" i="12" s="1"/>
  <c r="W31" i="6"/>
  <c r="Z7" i="14" a="1"/>
  <c r="Z7" i="14" s="1"/>
  <c r="Z10" i="14" a="1"/>
  <c r="Z10" i="14" s="1"/>
  <c r="Z11" i="14" a="1"/>
  <c r="Z11" i="14" s="1"/>
  <c r="Z21" i="14" a="1"/>
  <c r="Z21" i="14" s="1"/>
  <c r="Z8" i="14" a="1"/>
  <c r="Z8" i="14" s="1"/>
  <c r="J102" i="2"/>
  <c r="AC33" i="6"/>
  <c r="C5" i="12" s="1"/>
  <c r="F9" i="8"/>
  <c r="G9" i="8"/>
  <c r="K80" i="2"/>
  <c r="E70" i="2"/>
  <c r="E71" i="2"/>
  <c r="V70" i="2"/>
  <c r="V71" i="2"/>
  <c r="N71" i="2"/>
  <c r="N70" i="2"/>
  <c r="D71" i="2"/>
  <c r="D70" i="2"/>
  <c r="K70" i="2"/>
  <c r="K71" i="2"/>
  <c r="S70" i="2"/>
  <c r="S71" i="2"/>
  <c r="I71" i="2"/>
  <c r="I70" i="2"/>
  <c r="O70" i="2"/>
  <c r="O71" i="2"/>
  <c r="U70" i="2"/>
  <c r="U71" i="2"/>
  <c r="W70" i="2"/>
  <c r="W71" i="2"/>
  <c r="X71" i="2"/>
  <c r="X70" i="2"/>
  <c r="P70" i="2"/>
  <c r="P71" i="2"/>
  <c r="F70" i="2"/>
  <c r="F71" i="2"/>
  <c r="H70" i="2"/>
  <c r="H71" i="2"/>
  <c r="J71" i="2"/>
  <c r="J70" i="2"/>
  <c r="Q70" i="2"/>
  <c r="Q71" i="2"/>
  <c r="Y70" i="2"/>
  <c r="Y71" i="2"/>
  <c r="R70" i="2"/>
  <c r="R71" i="2"/>
  <c r="T71" i="2"/>
  <c r="T70" i="2"/>
  <c r="L71" i="2"/>
  <c r="L70" i="2"/>
  <c r="M70" i="2"/>
  <c r="M71" i="2"/>
  <c r="G70" i="2"/>
  <c r="G71" i="2"/>
  <c r="Z70" i="2"/>
  <c r="Z71" i="2"/>
  <c r="E81" i="2" a="1"/>
  <c r="B82" i="2"/>
  <c r="E80" i="1" a="1"/>
  <c r="B81" i="1"/>
  <c r="F42" i="14" l="1"/>
  <c r="E42" i="14" s="1"/>
  <c r="F40" i="14"/>
  <c r="E40" i="14" s="1"/>
  <c r="F37" i="14"/>
  <c r="E37" i="14" s="1"/>
  <c r="F41" i="14"/>
  <c r="E41" i="14" s="1"/>
  <c r="F49" i="14"/>
  <c r="E49" i="14" s="1"/>
  <c r="F43" i="14"/>
  <c r="E43" i="14" s="1"/>
  <c r="F52" i="14"/>
  <c r="E52" i="14" s="1"/>
  <c r="F38" i="14"/>
  <c r="E38" i="14" s="1"/>
  <c r="F53" i="14"/>
  <c r="E53" i="14" s="1"/>
  <c r="F48" i="14"/>
  <c r="E48" i="14" s="1"/>
  <c r="F47" i="14"/>
  <c r="E47" i="14" s="1"/>
  <c r="F50" i="14"/>
  <c r="E50" i="14" s="1"/>
  <c r="F46" i="14"/>
  <c r="E46" i="14" s="1"/>
  <c r="E45" i="14"/>
  <c r="F44" i="14"/>
  <c r="E44" i="14" s="1"/>
  <c r="F35" i="14"/>
  <c r="E35" i="14" s="1"/>
  <c r="F54" i="14"/>
  <c r="E54" i="14" s="1"/>
  <c r="F34" i="14"/>
  <c r="E34" i="14" s="1"/>
  <c r="D33" i="14"/>
  <c r="F33" i="14" s="1"/>
  <c r="E33" i="14" s="1"/>
  <c r="F55" i="14"/>
  <c r="E55" i="14" s="1"/>
  <c r="F36" i="14"/>
  <c r="E36" i="14" s="1"/>
  <c r="F51" i="14"/>
  <c r="E51" i="14" s="1"/>
  <c r="E35" i="12"/>
  <c r="F35" i="12" s="1"/>
  <c r="W32" i="6"/>
  <c r="V31" i="6"/>
  <c r="D34" i="12"/>
  <c r="E34" i="12" s="1"/>
  <c r="F34" i="12" s="1"/>
  <c r="F10" i="7"/>
  <c r="H10" i="7" s="1"/>
  <c r="E10" i="8"/>
  <c r="E11" i="7"/>
  <c r="C32" i="12" s="1"/>
  <c r="E82" i="2" a="1"/>
  <c r="B83" i="2"/>
  <c r="E81" i="1" a="1"/>
  <c r="B82" i="1"/>
  <c r="D33" i="12" l="1"/>
  <c r="E33" i="12" s="1"/>
  <c r="F33" i="12" s="1"/>
  <c r="V32" i="6"/>
  <c r="E12" i="7" s="1"/>
  <c r="C31" i="12" s="1"/>
  <c r="U31" i="6"/>
  <c r="F10" i="8"/>
  <c r="G10" i="8"/>
  <c r="F11" i="7"/>
  <c r="H11" i="7" s="1"/>
  <c r="E11" i="8"/>
  <c r="K81" i="2"/>
  <c r="B84" i="2"/>
  <c r="E83" i="2" a="1"/>
  <c r="E82" i="1" a="1"/>
  <c r="B83" i="1"/>
  <c r="D32" i="12" l="1"/>
  <c r="E32" i="12" s="1"/>
  <c r="F32" i="12" s="1"/>
  <c r="U32" i="6"/>
  <c r="T31" i="6"/>
  <c r="F11" i="8"/>
  <c r="G11" i="8"/>
  <c r="K82" i="2"/>
  <c r="F12" i="7"/>
  <c r="H12" i="7" s="1"/>
  <c r="E12" i="8"/>
  <c r="E13" i="7"/>
  <c r="C30" i="12" s="1"/>
  <c r="E84" i="2" a="1"/>
  <c r="B85" i="2"/>
  <c r="E83" i="1" a="1"/>
  <c r="B84" i="1"/>
  <c r="T32" i="6" l="1"/>
  <c r="S31" i="6"/>
  <c r="D31" i="12"/>
  <c r="E31" i="12" s="1"/>
  <c r="F31" i="12" s="1"/>
  <c r="F13" i="7"/>
  <c r="H13" i="7" s="1"/>
  <c r="E13" i="8"/>
  <c r="F12" i="8"/>
  <c r="G12" i="8"/>
  <c r="K83" i="2"/>
  <c r="E14" i="7"/>
  <c r="C29" i="12" s="1"/>
  <c r="D30" i="12" s="1"/>
  <c r="E30" i="12" s="1"/>
  <c r="F30" i="12" s="1"/>
  <c r="E85" i="2" a="1"/>
  <c r="B86" i="2"/>
  <c r="E84" i="1" a="1"/>
  <c r="B85" i="1"/>
  <c r="S32" i="6" l="1"/>
  <c r="E15" i="7" s="1"/>
  <c r="C28" i="12" s="1"/>
  <c r="R31" i="6"/>
  <c r="F13" i="8"/>
  <c r="G13" i="8"/>
  <c r="K84" i="2"/>
  <c r="F14" i="7"/>
  <c r="H14" i="7" s="1"/>
  <c r="E14" i="8"/>
  <c r="B87" i="2"/>
  <c r="E86" i="2" a="1"/>
  <c r="E85" i="1" a="1"/>
  <c r="B86" i="1"/>
  <c r="D29" i="12" l="1"/>
  <c r="E29" i="12" s="1"/>
  <c r="F29" i="12" s="1"/>
  <c r="R32" i="6"/>
  <c r="Q31" i="6"/>
  <c r="F15" i="7"/>
  <c r="H15" i="7" s="1"/>
  <c r="E15" i="8"/>
  <c r="F14" i="8"/>
  <c r="G14" i="8"/>
  <c r="K85" i="2"/>
  <c r="E16" i="7"/>
  <c r="C27" i="12" s="1"/>
  <c r="E87" i="2" a="1"/>
  <c r="B88" i="2"/>
  <c r="E86" i="1" a="1"/>
  <c r="B87" i="1"/>
  <c r="Q32" i="6" l="1"/>
  <c r="E17" i="7" s="1"/>
  <c r="C26" i="12" s="1"/>
  <c r="P31" i="6"/>
  <c r="D28" i="12"/>
  <c r="E28" i="12" s="1"/>
  <c r="F28" i="12" s="1"/>
  <c r="F15" i="8"/>
  <c r="G15" i="8"/>
  <c r="K86" i="2"/>
  <c r="F16" i="7"/>
  <c r="H16" i="7" s="1"/>
  <c r="E16" i="8"/>
  <c r="B89" i="2"/>
  <c r="E88" i="2" a="1"/>
  <c r="E87" i="1" a="1"/>
  <c r="B88" i="1"/>
  <c r="D27" i="12" l="1"/>
  <c r="E27" i="12" s="1"/>
  <c r="F27" i="12" s="1"/>
  <c r="P32" i="6"/>
  <c r="E18" i="7" s="1"/>
  <c r="C25" i="12" s="1"/>
  <c r="O31" i="6"/>
  <c r="F17" i="7"/>
  <c r="H17" i="7" s="1"/>
  <c r="E17" i="8"/>
  <c r="F16" i="8"/>
  <c r="G16" i="8"/>
  <c r="K87" i="2"/>
  <c r="E89" i="2" a="1"/>
  <c r="B90" i="2"/>
  <c r="E88" i="1" a="1"/>
  <c r="B89" i="1"/>
  <c r="D26" i="12" l="1"/>
  <c r="E26" i="12" s="1"/>
  <c r="F26" i="12" s="1"/>
  <c r="O32" i="6"/>
  <c r="N31" i="6"/>
  <c r="K88" i="2"/>
  <c r="F18" i="7"/>
  <c r="H18" i="7" s="1"/>
  <c r="E18" i="8"/>
  <c r="F17" i="8"/>
  <c r="G17" i="8"/>
  <c r="E19" i="7"/>
  <c r="C24" i="12" s="1"/>
  <c r="B91" i="2"/>
  <c r="E90" i="2" a="1"/>
  <c r="E89" i="1" a="1"/>
  <c r="B90" i="1"/>
  <c r="N32" i="6" l="1"/>
  <c r="E20" i="7" s="1"/>
  <c r="C23" i="12" s="1"/>
  <c r="D24" i="12" s="1"/>
  <c r="E24" i="12" s="1"/>
  <c r="F24" i="12" s="1"/>
  <c r="M31" i="6"/>
  <c r="D25" i="12"/>
  <c r="E25" i="12" s="1"/>
  <c r="F25" i="12" s="1"/>
  <c r="F19" i="7"/>
  <c r="H19" i="7" s="1"/>
  <c r="E19" i="8"/>
  <c r="F18" i="8"/>
  <c r="G18" i="8"/>
  <c r="K89" i="2"/>
  <c r="E91" i="2" a="1"/>
  <c r="B92" i="2"/>
  <c r="E90" i="1" a="1"/>
  <c r="B91" i="1"/>
  <c r="M32" i="6" l="1"/>
  <c r="E21" i="7" s="1"/>
  <c r="C22" i="12" s="1"/>
  <c r="L31" i="6"/>
  <c r="F20" i="7"/>
  <c r="H20" i="7" s="1"/>
  <c r="E20" i="8"/>
  <c r="F19" i="8"/>
  <c r="G19" i="8"/>
  <c r="K90" i="2"/>
  <c r="B93" i="2"/>
  <c r="E92" i="2" a="1"/>
  <c r="E91" i="1" a="1"/>
  <c r="B92" i="1"/>
  <c r="D23" i="12" l="1"/>
  <c r="E23" i="12" s="1"/>
  <c r="F23" i="12" s="1"/>
  <c r="L32" i="6"/>
  <c r="K31" i="6"/>
  <c r="F20" i="8"/>
  <c r="G20" i="8"/>
  <c r="K91" i="2"/>
  <c r="F21" i="7"/>
  <c r="H21" i="7" s="1"/>
  <c r="E21" i="8"/>
  <c r="E22" i="7"/>
  <c r="C21" i="12" s="1"/>
  <c r="B94" i="2"/>
  <c r="E93" i="2" a="1"/>
  <c r="E92" i="1" a="1"/>
  <c r="B93" i="1"/>
  <c r="K32" i="6" l="1"/>
  <c r="J31" i="6"/>
  <c r="D22" i="12"/>
  <c r="E22" i="12" s="1"/>
  <c r="F22" i="12" s="1"/>
  <c r="F22" i="7"/>
  <c r="H22" i="7" s="1"/>
  <c r="E22" i="8"/>
  <c r="F21" i="8"/>
  <c r="G21" i="8"/>
  <c r="K92" i="2"/>
  <c r="E23" i="7"/>
  <c r="C20" i="12" s="1"/>
  <c r="D21" i="12" s="1"/>
  <c r="E21" i="12" s="1"/>
  <c r="F21" i="12" s="1"/>
  <c r="E94" i="2" a="1"/>
  <c r="B95" i="2"/>
  <c r="B94" i="1"/>
  <c r="E93" i="1" a="1"/>
  <c r="J32" i="6" l="1"/>
  <c r="E24" i="7" s="1"/>
  <c r="C19" i="12" s="1"/>
  <c r="I31" i="6"/>
  <c r="F22" i="8"/>
  <c r="G22" i="8"/>
  <c r="K93" i="2"/>
  <c r="F23" i="7"/>
  <c r="H23" i="7" s="1"/>
  <c r="E23" i="8"/>
  <c r="B96" i="2"/>
  <c r="E95" i="2" a="1"/>
  <c r="E94" i="1" a="1"/>
  <c r="B95" i="1"/>
  <c r="D20" i="12" l="1"/>
  <c r="E20" i="12" s="1"/>
  <c r="F20" i="12" s="1"/>
  <c r="I32" i="6"/>
  <c r="H31" i="6"/>
  <c r="F24" i="7"/>
  <c r="H24" i="7" s="1"/>
  <c r="E24" i="8"/>
  <c r="F23" i="8"/>
  <c r="G23" i="8"/>
  <c r="K94" i="2"/>
  <c r="E25" i="7"/>
  <c r="C18" i="12" s="1"/>
  <c r="E96" i="2" a="1"/>
  <c r="B97" i="2"/>
  <c r="B96" i="1"/>
  <c r="E95" i="1" a="1"/>
  <c r="H32" i="6" l="1"/>
  <c r="G31" i="6"/>
  <c r="D19" i="12"/>
  <c r="E19" i="12" s="1"/>
  <c r="F19" i="12" s="1"/>
  <c r="F24" i="8"/>
  <c r="G24" i="8"/>
  <c r="K95" i="2"/>
  <c r="F25" i="7"/>
  <c r="H25" i="7" s="1"/>
  <c r="E25" i="8"/>
  <c r="E26" i="7"/>
  <c r="C17" i="12" s="1"/>
  <c r="E97" i="2" a="1"/>
  <c r="B98" i="2"/>
  <c r="B97" i="1"/>
  <c r="E96" i="1" a="1"/>
  <c r="J19" i="12" l="1"/>
  <c r="G32" i="6"/>
  <c r="E27" i="7" s="1"/>
  <c r="C16" i="12" s="1"/>
  <c r="F31" i="6"/>
  <c r="D18" i="12"/>
  <c r="E18" i="12" s="1"/>
  <c r="F18" i="12" s="1"/>
  <c r="F26" i="7"/>
  <c r="H26" i="7" s="1"/>
  <c r="E26" i="8"/>
  <c r="F25" i="8"/>
  <c r="G25" i="8"/>
  <c r="K96" i="2"/>
  <c r="B99" i="2"/>
  <c r="E98" i="2" a="1"/>
  <c r="E97" i="1" a="1"/>
  <c r="B98" i="1"/>
  <c r="D17" i="12" l="1"/>
  <c r="E17" i="12" s="1"/>
  <c r="F17" i="12" s="1"/>
  <c r="J18" i="12"/>
  <c r="F32" i="6"/>
  <c r="E28" i="7" s="1"/>
  <c r="C15" i="12" s="1"/>
  <c r="E31" i="6"/>
  <c r="F26" i="8"/>
  <c r="G26" i="8"/>
  <c r="K97" i="2"/>
  <c r="F27" i="7"/>
  <c r="H27" i="7" s="1"/>
  <c r="E27" i="8"/>
  <c r="E99" i="2" a="1"/>
  <c r="B100" i="2"/>
  <c r="E98" i="1" a="1"/>
  <c r="B99" i="1"/>
  <c r="D16" i="12" l="1"/>
  <c r="E16" i="12" s="1"/>
  <c r="F16" i="12" s="1"/>
  <c r="E32" i="6"/>
  <c r="E29" i="7" s="1"/>
  <c r="C14" i="12" s="1"/>
  <c r="D31" i="6"/>
  <c r="J17" i="12"/>
  <c r="F28" i="7"/>
  <c r="H28" i="7" s="1"/>
  <c r="E28" i="8"/>
  <c r="F27" i="8"/>
  <c r="G27" i="8"/>
  <c r="K98" i="2"/>
  <c r="E100" i="2" a="1"/>
  <c r="B101" i="2"/>
  <c r="B100" i="1"/>
  <c r="E99" i="1" a="1"/>
  <c r="D15" i="12" l="1"/>
  <c r="E15" i="12" s="1"/>
  <c r="F15" i="12" s="1"/>
  <c r="C31" i="6"/>
  <c r="C32" i="6" s="1"/>
  <c r="D32" i="6"/>
  <c r="E30" i="7" s="1"/>
  <c r="C13" i="12" s="1"/>
  <c r="J16" i="12"/>
  <c r="F28" i="8"/>
  <c r="G28" i="8"/>
  <c r="I28" i="7"/>
  <c r="G99" i="2" s="1"/>
  <c r="K99" i="2"/>
  <c r="F29" i="7"/>
  <c r="H29" i="7" s="1"/>
  <c r="E29" i="8"/>
  <c r="E31" i="7"/>
  <c r="C12" i="12" s="1"/>
  <c r="D12" i="12" s="1"/>
  <c r="E101" i="2" a="1"/>
  <c r="E101" i="2" s="1"/>
  <c r="C30" i="7" s="1"/>
  <c r="C30" i="8" s="1"/>
  <c r="B102" i="2"/>
  <c r="E102" i="2" s="1" a="1"/>
  <c r="E102" i="2" s="1"/>
  <c r="C31" i="7" s="1"/>
  <c r="C31" i="8" s="1"/>
  <c r="B101" i="1"/>
  <c r="E101" i="1" s="1" a="1"/>
  <c r="E101" i="1" s="1"/>
  <c r="C31" i="10" s="1"/>
  <c r="E100" i="1" a="1"/>
  <c r="E100" i="1" s="1"/>
  <c r="C30" i="10" s="1"/>
  <c r="E99" i="1"/>
  <c r="C29" i="10" s="1"/>
  <c r="E98" i="1"/>
  <c r="C28" i="10" s="1"/>
  <c r="E97" i="1"/>
  <c r="C27" i="10" s="1"/>
  <c r="E96" i="1"/>
  <c r="C26" i="10" s="1"/>
  <c r="E95" i="1"/>
  <c r="C25" i="10" s="1"/>
  <c r="E94" i="1"/>
  <c r="C24" i="10" s="1"/>
  <c r="E93" i="1"/>
  <c r="C23" i="10" s="1"/>
  <c r="E92" i="1"/>
  <c r="C22" i="10" s="1"/>
  <c r="E91" i="1"/>
  <c r="C21" i="10" s="1"/>
  <c r="E90" i="1"/>
  <c r="C20" i="10" s="1"/>
  <c r="E89" i="1"/>
  <c r="C19" i="10" s="1"/>
  <c r="E88" i="1"/>
  <c r="C18" i="10" s="1"/>
  <c r="E87" i="1"/>
  <c r="C17" i="10" s="1"/>
  <c r="E86" i="1"/>
  <c r="C16" i="10" s="1"/>
  <c r="E85" i="1"/>
  <c r="C15" i="10" s="1"/>
  <c r="E84" i="1"/>
  <c r="C14" i="10" s="1"/>
  <c r="E83" i="1"/>
  <c r="C13" i="10" s="1"/>
  <c r="E82" i="1"/>
  <c r="C12" i="10" s="1"/>
  <c r="E81" i="1"/>
  <c r="C11" i="10" s="1"/>
  <c r="E80" i="1"/>
  <c r="C10" i="10" s="1"/>
  <c r="E79" i="1"/>
  <c r="C9" i="10" s="1"/>
  <c r="E78" i="1"/>
  <c r="C8" i="10" s="1"/>
  <c r="E100" i="2"/>
  <c r="C29" i="7" s="1"/>
  <c r="C29" i="8" s="1"/>
  <c r="E99" i="2"/>
  <c r="C28" i="7" s="1"/>
  <c r="C28" i="8" s="1"/>
  <c r="E98" i="2"/>
  <c r="C27" i="7" s="1"/>
  <c r="E97" i="2"/>
  <c r="C26" i="7" s="1"/>
  <c r="E96" i="2"/>
  <c r="C25" i="7" s="1"/>
  <c r="E95" i="2"/>
  <c r="C24" i="7" s="1"/>
  <c r="E94" i="2"/>
  <c r="C23" i="7" s="1"/>
  <c r="E93" i="2"/>
  <c r="C22" i="7" s="1"/>
  <c r="E92" i="2"/>
  <c r="C21" i="7" s="1"/>
  <c r="E91" i="2"/>
  <c r="C20" i="7" s="1"/>
  <c r="E90" i="2"/>
  <c r="C19" i="7" s="1"/>
  <c r="E89" i="2"/>
  <c r="C18" i="7" s="1"/>
  <c r="E88" i="2"/>
  <c r="C17" i="7" s="1"/>
  <c r="E87" i="2"/>
  <c r="C16" i="7" s="1"/>
  <c r="E86" i="2"/>
  <c r="C15" i="7" s="1"/>
  <c r="E85" i="2"/>
  <c r="C14" i="7" s="1"/>
  <c r="E84" i="2"/>
  <c r="C13" i="7" s="1"/>
  <c r="E83" i="2"/>
  <c r="C12" i="7" s="1"/>
  <c r="E82" i="2"/>
  <c r="C11" i="7" s="1"/>
  <c r="E81" i="2"/>
  <c r="C10" i="7" s="1"/>
  <c r="E80" i="2"/>
  <c r="C9" i="7" s="1"/>
  <c r="E79" i="2"/>
  <c r="C8" i="7" s="1"/>
  <c r="E12" i="12" l="1"/>
  <c r="C9" i="11"/>
  <c r="I9" i="10"/>
  <c r="G79" i="1" s="1"/>
  <c r="C29" i="11"/>
  <c r="I29" i="10"/>
  <c r="G99" i="1" s="1"/>
  <c r="C21" i="11"/>
  <c r="I21" i="10"/>
  <c r="G91" i="1" s="1"/>
  <c r="C11" i="11"/>
  <c r="I11" i="10"/>
  <c r="G81" i="1" s="1"/>
  <c r="C23" i="11"/>
  <c r="I23" i="10"/>
  <c r="G93" i="1" s="1"/>
  <c r="C13" i="11"/>
  <c r="I13" i="10"/>
  <c r="G83" i="1" s="1"/>
  <c r="C14" i="11"/>
  <c r="I14" i="10"/>
  <c r="G84" i="1" s="1"/>
  <c r="C26" i="11"/>
  <c r="I26" i="10"/>
  <c r="G96" i="1" s="1"/>
  <c r="C27" i="11"/>
  <c r="I27" i="10"/>
  <c r="G97" i="1" s="1"/>
  <c r="C30" i="11"/>
  <c r="I30" i="10"/>
  <c r="G100" i="1" s="1"/>
  <c r="C10" i="11"/>
  <c r="I10" i="10"/>
  <c r="G80" i="1" s="1"/>
  <c r="C24" i="11"/>
  <c r="I24" i="10"/>
  <c r="G94" i="1" s="1"/>
  <c r="C16" i="11"/>
  <c r="I16" i="10"/>
  <c r="G86" i="1" s="1"/>
  <c r="C17" i="11"/>
  <c r="I17" i="10"/>
  <c r="G87" i="1" s="1"/>
  <c r="C19" i="11"/>
  <c r="I19" i="10"/>
  <c r="G89" i="1" s="1"/>
  <c r="C31" i="11"/>
  <c r="I31" i="10"/>
  <c r="G101" i="1" s="1"/>
  <c r="C22" i="11"/>
  <c r="I22" i="10"/>
  <c r="G92" i="1" s="1"/>
  <c r="C12" i="11"/>
  <c r="I12" i="10"/>
  <c r="G82" i="1" s="1"/>
  <c r="C25" i="11"/>
  <c r="I25" i="10"/>
  <c r="G95" i="1" s="1"/>
  <c r="C15" i="11"/>
  <c r="I15" i="10"/>
  <c r="G85" i="1" s="1"/>
  <c r="C28" i="11"/>
  <c r="I28" i="10"/>
  <c r="G98" i="1" s="1"/>
  <c r="C18" i="11"/>
  <c r="I18" i="10"/>
  <c r="G88" i="1" s="1"/>
  <c r="C8" i="11"/>
  <c r="I8" i="10"/>
  <c r="C20" i="11"/>
  <c r="I20" i="10"/>
  <c r="G90" i="1" s="1"/>
  <c r="D13" i="12"/>
  <c r="E13" i="12" s="1"/>
  <c r="F13" i="12" s="1"/>
  <c r="D14" i="12"/>
  <c r="E14" i="12" s="1"/>
  <c r="F14" i="12" s="1"/>
  <c r="C24" i="8"/>
  <c r="I24" i="7"/>
  <c r="G95" i="2" s="1"/>
  <c r="C12" i="8"/>
  <c r="I12" i="7"/>
  <c r="G83" i="2" s="1"/>
  <c r="C18" i="8"/>
  <c r="I18" i="7"/>
  <c r="G89" i="2" s="1"/>
  <c r="C19" i="8"/>
  <c r="I19" i="7"/>
  <c r="G90" i="2" s="1"/>
  <c r="C25" i="8"/>
  <c r="I25" i="7"/>
  <c r="G96" i="2" s="1"/>
  <c r="C26" i="8"/>
  <c r="I26" i="7"/>
  <c r="G97" i="2" s="1"/>
  <c r="C15" i="8"/>
  <c r="I15" i="7"/>
  <c r="G86" i="2" s="1"/>
  <c r="C27" i="8"/>
  <c r="I27" i="7"/>
  <c r="G98" i="2" s="1"/>
  <c r="C20" i="8"/>
  <c r="I20" i="7"/>
  <c r="G91" i="2" s="1"/>
  <c r="C8" i="8"/>
  <c r="I8" i="7"/>
  <c r="G79" i="2" s="1"/>
  <c r="C10" i="8"/>
  <c r="I10" i="7"/>
  <c r="G81" i="2" s="1"/>
  <c r="J15" i="12"/>
  <c r="C13" i="8"/>
  <c r="I13" i="7"/>
  <c r="G84" i="2" s="1"/>
  <c r="C14" i="8"/>
  <c r="I14" i="7"/>
  <c r="G85" i="2" s="1"/>
  <c r="C16" i="8"/>
  <c r="I16" i="7"/>
  <c r="G87" i="2" s="1"/>
  <c r="C17" i="8"/>
  <c r="I17" i="7"/>
  <c r="G88" i="2" s="1"/>
  <c r="C9" i="8"/>
  <c r="I9" i="7"/>
  <c r="G80" i="2" s="1"/>
  <c r="C21" i="8"/>
  <c r="I21" i="7"/>
  <c r="G92" i="2" s="1"/>
  <c r="C22" i="8"/>
  <c r="I22" i="7"/>
  <c r="G93" i="2" s="1"/>
  <c r="C11" i="8"/>
  <c r="I11" i="7"/>
  <c r="G82" i="2" s="1"/>
  <c r="C23" i="8"/>
  <c r="I23" i="7"/>
  <c r="G94" i="2" s="1"/>
  <c r="F31" i="7"/>
  <c r="H31" i="7" s="1"/>
  <c r="E31" i="8"/>
  <c r="F30" i="7"/>
  <c r="H30" i="7" s="1"/>
  <c r="E30" i="8"/>
  <c r="F29" i="8"/>
  <c r="G29" i="8"/>
  <c r="I29" i="7"/>
  <c r="G100" i="2" s="1"/>
  <c r="K100" i="2"/>
  <c r="E36" i="12" l="1"/>
  <c r="F12" i="12"/>
  <c r="E52" i="12"/>
  <c r="F52" i="12" s="1"/>
  <c r="G78" i="1"/>
  <c r="I32" i="10"/>
  <c r="B4" i="11"/>
  <c r="D36" i="12"/>
  <c r="J14" i="12"/>
  <c r="J13" i="12"/>
  <c r="I30" i="7"/>
  <c r="G101" i="2" s="1"/>
  <c r="K101" i="2"/>
  <c r="I31" i="7"/>
  <c r="K102" i="2"/>
  <c r="H32" i="7"/>
  <c r="F30" i="8"/>
  <c r="G30" i="8"/>
  <c r="F31" i="8"/>
  <c r="G31" i="8"/>
  <c r="F36" i="12" l="1"/>
  <c r="C41" i="12"/>
  <c r="C43" i="12" a="1"/>
  <c r="C43" i="12" s="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E51" i="12"/>
  <c r="F51" i="12" s="1"/>
  <c r="E49" i="12"/>
  <c r="F49" i="12" s="1"/>
  <c r="E50" i="12"/>
  <c r="F50" i="12" s="1"/>
  <c r="B4" i="8"/>
  <c r="H19" i="8" s="1"/>
  <c r="G32" i="8"/>
  <c r="J12" i="12"/>
  <c r="G102" i="2"/>
  <c r="I32" i="7"/>
  <c r="H30" i="8" l="1"/>
  <c r="H23" i="8"/>
  <c r="H18" i="8"/>
  <c r="H31" i="8"/>
  <c r="H28" i="8"/>
  <c r="H17" i="8"/>
  <c r="I17" i="8" s="1"/>
  <c r="H88" i="2" s="1"/>
  <c r="H22" i="8"/>
  <c r="L89" i="1"/>
  <c r="I19" i="11"/>
  <c r="H89" i="1" s="1"/>
  <c r="L87" i="1"/>
  <c r="I17" i="11"/>
  <c r="H87" i="1" s="1"/>
  <c r="L96" i="1"/>
  <c r="I26" i="11"/>
  <c r="H96" i="1" s="1"/>
  <c r="L101" i="1"/>
  <c r="I31" i="11"/>
  <c r="H101" i="1" s="1"/>
  <c r="L88" i="1"/>
  <c r="I18" i="11"/>
  <c r="H88" i="1" s="1"/>
  <c r="L99" i="1"/>
  <c r="I29" i="11"/>
  <c r="H99" i="1" s="1"/>
  <c r="L86" i="1"/>
  <c r="I16" i="11"/>
  <c r="H86" i="1" s="1"/>
  <c r="L97" i="1"/>
  <c r="I27" i="11"/>
  <c r="H97" i="1" s="1"/>
  <c r="L84" i="1"/>
  <c r="I14" i="11"/>
  <c r="H84" i="1" s="1"/>
  <c r="L83" i="1"/>
  <c r="I13" i="11"/>
  <c r="H83" i="1" s="1"/>
  <c r="L82" i="1"/>
  <c r="I12" i="11"/>
  <c r="H82" i="1" s="1"/>
  <c r="L93" i="1"/>
  <c r="I23" i="11"/>
  <c r="H93" i="1" s="1"/>
  <c r="L92" i="1"/>
  <c r="I22" i="11"/>
  <c r="H92" i="1" s="1"/>
  <c r="L91" i="1"/>
  <c r="I21" i="11"/>
  <c r="H91" i="1" s="1"/>
  <c r="L100" i="1"/>
  <c r="I30" i="11"/>
  <c r="H100" i="1" s="1"/>
  <c r="L98" i="1"/>
  <c r="I28" i="11"/>
  <c r="H98" i="1" s="1"/>
  <c r="L85" i="1"/>
  <c r="I15" i="11"/>
  <c r="H85" i="1" s="1"/>
  <c r="L95" i="1"/>
  <c r="I25" i="11"/>
  <c r="H95" i="1" s="1"/>
  <c r="L94" i="1"/>
  <c r="I24" i="11"/>
  <c r="H94" i="1" s="1"/>
  <c r="L81" i="1"/>
  <c r="I11" i="11"/>
  <c r="H81" i="1" s="1"/>
  <c r="L80" i="1"/>
  <c r="I10" i="11"/>
  <c r="H80" i="1" s="1"/>
  <c r="L79" i="1"/>
  <c r="I9" i="11"/>
  <c r="H79" i="1" s="1"/>
  <c r="L90" i="1"/>
  <c r="I20" i="11"/>
  <c r="H90" i="1" s="1"/>
  <c r="H32" i="11"/>
  <c r="L78" i="1"/>
  <c r="I8" i="11"/>
  <c r="H15" i="8"/>
  <c r="I15" i="8" s="1"/>
  <c r="H86" i="2" s="1"/>
  <c r="H16" i="8"/>
  <c r="L87" i="2" s="1"/>
  <c r="H14" i="8"/>
  <c r="I14" i="8" s="1"/>
  <c r="H85" i="2" s="1"/>
  <c r="H13" i="8"/>
  <c r="I13" i="8" s="1"/>
  <c r="H84" i="2" s="1"/>
  <c r="H10" i="8"/>
  <c r="I10" i="8" s="1"/>
  <c r="H81" i="2" s="1"/>
  <c r="H27" i="8"/>
  <c r="H12" i="8"/>
  <c r="I12" i="8" s="1"/>
  <c r="H83" i="2" s="1"/>
  <c r="H26" i="8"/>
  <c r="I26" i="8" s="1"/>
  <c r="H97" i="2" s="1"/>
  <c r="H11" i="8"/>
  <c r="I11" i="8" s="1"/>
  <c r="H82" i="2" s="1"/>
  <c r="H25" i="8"/>
  <c r="L96" i="2" s="1"/>
  <c r="H24" i="8"/>
  <c r="L95" i="2" s="1"/>
  <c r="H21" i="8"/>
  <c r="L92" i="2" s="1"/>
  <c r="H9" i="8"/>
  <c r="I9" i="8" s="1"/>
  <c r="H80" i="2" s="1"/>
  <c r="H20" i="8"/>
  <c r="L91" i="2" s="1"/>
  <c r="H8" i="8"/>
  <c r="H29" i="8"/>
  <c r="I29" i="8" s="1"/>
  <c r="H100" i="2" s="1"/>
  <c r="I23" i="8"/>
  <c r="H94" i="2" s="1"/>
  <c r="L94" i="2"/>
  <c r="I22" i="8"/>
  <c r="H93" i="2" s="1"/>
  <c r="L93" i="2"/>
  <c r="I21" i="8"/>
  <c r="H92" i="2" s="1"/>
  <c r="I19" i="8"/>
  <c r="H90" i="2" s="1"/>
  <c r="L90" i="2"/>
  <c r="I18" i="8"/>
  <c r="H89" i="2" s="1"/>
  <c r="L89" i="2"/>
  <c r="I30" i="8"/>
  <c r="H101" i="2" s="1"/>
  <c r="L101" i="2"/>
  <c r="I31" i="8"/>
  <c r="H102" i="2" s="1"/>
  <c r="L102" i="2"/>
  <c r="I28" i="8"/>
  <c r="H99" i="2" s="1"/>
  <c r="L99" i="2"/>
  <c r="I27" i="8"/>
  <c r="H98" i="2" s="1"/>
  <c r="L98" i="2"/>
  <c r="L81" i="2"/>
  <c r="L86" i="2" l="1"/>
  <c r="I16" i="8"/>
  <c r="H87" i="2" s="1"/>
  <c r="L97" i="2"/>
  <c r="L84" i="2"/>
  <c r="L85" i="2"/>
  <c r="L88" i="2"/>
  <c r="H78" i="1"/>
  <c r="I32" i="11"/>
  <c r="L80" i="2"/>
  <c r="I24" i="8"/>
  <c r="H95" i="2" s="1"/>
  <c r="L82" i="2"/>
  <c r="L83" i="2"/>
  <c r="H32" i="8"/>
  <c r="I20" i="8"/>
  <c r="H91" i="2" s="1"/>
  <c r="I25" i="8"/>
  <c r="H96" i="2" s="1"/>
  <c r="L100" i="2"/>
  <c r="L79" i="2"/>
  <c r="I8" i="8"/>
  <c r="H79" i="2" s="1"/>
  <c r="I32" i="8" l="1"/>
  <c r="J20" i="12"/>
  <c r="J31" i="12"/>
  <c r="J24" i="12"/>
  <c r="J23" i="12"/>
  <c r="J34" i="12"/>
  <c r="J26" i="12"/>
  <c r="J29" i="12"/>
  <c r="J27" i="12"/>
  <c r="J32" i="12"/>
  <c r="J33" i="12"/>
  <c r="J28" i="12"/>
  <c r="J35" i="12"/>
  <c r="J25" i="12"/>
  <c r="J30" i="12"/>
  <c r="J22" i="12"/>
  <c r="J21" i="12"/>
  <c r="G14" i="12" l="1"/>
  <c r="H14" i="12" s="1"/>
  <c r="G12" i="12"/>
  <c r="H12" i="12" s="1"/>
  <c r="I35" i="12"/>
  <c r="G33" i="12"/>
  <c r="H33" i="12" s="1"/>
  <c r="G26" i="12"/>
  <c r="H26" i="12" s="1"/>
  <c r="I27" i="12"/>
  <c r="I19" i="12"/>
  <c r="J36" i="12"/>
  <c r="I13" i="12"/>
  <c r="K36" i="12"/>
  <c r="I31" i="12"/>
  <c r="I30" i="12"/>
  <c r="G13" i="12"/>
  <c r="H13" i="12" s="1"/>
  <c r="I29" i="12"/>
  <c r="G24" i="12"/>
  <c r="H24" i="12" s="1"/>
  <c r="I32" i="12"/>
  <c r="I24" i="12"/>
  <c r="G17" i="12"/>
  <c r="H17" i="12" s="1"/>
  <c r="G31" i="12"/>
  <c r="H31" i="12" s="1"/>
  <c r="I15" i="12"/>
  <c r="G35" i="12"/>
  <c r="H35" i="12" s="1"/>
  <c r="G18" i="12"/>
  <c r="H18" i="12" s="1"/>
  <c r="I28" i="12"/>
  <c r="I18" i="12"/>
  <c r="G29" i="12"/>
  <c r="H29" i="12" s="1"/>
  <c r="G30" i="12"/>
  <c r="H30" i="12" s="1"/>
  <c r="I16" i="12"/>
  <c r="G22" i="12"/>
  <c r="H22" i="12" s="1"/>
  <c r="G28" i="12"/>
  <c r="H28" i="12" s="1"/>
  <c r="I34" i="12"/>
  <c r="G34" i="12"/>
  <c r="H34" i="12" s="1"/>
  <c r="G20" i="12"/>
  <c r="H20" i="12" s="1"/>
  <c r="G21" i="12"/>
  <c r="H21" i="12" s="1"/>
  <c r="G15" i="12"/>
  <c r="H15" i="12" s="1"/>
  <c r="I12" i="12"/>
  <c r="I21" i="12"/>
  <c r="I23" i="12"/>
  <c r="I33" i="12"/>
  <c r="G19" i="12"/>
  <c r="H19" i="12" s="1"/>
  <c r="I26" i="12"/>
  <c r="I22" i="12"/>
  <c r="I14" i="12"/>
  <c r="G25" i="12"/>
  <c r="H25" i="12" s="1"/>
  <c r="C39" i="12"/>
  <c r="G23" i="12"/>
  <c r="H23" i="12" s="1"/>
  <c r="I20" i="12"/>
  <c r="I25" i="12"/>
  <c r="G27" i="12"/>
  <c r="H27" i="12" s="1"/>
  <c r="I17" i="12"/>
  <c r="G16" i="12"/>
  <c r="H16" i="12" s="1"/>
  <c r="G32" i="12"/>
  <c r="H32" i="12" s="1"/>
  <c r="I36" i="12" l="1"/>
  <c r="H36" i="12"/>
  <c r="G51" i="12"/>
  <c r="G50" i="12"/>
  <c r="G52" i="12"/>
  <c r="G49" i="12"/>
  <c r="G3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<sst xmlns="http://schemas.openxmlformats.org/spreadsheetml/2006/main" count="1792" uniqueCount="251">
  <si>
    <t>Calcula el IBNR del siguiente triangulo usando Chain Ladder, BF y Cape Cod</t>
  </si>
  <si>
    <t>1. el loss ratio a priori es 55%</t>
  </si>
  <si>
    <t>2. tasas</t>
  </si>
  <si>
    <t>Contesta las sig preguntas:</t>
  </si>
  <si>
    <t>1. Qué metodología escogerías para cada trimestre y por qué?</t>
  </si>
  <si>
    <t>2. Excluiste algun periodo para el calculo de lo factores? Di que periodo y en que desarrollo y por qué</t>
  </si>
  <si>
    <t>3. Cómo sale el bakctesting para tu selección de ultimate para los trimestres del 1Q19 al 4Q20?</t>
  </si>
  <si>
    <t>4. Qué duración tiene está cartera?</t>
  </si>
  <si>
    <t>1Q19</t>
  </si>
  <si>
    <t>2Q19</t>
  </si>
  <si>
    <t/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</si>
  <si>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</si>
  <si>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</si>
  <si>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</si>
  <si>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</si>
  <si>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</si>
  <si>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</si>
  <si>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</si>
  <si>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</si>
  <si>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</si>
  <si>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</si>
  <si>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</si>
  <si>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</si>
  <si>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</si>
  <si>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</si>
  <si>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</si>
  <si>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</si>
  <si>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</si>
  <si>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</si>
  <si>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</si>
  <si>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</si>
  <si>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</si>
  <si>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</si>
  <si>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Primas</t>
  </si>
  <si>
    <t>REPORTADO</t>
  </si>
  <si>
    <t>TRIÁNGULO DESARROLLADO AL 31 DE SEPTIEMBRE DE 2026</t>
  </si>
  <si>
    <t>ULTIMATE</t>
  </si>
  <si>
    <t>IBNR</t>
  </si>
  <si>
    <t>Chain Ladder</t>
  </si>
  <si>
    <t>BF</t>
  </si>
  <si>
    <t>CC</t>
  </si>
  <si>
    <t>Selección</t>
  </si>
  <si>
    <t>Integrantes del equipo</t>
  </si>
  <si>
    <t>TRIÁNGULO-PAGADO</t>
  </si>
  <si>
    <t>TRIÁNGULO-OCURRIDO</t>
  </si>
  <si>
    <t>FACTORES</t>
  </si>
  <si>
    <t>cota_inf</t>
  </si>
  <si>
    <t>Mediana</t>
  </si>
  <si>
    <t>Promedio</t>
  </si>
  <si>
    <t>cota_sup</t>
  </si>
  <si>
    <t>Factores</t>
  </si>
  <si>
    <t>CHAIN-LADDER — Triángulo Proyectado e IBNR | Vinculado a hojas 1_Triangulo y 2_Factores</t>
  </si>
  <si>
    <t>AZUL=observado (hoja 1) · AMARILLO=proyección CL = C_{i,j-1} × f̂_{j-1} (hoja 2) · VERDE=IBNR</t>
  </si>
  <si>
    <t>AO</t>
  </si>
  <si>
    <t>Trim.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</si>
  <si>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</si>
  <si>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</si>
  <si>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</si>
  <si>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</si>
  <si>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</si>
  <si>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</si>
  <si>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</si>
  <si>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</si>
  <si>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</si>
  <si>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</si>
  <si>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</si>
  <si>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</si>
  <si>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</si>
  <si>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</si>
  <si>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</si>
  <si>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</si>
  <si>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</si>
  <si>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</si>
  <si>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</si>
  <si>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</si>
  <si>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</si>
  <si>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</si>
  <si>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</si>
  <si>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</si>
  <si>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Último
Proy.</t>
  </si>
  <si>
    <t>Pagado
Actual</t>
  </si>
  <si>
    <t>IBNR CL</t>
  </si>
  <si>
    <t>AO02</t>
  </si>
  <si>
    <t>AO03</t>
  </si>
  <si>
    <t>AO04</t>
  </si>
  <si>
    <t>AO05</t>
  </si>
  <si>
    <t>AO06</t>
  </si>
  <si>
    <t>AO07</t>
  </si>
  <si>
    <t>AO08</t>
  </si>
  <si>
    <t>AO09</t>
  </si>
  <si>
    <t>AO10</t>
  </si>
  <si>
    <t>AO11</t>
  </si>
  <si>
    <t>AO12</t>
  </si>
  <si>
    <t>AO13</t>
  </si>
  <si>
    <t>AO14</t>
  </si>
  <si>
    <t>AO15</t>
  </si>
  <si>
    <t>AO16</t>
  </si>
  <si>
    <t>AO17</t>
  </si>
  <si>
    <t>AO18</t>
  </si>
  <si>
    <t>AO19</t>
  </si>
  <si>
    <t>AO20</t>
  </si>
  <si>
    <t>AO21</t>
  </si>
  <si>
    <t>AO22</t>
  </si>
  <si>
    <t>AO23</t>
  </si>
  <si>
    <t>AO24</t>
  </si>
  <si>
    <t>Numerado</t>
  </si>
  <si>
    <t>Denominador</t>
  </si>
  <si>
    <t>Pagado actual
(diagonal)</t>
  </si>
  <si>
    <t>Prima Devengada</t>
  </si>
  <si>
    <t>% Des.
(de 2_Factores)</t>
  </si>
  <si>
    <t>% No-Des.
=1−%Des</t>
  </si>
  <si>
    <t>Apriori
=Prima×ELR</t>
  </si>
  <si>
    <t>IBNR_BF
=Apriori×%NoDes</t>
  </si>
  <si>
    <t>Último_BF
=Pag+IBNR</t>
  </si>
  <si>
    <t>AO001</t>
  </si>
  <si>
    <t>AO002</t>
  </si>
  <si>
    <t>AO003</t>
  </si>
  <si>
    <t>AO004</t>
  </si>
  <si>
    <t>AO005</t>
  </si>
  <si>
    <t>AO006</t>
  </si>
  <si>
    <t>AO007</t>
  </si>
  <si>
    <t>AO008</t>
  </si>
  <si>
    <t>AO009</t>
  </si>
  <si>
    <t>AO010</t>
  </si>
  <si>
    <t>AO011</t>
  </si>
  <si>
    <t>AO012</t>
  </si>
  <si>
    <t>AO013</t>
  </si>
  <si>
    <t>AO014</t>
  </si>
  <si>
    <t>AO015</t>
  </si>
  <si>
    <t>AO016</t>
  </si>
  <si>
    <t>AO017</t>
  </si>
  <si>
    <t>AO018</t>
  </si>
  <si>
    <t>AO019</t>
  </si>
  <si>
    <t>AO020</t>
  </si>
  <si>
    <t>AO021</t>
  </si>
  <si>
    <t>AO022</t>
  </si>
  <si>
    <t>AO023</t>
  </si>
  <si>
    <t>AO024</t>
  </si>
  <si>
    <t>ELR a priori (BF):</t>
  </si>
  <si>
    <t>TOTAL</t>
  </si>
  <si>
    <t>CAPE COD · ELR_CC = Σ Pagados / Σ(Prima×%Des) · ELR endógeno calculado en B4</t>
  </si>
  <si>
    <t>ELR_CC en B4 calculado automáticamente · % Des de 4_BF · Primas de 1_Triangulo</t>
  </si>
  <si>
    <t>ELR Cape Cod:</t>
  </si>
  <si>
    <t>Σ Pagados / Σ(Prima×%Des) — se actualiza automáticamente</t>
  </si>
  <si>
    <t>Pagado actual</t>
  </si>
  <si>
    <t>% Des.</t>
  </si>
  <si>
    <t>% No-Des.</t>
  </si>
  <si>
    <t>Prima × %Des</t>
  </si>
  <si>
    <t>IBNR_CC
=Prima×%NoDes×ELR_CC</t>
  </si>
  <si>
    <t>Último_CC</t>
  </si>
  <si>
    <t xml:space="preserve">Total </t>
  </si>
  <si>
    <t>Factor acum. F_j^{→25}</t>
  </si>
  <si>
    <t>% Desarrollado = 1/F_j</t>
  </si>
  <si>
    <t>DURACIÓN DE CARTERA — AUTO DAÑOS / RC PERSONAL</t>
  </si>
  <si>
    <t>Metodología: Macaulay · Modificada · Efectiva | Fuente: D'Arcy &amp; Gorvett (2000), PCAS</t>
  </si>
  <si>
    <t>PARÁMETROS DE ENTRADA</t>
  </si>
  <si>
    <t>Reserva total (MXN)</t>
  </si>
  <si>
    <t>Monto total de la reserva IBNR a valuar</t>
  </si>
  <si>
    <t>Tasa de descuento (r)</t>
  </si>
  <si>
    <t>Tasa libre de riesgo (CETES / curva CNSF)</t>
  </si>
  <si>
    <t>Shock de tasa (Δr)</t>
  </si>
  <si>
    <t>Desplazamiento para calcular duración efectiva (±100 bps)</t>
  </si>
  <si>
    <t>Correlación tasas-inflación</t>
  </si>
  <si>
    <t>ρ: usada para ajustar D_Efectiva (D'Arcy 2000, Tabla 3)</t>
  </si>
  <si>
    <t>A. PATRÓN DE DESARROLLO Y FLUJOS DE PAGO</t>
  </si>
  <si>
    <t>% Pago
Acumulado</t>
  </si>
  <si>
    <t>% Pago
Incremental</t>
  </si>
  <si>
    <t>Flujo Nominal
(MXN)</t>
  </si>
  <si>
    <t>PV del Flujo
(MXN)</t>
  </si>
  <si>
    <t>Peso = PV/PV_Total</t>
  </si>
  <si>
    <t>t × Peso</t>
  </si>
  <si>
    <t>t(t+1)×PV/(1+r)²
(Convexidad)</t>
  </si>
  <si>
    <t>100.00%</t>
  </si>
  <si>
    <t>B. CÁLCULO DE DURACIÓN</t>
  </si>
  <si>
    <t>Duración de Macaulay (D_Mac)</t>
  </si>
  <si>
    <t>años</t>
  </si>
  <si>
    <t>D_Mac = Σ[t × PV(CF_t)] / PV_Total</t>
  </si>
  <si>
    <t>Duración Modificada (D_Mod)</t>
  </si>
  <si>
    <t>D_Mod = D_Mac / (1 + r)</t>
  </si>
  <si>
    <t>Convexidad</t>
  </si>
  <si>
    <t>Conv = Σ[t(t+1)×PV(CF_t)/PV_Total] / (1+r)²</t>
  </si>
  <si>
    <t>Curvatura de la función PV vs tasa</t>
  </si>
  <si>
    <t>C. ANÁLISIS DE SENSIBILIDAD — Δ PV ante cambios de tasa</t>
  </si>
  <si>
    <t>Escenario</t>
  </si>
  <si>
    <t>Tasa aplicada</t>
  </si>
  <si>
    <t>PV de Pasivos</t>
  </si>
  <si>
    <t>Δ PV vs base</t>
  </si>
  <si>
    <t>Δ PV %</t>
  </si>
  <si>
    <t>D_Mod × Δr (aprox.)</t>
  </si>
  <si>
    <t>Tasa base (r)</t>
  </si>
  <si>
    <t>—</t>
  </si>
  <si>
    <t>Sube 100 bps</t>
  </si>
  <si>
    <t>Sube 200 bps</t>
  </si>
  <si>
    <t>Baja 100 bps</t>
  </si>
  <si>
    <t>Baja 200 bps</t>
  </si>
  <si>
    <t>2. tasa de interes</t>
  </si>
  <si>
    <t>Trimestre (t)</t>
  </si>
  <si>
    <t>3. tasa de interes</t>
  </si>
  <si>
    <t>A — MONOTONICIDAD   ratio_{i,j} = C_{i,j+1}/C_{i,j} ≥ 1.0</t>
  </si>
  <si>
    <t>Año</t>
  </si>
  <si>
    <t>D1/D0</t>
  </si>
  <si>
    <t>D2/D1</t>
  </si>
  <si>
    <t>D3/D2</t>
  </si>
  <si>
    <t>D4/D3</t>
  </si>
  <si>
    <t>D5/D4</t>
  </si>
  <si>
    <t>¿Monótono?
(todos ≥1?)</t>
  </si>
  <si>
    <t>¿Outlier?</t>
  </si>
  <si>
    <t>B — DETECCIÓN DE OUTLIERS   |ratio_{i,j} − f̂_j| / f̂_j &gt; 20%</t>
  </si>
  <si>
    <t>Columna</t>
  </si>
  <si>
    <t>f̂_j (Ej1)</t>
  </si>
  <si>
    <t>Límite −20%</t>
  </si>
  <si>
    <t>Límite +20%</t>
  </si>
  <si>
    <t>¿Outlier en Parte A?</t>
  </si>
  <si>
    <t>Año \ Dev.</t>
  </si>
  <si>
    <t>¿Cambia?</t>
  </si>
  <si>
    <t>AO01</t>
  </si>
  <si>
    <t>D6/D5</t>
  </si>
  <si>
    <t>D7/D6</t>
  </si>
  <si>
    <t>D8/D7</t>
  </si>
  <si>
    <t>D9/D8</t>
  </si>
  <si>
    <t>D10/D9</t>
  </si>
  <si>
    <t>D11/D10</t>
  </si>
  <si>
    <t>D12/D11</t>
  </si>
  <si>
    <t>D13/D12</t>
  </si>
  <si>
    <t>D14/D13</t>
  </si>
  <si>
    <t>D15/D14</t>
  </si>
  <si>
    <t>D16/D15</t>
  </si>
  <si>
    <t>D17/D16</t>
  </si>
  <si>
    <t>D18/D17</t>
  </si>
  <si>
    <t>D19/D18</t>
  </si>
  <si>
    <t>D20/D19</t>
  </si>
  <si>
    <t>D21/D20</t>
  </si>
  <si>
    <t>D22/D21</t>
  </si>
  <si>
    <t>D23/D22</t>
  </si>
  <si>
    <t>VALIDACIÓN DE TRIÁNGULOS Y BACKTESTING</t>
  </si>
  <si>
    <t>Numerado_nuv</t>
  </si>
  <si>
    <t>Denominador_nuv</t>
  </si>
  <si>
    <t>Factores_nuv</t>
  </si>
  <si>
    <t>Factores_CL</t>
  </si>
  <si>
    <t>IBNR CL_nuv</t>
  </si>
  <si>
    <t>C — BACKTESTING con triángulo a sep-2026</t>
  </si>
  <si>
    <t>Diferencia</t>
  </si>
  <si>
    <t>Conclusión</t>
  </si>
  <si>
    <t>Backtesting proyectando al final del triangulo</t>
  </si>
  <si>
    <t>Backtesting  a septiembre de 2026</t>
  </si>
  <si>
    <t>Trimestral</t>
  </si>
  <si>
    <t>Anual</t>
  </si>
  <si>
    <t xml:space="preserve">~0.98 años </t>
  </si>
  <si>
    <t xml:space="preserve">~0.92 años </t>
  </si>
  <si>
    <t>~0.0388</t>
  </si>
  <si>
    <t xml:space="preserve">~0.0412 años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</si>
</sst>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.00000"/>
    <numFmt numFmtId="166" formatCode="_-* #,##0.00000_-;\-* #,##0.00000_-;_-* &quot;-&quot;??_-;_-@_-"/>
    <numFmt numFmtId="167" formatCode="#,##0;\(#,##0\)"/>
    <numFmt numFmtId="168" formatCode="0.000%"/>
    <numFmt numFmtId="169" formatCode="0.0000%"/>
    <numFmt numFmtId="170" formatCode="0.0000"/>
    <numFmt numFmtId="171" formatCode="#,##0.0000"/>
    <numFmt numFmtId="172" formatCode="0.0%"/>
    <numFmt numFmtId="173" formatCode="0.000"/>
    <numFmt numFmtId="174" formatCode="#,##0.0000000"/>
  </numFmts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8"/>
      <color rgb="FF1E3A5F"/>
      <name val="Calibri"/>
      <family val="2"/>
    </font>
    <font>
      <b/>
      <sz val="8"/>
      <color rgb="FFFFFFFF"/>
      <name val="Calibri"/>
      <family val="2"/>
    </font>
    <font>
      <b/>
      <sz val="7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E3A5F"/>
      <name val="Calibri"/>
      <family val="2"/>
    </font>
    <font>
      <sz val="9"/>
      <color rgb="FF555555"/>
      <name val="Calibri"/>
      <family val="2"/>
    </font>
    <font>
      <sz val="9"/>
      <color rgb="FF1C1C1C"/>
      <name val="Calibri"/>
      <family val="2"/>
    </font>
    <font>
      <b/>
      <sz val="9"/>
      <color rgb="FF1A5C38"/>
      <name val="Calibri"/>
      <family val="2"/>
    </font>
    <font>
      <sz val="9"/>
      <color rgb="FF1E3A5F"/>
      <name val="Calibri"/>
      <family val="2"/>
    </font>
    <font>
      <sz val="9"/>
      <color rgb="FF00008B"/>
      <name val="Calibri"/>
      <family val="2"/>
    </font>
    <font>
      <b/>
      <sz val="9"/>
      <name val="Calibri"/>
      <family val="2"/>
    </font>
    <font>
      <sz val="8"/>
      <name val="Aptos Narrow"/>
      <family val="2"/>
      <scheme val="minor"/>
    </font>
    <font>
      <b/>
      <sz val="9"/>
      <color rgb="FF7D3C00"/>
      <name val="Calibri"/>
      <family val="2"/>
    </font>
    <font>
      <b/>
      <sz val="11"/>
      <color rgb="FF00008B"/>
      <name val="Calibri"/>
      <family val="2"/>
    </font>
    <font>
      <sz val="9"/>
      <color rgb="FF2E6DA4"/>
      <name val="Calibri"/>
      <family val="2"/>
    </font>
    <font>
      <sz val="9"/>
      <color rgb="FF7D3C00"/>
      <name val="Calibri"/>
      <family val="2"/>
    </font>
    <font>
      <sz val="9"/>
      <color rgb="FF1A5C38"/>
      <name val="Calibri"/>
      <family val="2"/>
    </font>
    <font>
      <b/>
      <sz val="10"/>
      <color rgb="FFFFFFFF"/>
      <name val="Calibri"/>
      <family val="2"/>
    </font>
    <font>
      <sz val="8"/>
      <color rgb="FF4A1A82"/>
      <name val="Calibri"/>
      <family val="2"/>
    </font>
    <font>
      <i/>
      <sz val="8"/>
      <color rgb="FF4A1A82"/>
      <name val="Calibri"/>
      <family val="2"/>
    </font>
    <font>
      <b/>
      <sz val="9"/>
      <color rgb="FF4A1A82"/>
      <name val="Calibri"/>
      <family val="2"/>
    </font>
    <font>
      <sz val="9"/>
      <color rgb="FF4A1A82"/>
      <name val="Calibri"/>
      <family val="2"/>
    </font>
    <font>
      <b/>
      <sz val="8"/>
      <color rgb="FF1E3A5F"/>
      <name val="Calibri"/>
      <family val="2"/>
    </font>
    <font>
      <b/>
      <sz val="13"/>
      <color rgb="FFFFFFFF"/>
      <name val="Calibri"/>
      <family val="2"/>
    </font>
    <font>
      <i/>
      <sz val="9"/>
      <color rgb="FF1E3A5F"/>
      <name val="Calibri"/>
      <family val="2"/>
    </font>
    <font>
      <b/>
      <sz val="10"/>
      <color rgb="FFFFFFFF"/>
      <name val="Calibri"/>
      <family val="2"/>
    </font>
    <font>
      <b/>
      <sz val="10"/>
      <color rgb="FF1E3A5F"/>
      <name val="Calibri"/>
      <family val="2"/>
    </font>
    <font>
      <b/>
      <sz val="10"/>
      <color rgb="FF0000CD"/>
      <name val="Calibri"/>
      <family val="2"/>
    </font>
    <font>
      <i/>
      <sz val="8"/>
      <color rgb="FF777777"/>
      <name val="Calibri"/>
      <family val="2"/>
    </font>
    <font>
      <b/>
      <sz val="9"/>
      <color rgb="FFFFFFFF"/>
      <name val="Calibri"/>
      <family val="2"/>
    </font>
    <font>
      <sz val="10"/>
      <color rgb="FF1C1C1C"/>
      <name val="Calibri"/>
      <family val="2"/>
    </font>
    <font>
      <sz val="10"/>
      <name val="Arial"/>
      <family val="2"/>
    </font>
    <font>
      <sz val="10"/>
      <color rgb="FF1E3A5F"/>
      <name val="Calibri"/>
      <family val="2"/>
    </font>
    <font>
      <i/>
      <sz val="10"/>
      <color rgb="FF444444"/>
      <name val="Calibri"/>
      <family val="2"/>
    </font>
    <font>
      <b/>
      <sz val="12"/>
      <color rgb="FFFFFFFF"/>
      <name val="Calibri"/>
      <family val="2"/>
    </font>
    <font>
      <i/>
      <sz val="8.5"/>
      <color rgb="FF555555"/>
      <name val="Calibri"/>
      <family val="2"/>
    </font>
    <font>
      <b/>
      <sz val="8"/>
      <color rgb="FFFFFFFF"/>
      <name val="Calibri"/>
      <family val="2"/>
    </font>
    <font>
      <sz val="10"/>
      <color rgb="FF1A237E"/>
      <name val="Calibri"/>
      <family val="2"/>
    </font>
    <font>
      <sz val="9"/>
      <color rgb="FFBBBBBB"/>
      <name val="Calibri"/>
      <family val="2"/>
    </font>
    <font>
      <sz val="9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E3A5F"/>
        <bgColor rgb="FF1A5C38"/>
      </patternFill>
    </fill>
    <fill>
      <patternFill patternType="solid">
        <fgColor rgb="FFEAF4FF"/>
        <bgColor rgb="FFF4F6F8"/>
      </patternFill>
    </fill>
    <fill>
      <patternFill patternType="solid">
        <fgColor rgb="FF2E6DA4"/>
        <bgColor rgb="FF3366FF"/>
      </patternFill>
    </fill>
    <fill>
      <patternFill patternType="solid">
        <fgColor rgb="FF1A5C38"/>
        <bgColor rgb="FF1E3A5F"/>
      </patternFill>
    </fill>
    <fill>
      <patternFill patternType="solid">
        <fgColor rgb="FFD6E4F0"/>
        <bgColor rgb="FFD4EFDF"/>
      </patternFill>
    </fill>
    <fill>
      <patternFill patternType="solid">
        <fgColor rgb="FFD4EFDF"/>
        <bgColor rgb="FFD6E4F0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3E0"/>
      </patternFill>
    </fill>
    <fill>
      <patternFill patternType="solid">
        <fgColor rgb="FF7D3C00"/>
        <bgColor rgb="FFB7410E"/>
      </patternFill>
    </fill>
    <fill>
      <patternFill patternType="solid">
        <fgColor rgb="FFFFF3E0"/>
        <bgColor rgb="FFFFFDE7"/>
      </patternFill>
    </fill>
    <fill>
      <patternFill patternType="solid">
        <fgColor rgb="FFFCE4D6"/>
        <bgColor rgb="FFFFF3E0"/>
      </patternFill>
    </fill>
    <fill>
      <patternFill patternType="solid">
        <fgColor rgb="FFEDE7F6"/>
        <bgColor rgb="FFF2F2F2"/>
      </patternFill>
    </fill>
    <fill>
      <patternFill patternType="solid">
        <fgColor rgb="FF4A1A82"/>
        <bgColor rgb="FF660066"/>
      </patternFill>
    </fill>
    <fill>
      <patternFill patternType="solid">
        <fgColor rgb="FF1E3A5F"/>
        <bgColor rgb="FF333399"/>
      </patternFill>
    </fill>
    <fill>
      <patternFill patternType="solid">
        <fgColor rgb="FFF4F6F8"/>
        <bgColor rgb="FFEAF4FF"/>
      </patternFill>
    </fill>
    <fill>
      <patternFill patternType="solid">
        <fgColor rgb="FF1E3A5F"/>
        <bgColor rgb="FF1A237E"/>
      </patternFill>
    </fill>
    <fill>
      <patternFill patternType="solid">
        <fgColor rgb="FFF4F6F8"/>
        <bgColor rgb="FFFAFAFA"/>
      </patternFill>
    </fill>
    <fill>
      <patternFill patternType="solid">
        <fgColor rgb="FFFFFDE7"/>
        <bgColor rgb="FFFAFAFA"/>
      </patternFill>
    </fill>
    <fill>
      <patternFill patternType="solid">
        <fgColor rgb="FFF0F0F0"/>
        <bgColor rgb="FFF4F6F8"/>
      </patternFill>
    </fill>
    <fill>
      <patternFill patternType="solid">
        <fgColor rgb="FFFF0000"/>
        <bgColor rgb="FFF4F6F8"/>
      </patternFill>
    </fill>
    <fill>
      <patternFill patternType="solid">
        <fgColor rgb="FFFF0000"/>
        <bgColor rgb="FFFFFDE7"/>
      </patternFill>
    </fill>
    <fill>
      <patternFill patternType="solid">
        <fgColor theme="8" tint="0.79998168889431442"/>
        <bgColor rgb="FFFFF3E0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rgb="FFB7410E"/>
      </left>
      <right style="medium">
        <color rgb="FFB7410E"/>
      </right>
      <top style="medium">
        <color rgb="FFB7410E"/>
      </top>
      <bottom style="medium">
        <color rgb="FFB7410E"/>
      </bottom>
      <diagonal/>
    </border>
    <border>
      <left style="medium">
        <color rgb="FF4A1A82"/>
      </left>
      <right style="medium">
        <color rgb="FF4A1A82"/>
      </right>
      <top style="medium">
        <color rgb="FF4A1A82"/>
      </top>
      <bottom style="medium">
        <color rgb="FF4A1A82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medium">
        <color rgb="FF2E6DA4"/>
      </left>
      <right style="medium">
        <color rgb="FF2E6DA4"/>
      </right>
      <top style="medium">
        <color rgb="FF2E6DA4"/>
      </top>
      <bottom style="medium">
        <color rgb="FF2E6DA4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39" fillId="0" borderId="0" applyBorder="0" applyAlignment="0" applyProtection="0"/>
    <xf numFmtId="9" fontId="39" fillId="0" borderId="0" applyBorder="0" applyAlignment="0" applyProtection="0"/>
  </cellStyleXfs>
  <cellXfs count="175">
    <xf numFmtId="0" fontId="0" fillId="0" borderId="0" xfId="0"/>
    <xf numFmtId="164" fontId="0" fillId="0" borderId="0" xfId="1" applyNumberFormat="1" applyFont="1"/>
    <xf numFmtId="0" fontId="3" fillId="2" borderId="0" xfId="0" applyFont="1" applyFill="1" applyAlignment="1">
      <alignment horizontal="center"/>
    </xf>
    <xf numFmtId="164" fontId="0" fillId="0" borderId="0" xfId="1" applyNumberFormat="1" applyFont="1" applyFill="1"/>
    <xf numFmtId="0" fontId="2" fillId="0" borderId="0" xfId="0" applyFont="1" applyAlignment="1">
      <alignment horizontal="center" vertical="center"/>
    </xf>
    <xf numFmtId="164" fontId="0" fillId="0" borderId="0" xfId="0" applyNumberFormat="1"/>
    <xf numFmtId="164" fontId="0" fillId="4" borderId="0" xfId="1" applyNumberFormat="1" applyFont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165" fontId="0" fillId="0" borderId="0" xfId="2" applyNumberFormat="1" applyFont="1" applyFill="1"/>
    <xf numFmtId="166" fontId="0" fillId="0" borderId="0" xfId="1" applyNumberFormat="1" applyFont="1" applyFill="1"/>
    <xf numFmtId="165" fontId="0" fillId="0" borderId="0" xfId="0" applyNumberFormat="1"/>
    <xf numFmtId="165" fontId="1" fillId="0" borderId="0" xfId="2" applyNumberFormat="1" applyFont="1" applyFill="1"/>
    <xf numFmtId="165" fontId="0" fillId="0" borderId="2" xfId="2" applyNumberFormat="1" applyFont="1" applyFill="1" applyBorder="1"/>
    <xf numFmtId="165" fontId="0" fillId="0" borderId="3" xfId="2" applyNumberFormat="1" applyFont="1" applyFill="1" applyBorder="1"/>
    <xf numFmtId="165" fontId="0" fillId="0" borderId="4" xfId="2" applyNumberFormat="1" applyFont="1" applyFill="1" applyBorder="1"/>
    <xf numFmtId="165" fontId="0" fillId="0" borderId="5" xfId="2" applyNumberFormat="1" applyFont="1" applyFill="1" applyBorder="1"/>
    <xf numFmtId="165" fontId="0" fillId="0" borderId="6" xfId="2" applyNumberFormat="1" applyFont="1" applyFill="1" applyBorder="1"/>
    <xf numFmtId="165" fontId="0" fillId="0" borderId="1" xfId="2" applyNumberFormat="1" applyFont="1" applyFill="1" applyBorder="1"/>
    <xf numFmtId="165" fontId="0" fillId="0" borderId="0" xfId="2" applyNumberFormat="1" applyFont="1" applyFill="1" applyBorder="1"/>
    <xf numFmtId="0" fontId="2" fillId="0" borderId="7" xfId="0" applyFont="1" applyBorder="1"/>
    <xf numFmtId="166" fontId="0" fillId="0" borderId="7" xfId="1" applyNumberFormat="1" applyFont="1" applyFill="1" applyBorder="1"/>
    <xf numFmtId="165" fontId="0" fillId="0" borderId="7" xfId="0" applyNumberFormat="1" applyBorder="1"/>
    <xf numFmtId="0" fontId="0" fillId="0" borderId="7" xfId="0" applyBorder="1"/>
    <xf numFmtId="0" fontId="6" fillId="0" borderId="0" xfId="3"/>
    <xf numFmtId="0" fontId="9" fillId="7" borderId="8" xfId="3" applyFont="1" applyFill="1" applyBorder="1" applyAlignment="1">
      <alignment horizontal="center" vertical="center"/>
    </xf>
    <xf numFmtId="0" fontId="10" fillId="7" borderId="8" xfId="3" applyFont="1" applyFill="1" applyBorder="1" applyAlignment="1">
      <alignment horizontal="center" vertical="center"/>
    </xf>
    <xf numFmtId="0" fontId="9" fillId="8" borderId="8" xfId="3" applyFont="1" applyFill="1" applyBorder="1" applyAlignment="1">
      <alignment horizontal="center" vertical="center" wrapText="1"/>
    </xf>
    <xf numFmtId="0" fontId="9" fillId="7" borderId="8" xfId="3" applyFont="1" applyFill="1" applyBorder="1" applyAlignment="1">
      <alignment horizontal="center" vertical="center" wrapText="1"/>
    </xf>
    <xf numFmtId="0" fontId="11" fillId="8" borderId="8" xfId="3" applyFont="1" applyFill="1" applyBorder="1" applyAlignment="1">
      <alignment horizontal="center" vertical="center" wrapText="1"/>
    </xf>
    <xf numFmtId="0" fontId="12" fillId="6" borderId="8" xfId="3" applyFont="1" applyFill="1" applyBorder="1" applyAlignment="1">
      <alignment horizontal="center" vertical="center"/>
    </xf>
    <xf numFmtId="0" fontId="13" fillId="6" borderId="8" xfId="3" applyFont="1" applyFill="1" applyBorder="1" applyAlignment="1">
      <alignment horizontal="center" vertical="center"/>
    </xf>
    <xf numFmtId="3" fontId="14" fillId="6" borderId="8" xfId="3" applyNumberFormat="1" applyFont="1" applyFill="1" applyBorder="1" applyAlignment="1">
      <alignment horizontal="right" vertical="center"/>
    </xf>
    <xf numFmtId="3" fontId="12" fillId="9" borderId="8" xfId="3" applyNumberFormat="1" applyFont="1" applyFill="1" applyBorder="1" applyAlignment="1">
      <alignment horizontal="right" vertical="center"/>
    </xf>
    <xf numFmtId="3" fontId="15" fillId="10" borderId="8" xfId="3" applyNumberFormat="1" applyFont="1" applyFill="1" applyBorder="1" applyAlignment="1">
      <alignment horizontal="right" vertical="center"/>
    </xf>
    <xf numFmtId="3" fontId="16" fillId="9" borderId="8" xfId="3" applyNumberFormat="1" applyFont="1" applyFill="1" applyBorder="1" applyAlignment="1">
      <alignment horizontal="right" vertical="center"/>
    </xf>
    <xf numFmtId="0" fontId="12" fillId="11" borderId="8" xfId="3" applyFont="1" applyFill="1" applyBorder="1" applyAlignment="1">
      <alignment horizontal="center" vertical="center"/>
    </xf>
    <xf numFmtId="0" fontId="13" fillId="11" borderId="8" xfId="3" applyFont="1" applyFill="1" applyBorder="1" applyAlignment="1">
      <alignment horizontal="center" vertical="center"/>
    </xf>
    <xf numFmtId="3" fontId="14" fillId="11" borderId="8" xfId="3" applyNumberFormat="1" applyFont="1" applyFill="1" applyBorder="1" applyAlignment="1">
      <alignment horizontal="right" vertical="center"/>
    </xf>
    <xf numFmtId="3" fontId="17" fillId="12" borderId="8" xfId="3" applyNumberFormat="1" applyFont="1" applyFill="1" applyBorder="1" applyAlignment="1">
      <alignment horizontal="right" vertical="center"/>
    </xf>
    <xf numFmtId="0" fontId="11" fillId="8" borderId="8" xfId="3" applyFont="1" applyFill="1" applyBorder="1" applyAlignment="1">
      <alignment vertical="center"/>
    </xf>
    <xf numFmtId="3" fontId="7" fillId="8" borderId="8" xfId="3" applyNumberFormat="1" applyFont="1" applyFill="1" applyBorder="1" applyAlignment="1">
      <alignment horizontal="right" vertical="center"/>
    </xf>
    <xf numFmtId="0" fontId="11" fillId="8" borderId="9" xfId="3" applyFont="1" applyFill="1" applyBorder="1" applyAlignment="1">
      <alignment vertical="center"/>
    </xf>
    <xf numFmtId="0" fontId="11" fillId="8" borderId="10" xfId="3" applyFont="1" applyFill="1" applyBorder="1" applyAlignment="1">
      <alignment vertical="center"/>
    </xf>
    <xf numFmtId="0" fontId="11" fillId="8" borderId="11" xfId="3" applyFont="1" applyFill="1" applyBorder="1" applyAlignment="1">
      <alignment vertical="center"/>
    </xf>
    <xf numFmtId="3" fontId="12" fillId="9" borderId="13" xfId="3" applyNumberFormat="1" applyFont="1" applyFill="1" applyBorder="1" applyAlignment="1">
      <alignment horizontal="right" vertical="center"/>
    </xf>
    <xf numFmtId="3" fontId="17" fillId="12" borderId="13" xfId="3" applyNumberFormat="1" applyFont="1" applyFill="1" applyBorder="1" applyAlignment="1">
      <alignment horizontal="right" vertical="center"/>
    </xf>
    <xf numFmtId="3" fontId="18" fillId="0" borderId="7" xfId="3" applyNumberFormat="1" applyFont="1" applyBorder="1" applyAlignment="1">
      <alignment vertical="center"/>
    </xf>
    <xf numFmtId="0" fontId="18" fillId="0" borderId="7" xfId="3" applyFont="1" applyBorder="1" applyAlignment="1">
      <alignment vertical="center"/>
    </xf>
    <xf numFmtId="3" fontId="18" fillId="0" borderId="7" xfId="3" applyNumberFormat="1" applyFont="1" applyBorder="1" applyAlignment="1">
      <alignment horizontal="right" vertical="center"/>
    </xf>
    <xf numFmtId="0" fontId="9" fillId="13" borderId="8" xfId="0" applyFont="1" applyFill="1" applyBorder="1" applyAlignment="1">
      <alignment horizontal="center" vertical="center" wrapText="1"/>
    </xf>
    <xf numFmtId="0" fontId="0" fillId="0" borderId="0" xfId="0" quotePrefix="1"/>
    <xf numFmtId="0" fontId="20" fillId="14" borderId="8" xfId="0" applyFont="1" applyFill="1" applyBorder="1" applyAlignment="1">
      <alignment horizontal="left" vertical="center"/>
    </xf>
    <xf numFmtId="10" fontId="21" fillId="12" borderId="15" xfId="0" applyNumberFormat="1" applyFont="1" applyFill="1" applyBorder="1" applyAlignment="1">
      <alignment horizontal="right" vertical="center"/>
    </xf>
    <xf numFmtId="4" fontId="0" fillId="0" borderId="0" xfId="2" applyNumberFormat="1" applyFont="1"/>
    <xf numFmtId="0" fontId="20" fillId="15" borderId="8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0" fontId="13" fillId="15" borderId="8" xfId="0" applyFont="1" applyFill="1" applyBorder="1" applyAlignment="1">
      <alignment horizontal="center" vertical="center"/>
    </xf>
    <xf numFmtId="3" fontId="16" fillId="9" borderId="8" xfId="0" applyNumberFormat="1" applyFont="1" applyFill="1" applyBorder="1" applyAlignment="1">
      <alignment horizontal="right" vertical="center"/>
    </xf>
    <xf numFmtId="3" fontId="14" fillId="15" borderId="8" xfId="0" applyNumberFormat="1" applyFont="1" applyFill="1" applyBorder="1" applyAlignment="1">
      <alignment horizontal="right" vertical="center"/>
    </xf>
    <xf numFmtId="10" fontId="16" fillId="9" borderId="8" xfId="0" applyNumberFormat="1" applyFont="1" applyFill="1" applyBorder="1" applyAlignment="1">
      <alignment horizontal="right" vertical="center"/>
    </xf>
    <xf numFmtId="10" fontId="22" fillId="6" borderId="8" xfId="0" applyNumberFormat="1" applyFont="1" applyFill="1" applyBorder="1" applyAlignment="1">
      <alignment horizontal="right" vertical="center"/>
    </xf>
    <xf numFmtId="3" fontId="23" fillId="15" borderId="8" xfId="0" applyNumberFormat="1" applyFont="1" applyFill="1" applyBorder="1" applyAlignment="1">
      <alignment horizontal="right" vertical="center"/>
    </xf>
    <xf numFmtId="3" fontId="15" fillId="10" borderId="8" xfId="0" applyNumberFormat="1" applyFont="1" applyFill="1" applyBorder="1" applyAlignment="1">
      <alignment horizontal="right" vertical="center"/>
    </xf>
    <xf numFmtId="3" fontId="24" fillId="10" borderId="8" xfId="0" applyNumberFormat="1" applyFont="1" applyFill="1" applyBorder="1" applyAlignment="1">
      <alignment horizontal="right" vertical="center"/>
    </xf>
    <xf numFmtId="0" fontId="13" fillId="11" borderId="8" xfId="0" applyFont="1" applyFill="1" applyBorder="1" applyAlignment="1">
      <alignment horizontal="center" vertical="center"/>
    </xf>
    <xf numFmtId="167" fontId="25" fillId="8" borderId="8" xfId="0" applyNumberFormat="1" applyFont="1" applyFill="1" applyBorder="1" applyAlignment="1">
      <alignment horizontal="right" vertical="center"/>
    </xf>
    <xf numFmtId="0" fontId="11" fillId="17" borderId="8" xfId="0" applyFont="1" applyFill="1" applyBorder="1" applyAlignment="1">
      <alignment horizontal="left" vertical="center"/>
    </xf>
    <xf numFmtId="10" fontId="21" fillId="12" borderId="16" xfId="0" applyNumberFormat="1" applyFont="1" applyFill="1" applyBorder="1" applyAlignment="1">
      <alignment horizontal="right" vertical="center"/>
    </xf>
    <xf numFmtId="0" fontId="27" fillId="11" borderId="8" xfId="0" applyFont="1" applyFill="1" applyBorder="1" applyAlignment="1">
      <alignment horizontal="left" vertical="center"/>
    </xf>
    <xf numFmtId="0" fontId="9" fillId="17" borderId="8" xfId="0" applyFont="1" applyFill="1" applyBorder="1" applyAlignment="1">
      <alignment horizontal="center" vertical="center" wrapText="1"/>
    </xf>
    <xf numFmtId="0" fontId="28" fillId="16" borderId="8" xfId="0" applyFont="1" applyFill="1" applyBorder="1" applyAlignment="1">
      <alignment horizontal="center" vertical="center"/>
    </xf>
    <xf numFmtId="0" fontId="13" fillId="16" borderId="8" xfId="0" applyFont="1" applyFill="1" applyBorder="1" applyAlignment="1">
      <alignment horizontal="center" vertical="center"/>
    </xf>
    <xf numFmtId="3" fontId="29" fillId="16" borderId="8" xfId="0" applyNumberFormat="1" applyFont="1" applyFill="1" applyBorder="1" applyAlignment="1">
      <alignment horizontal="right" vertical="center"/>
    </xf>
    <xf numFmtId="0" fontId="28" fillId="11" borderId="8" xfId="0" applyFont="1" applyFill="1" applyBorder="1" applyAlignment="1">
      <alignment horizontal="center" vertical="center"/>
    </xf>
    <xf numFmtId="3" fontId="0" fillId="0" borderId="0" xfId="0" applyNumberFormat="1"/>
    <xf numFmtId="167" fontId="25" fillId="17" borderId="8" xfId="0" applyNumberFormat="1" applyFont="1" applyFill="1" applyBorder="1" applyAlignment="1">
      <alignment horizontal="right" vertical="center"/>
    </xf>
    <xf numFmtId="165" fontId="16" fillId="9" borderId="8" xfId="0" applyNumberFormat="1" applyFont="1" applyFill="1" applyBorder="1" applyAlignment="1">
      <alignment horizontal="right" vertical="center"/>
    </xf>
    <xf numFmtId="0" fontId="33" fillId="7" borderId="8" xfId="3" applyFont="1" applyFill="1" applyBorder="1" applyAlignment="1">
      <alignment horizontal="center" vertical="center"/>
    </xf>
    <xf numFmtId="0" fontId="34" fillId="11" borderId="8" xfId="3" applyFont="1" applyFill="1" applyBorder="1" applyAlignment="1">
      <alignment horizontal="left" vertical="center"/>
    </xf>
    <xf numFmtId="3" fontId="35" fillId="12" borderId="19" xfId="3" applyNumberFormat="1" applyFont="1" applyFill="1" applyBorder="1" applyAlignment="1">
      <alignment horizontal="right" vertical="center"/>
    </xf>
    <xf numFmtId="10" fontId="35" fillId="12" borderId="19" xfId="3" applyNumberFormat="1" applyFont="1" applyFill="1" applyBorder="1" applyAlignment="1">
      <alignment horizontal="right" vertical="center"/>
    </xf>
    <xf numFmtId="9" fontId="6" fillId="0" borderId="0" xfId="3" applyNumberFormat="1"/>
    <xf numFmtId="0" fontId="37" fillId="7" borderId="8" xfId="3" applyFont="1" applyFill="1" applyBorder="1" applyAlignment="1">
      <alignment horizontal="center" vertical="center" wrapText="1"/>
    </xf>
    <xf numFmtId="168" fontId="35" fillId="12" borderId="19" xfId="3" applyNumberFormat="1" applyFont="1" applyFill="1" applyBorder="1" applyAlignment="1">
      <alignment horizontal="right" vertical="center"/>
    </xf>
    <xf numFmtId="3" fontId="38" fillId="6" borderId="8" xfId="3" applyNumberFormat="1" applyFont="1" applyFill="1" applyBorder="1" applyAlignment="1">
      <alignment horizontal="right" vertical="center"/>
    </xf>
    <xf numFmtId="169" fontId="38" fillId="6" borderId="8" xfId="3" applyNumberFormat="1" applyFont="1" applyFill="1" applyBorder="1" applyAlignment="1">
      <alignment horizontal="right" vertical="center"/>
    </xf>
    <xf numFmtId="170" fontId="38" fillId="6" borderId="8" xfId="3" applyNumberFormat="1" applyFont="1" applyFill="1" applyBorder="1" applyAlignment="1">
      <alignment horizontal="right" vertical="center"/>
    </xf>
    <xf numFmtId="3" fontId="38" fillId="11" borderId="8" xfId="3" applyNumberFormat="1" applyFont="1" applyFill="1" applyBorder="1" applyAlignment="1">
      <alignment horizontal="right" vertical="center"/>
    </xf>
    <xf numFmtId="169" fontId="38" fillId="11" borderId="8" xfId="3" applyNumberFormat="1" applyFont="1" applyFill="1" applyBorder="1" applyAlignment="1">
      <alignment horizontal="right" vertical="center"/>
    </xf>
    <xf numFmtId="170" fontId="38" fillId="11" borderId="8" xfId="3" applyNumberFormat="1" applyFont="1" applyFill="1" applyBorder="1" applyAlignment="1">
      <alignment horizontal="right" vertical="center"/>
    </xf>
    <xf numFmtId="10" fontId="33" fillId="7" borderId="8" xfId="3" applyNumberFormat="1" applyFont="1" applyFill="1" applyBorder="1" applyAlignment="1">
      <alignment horizontal="right" vertical="center"/>
    </xf>
    <xf numFmtId="3" fontId="33" fillId="7" borderId="8" xfId="3" applyNumberFormat="1" applyFont="1" applyFill="1" applyBorder="1" applyAlignment="1">
      <alignment horizontal="right" vertical="center"/>
    </xf>
    <xf numFmtId="3" fontId="33" fillId="8" borderId="8" xfId="3" applyNumberFormat="1" applyFont="1" applyFill="1" applyBorder="1" applyAlignment="1">
      <alignment horizontal="right" vertical="center"/>
    </xf>
    <xf numFmtId="171" fontId="33" fillId="7" borderId="8" xfId="3" applyNumberFormat="1" applyFont="1" applyFill="1" applyBorder="1" applyAlignment="1">
      <alignment horizontal="right" vertical="center"/>
    </xf>
    <xf numFmtId="164" fontId="39" fillId="0" borderId="0" xfId="4" applyNumberFormat="1"/>
    <xf numFmtId="170" fontId="6" fillId="0" borderId="0" xfId="3" applyNumberFormat="1"/>
    <xf numFmtId="0" fontId="34" fillId="9" borderId="8" xfId="3" applyFont="1" applyFill="1" applyBorder="1" applyAlignment="1">
      <alignment horizontal="left" vertical="center"/>
    </xf>
    <xf numFmtId="170" fontId="34" fillId="9" borderId="8" xfId="3" applyNumberFormat="1" applyFont="1" applyFill="1" applyBorder="1" applyAlignment="1">
      <alignment horizontal="right" vertical="center"/>
    </xf>
    <xf numFmtId="0" fontId="40" fillId="9" borderId="8" xfId="3" applyFont="1" applyFill="1" applyBorder="1" applyAlignment="1">
      <alignment horizontal="left" vertical="center"/>
    </xf>
    <xf numFmtId="0" fontId="34" fillId="6" borderId="8" xfId="3" applyFont="1" applyFill="1" applyBorder="1" applyAlignment="1">
      <alignment horizontal="left" vertical="center"/>
    </xf>
    <xf numFmtId="170" fontId="34" fillId="6" borderId="8" xfId="3" applyNumberFormat="1" applyFont="1" applyFill="1" applyBorder="1" applyAlignment="1">
      <alignment horizontal="right" vertical="center"/>
    </xf>
    <xf numFmtId="0" fontId="40" fillId="6" borderId="8" xfId="3" applyFont="1" applyFill="1" applyBorder="1" applyAlignment="1">
      <alignment horizontal="left" vertical="center"/>
    </xf>
    <xf numFmtId="0" fontId="37" fillId="7" borderId="8" xfId="3" applyFont="1" applyFill="1" applyBorder="1" applyAlignment="1">
      <alignment horizontal="center" vertical="center"/>
    </xf>
    <xf numFmtId="0" fontId="38" fillId="6" borderId="8" xfId="3" applyFont="1" applyFill="1" applyBorder="1" applyAlignment="1">
      <alignment horizontal="left" vertical="center"/>
    </xf>
    <xf numFmtId="10" fontId="38" fillId="6" borderId="8" xfId="3" applyNumberFormat="1" applyFont="1" applyFill="1" applyBorder="1" applyAlignment="1">
      <alignment horizontal="right" vertical="center"/>
    </xf>
    <xf numFmtId="3" fontId="38" fillId="6" borderId="8" xfId="3" applyNumberFormat="1" applyFont="1" applyFill="1" applyBorder="1" applyAlignment="1">
      <alignment horizontal="center" vertical="center"/>
    </xf>
    <xf numFmtId="0" fontId="38" fillId="6" borderId="8" xfId="3" applyFont="1" applyFill="1" applyBorder="1" applyAlignment="1">
      <alignment horizontal="center" vertical="center"/>
    </xf>
    <xf numFmtId="0" fontId="38" fillId="15" borderId="8" xfId="3" applyFont="1" applyFill="1" applyBorder="1" applyAlignment="1">
      <alignment horizontal="left" vertical="center"/>
    </xf>
    <xf numFmtId="10" fontId="38" fillId="15" borderId="8" xfId="3" applyNumberFormat="1" applyFont="1" applyFill="1" applyBorder="1" applyAlignment="1">
      <alignment horizontal="right" vertical="center"/>
    </xf>
    <xf numFmtId="3" fontId="38" fillId="15" borderId="8" xfId="3" applyNumberFormat="1" applyFont="1" applyFill="1" applyBorder="1" applyAlignment="1">
      <alignment horizontal="right" vertical="center"/>
    </xf>
    <xf numFmtId="167" fontId="38" fillId="15" borderId="8" xfId="3" applyNumberFormat="1" applyFont="1" applyFill="1" applyBorder="1" applyAlignment="1">
      <alignment horizontal="right" vertical="center"/>
    </xf>
    <xf numFmtId="0" fontId="38" fillId="10" borderId="8" xfId="3" applyFont="1" applyFill="1" applyBorder="1" applyAlignment="1">
      <alignment horizontal="left" vertical="center"/>
    </xf>
    <xf numFmtId="10" fontId="38" fillId="10" borderId="8" xfId="3" applyNumberFormat="1" applyFont="1" applyFill="1" applyBorder="1" applyAlignment="1">
      <alignment horizontal="right" vertical="center"/>
    </xf>
    <xf numFmtId="3" fontId="38" fillId="10" borderId="8" xfId="3" applyNumberFormat="1" applyFont="1" applyFill="1" applyBorder="1" applyAlignment="1">
      <alignment horizontal="right" vertical="center"/>
    </xf>
    <xf numFmtId="167" fontId="38" fillId="10" borderId="8" xfId="3" applyNumberFormat="1" applyFont="1" applyFill="1" applyBorder="1" applyAlignment="1">
      <alignment horizontal="right" vertical="center"/>
    </xf>
    <xf numFmtId="172" fontId="0" fillId="0" borderId="0" xfId="2" applyNumberFormat="1" applyFont="1"/>
    <xf numFmtId="169" fontId="38" fillId="7" borderId="8" xfId="3" applyNumberFormat="1" applyFont="1" applyFill="1" applyBorder="1" applyAlignment="1">
      <alignment horizontal="right" vertical="center"/>
    </xf>
    <xf numFmtId="170" fontId="38" fillId="7" borderId="8" xfId="3" applyNumberFormat="1" applyFont="1" applyFill="1" applyBorder="1" applyAlignment="1">
      <alignment horizontal="right" vertical="center"/>
    </xf>
    <xf numFmtId="0" fontId="44" fillId="7" borderId="8" xfId="3" applyFont="1" applyFill="1" applyBorder="1" applyAlignment="1">
      <alignment horizontal="center" vertical="center" wrapText="1"/>
    </xf>
    <xf numFmtId="173" fontId="45" fillId="22" borderId="8" xfId="3" applyNumberFormat="1" applyFont="1" applyFill="1" applyBorder="1" applyAlignment="1">
      <alignment horizontal="right" vertical="center"/>
    </xf>
    <xf numFmtId="9" fontId="39" fillId="0" borderId="8" xfId="5" applyBorder="1" applyAlignment="1">
      <alignment horizontal="right" vertical="center"/>
    </xf>
    <xf numFmtId="0" fontId="46" fillId="23" borderId="8" xfId="3" applyFont="1" applyFill="1" applyBorder="1" applyAlignment="1">
      <alignment horizontal="center" vertical="center"/>
    </xf>
    <xf numFmtId="49" fontId="45" fillId="22" borderId="8" xfId="3" applyNumberFormat="1" applyFont="1" applyFill="1" applyBorder="1" applyAlignment="1">
      <alignment horizontal="right" vertical="center"/>
    </xf>
    <xf numFmtId="0" fontId="47" fillId="9" borderId="8" xfId="3" applyFont="1" applyFill="1" applyBorder="1" applyAlignment="1">
      <alignment horizontal="center" vertical="center"/>
    </xf>
    <xf numFmtId="173" fontId="6" fillId="0" borderId="0" xfId="3" applyNumberFormat="1"/>
    <xf numFmtId="174" fontId="14" fillId="11" borderId="8" xfId="3" applyNumberFormat="1" applyFont="1" applyFill="1" applyBorder="1" applyAlignment="1">
      <alignment horizontal="right" vertical="center"/>
    </xf>
    <xf numFmtId="174" fontId="12" fillId="9" borderId="8" xfId="3" applyNumberFormat="1" applyFont="1" applyFill="1" applyBorder="1" applyAlignment="1">
      <alignment horizontal="right" vertical="center"/>
    </xf>
    <xf numFmtId="174" fontId="14" fillId="6" borderId="8" xfId="3" applyNumberFormat="1" applyFont="1" applyFill="1" applyBorder="1" applyAlignment="1">
      <alignment horizontal="right" vertical="center"/>
    </xf>
    <xf numFmtId="44" fontId="17" fillId="12" borderId="13" xfId="3" applyNumberFormat="1" applyFont="1" applyFill="1" applyBorder="1" applyAlignment="1">
      <alignment horizontal="right" vertical="center"/>
    </xf>
    <xf numFmtId="174" fontId="14" fillId="24" borderId="8" xfId="3" applyNumberFormat="1" applyFont="1" applyFill="1" applyBorder="1" applyAlignment="1">
      <alignment horizontal="right" vertical="center"/>
    </xf>
    <xf numFmtId="174" fontId="14" fillId="25" borderId="8" xfId="3" applyNumberFormat="1" applyFont="1" applyFill="1" applyBorder="1" applyAlignment="1">
      <alignment horizontal="right" vertical="center"/>
    </xf>
    <xf numFmtId="3" fontId="17" fillId="26" borderId="13" xfId="3" applyNumberFormat="1" applyFont="1" applyFill="1" applyBorder="1" applyAlignment="1">
      <alignment horizontal="right" vertical="center"/>
    </xf>
    <xf numFmtId="0" fontId="18" fillId="0" borderId="7" xfId="3" applyFont="1" applyBorder="1" applyAlignment="1">
      <alignment horizontal="center" vertical="center"/>
    </xf>
    <xf numFmtId="3" fontId="15" fillId="10" borderId="11" xfId="3" applyNumberFormat="1" applyFont="1" applyFill="1" applyBorder="1" applyAlignment="1">
      <alignment horizontal="right" vertical="center"/>
    </xf>
    <xf numFmtId="0" fontId="11" fillId="8" borderId="13" xfId="3" applyFont="1" applyFill="1" applyBorder="1" applyAlignment="1">
      <alignment horizontal="center" vertical="center" wrapText="1"/>
    </xf>
    <xf numFmtId="3" fontId="6" fillId="0" borderId="7" xfId="3" applyNumberFormat="1" applyBorder="1"/>
    <xf numFmtId="0" fontId="6" fillId="0" borderId="7" xfId="3" applyBorder="1"/>
    <xf numFmtId="0" fontId="9" fillId="0" borderId="0" xfId="3" applyFont="1" applyAlignment="1">
      <alignment vertical="center" wrapText="1"/>
    </xf>
    <xf numFmtId="2" fontId="35" fillId="12" borderId="19" xfId="3" applyNumberFormat="1" applyFont="1" applyFill="1" applyBorder="1" applyAlignment="1">
      <alignment horizontal="right" vertical="center"/>
    </xf>
    <xf numFmtId="0" fontId="41" fillId="9" borderId="8" xfId="3" applyFont="1" applyFill="1" applyBorder="1" applyAlignment="1">
      <alignment horizontal="left" vertical="center"/>
    </xf>
    <xf numFmtId="0" fontId="36" fillId="19" borderId="8" xfId="3" applyFont="1" applyFill="1" applyBorder="1" applyAlignment="1">
      <alignment horizontal="left" vertical="center"/>
    </xf>
    <xf numFmtId="0" fontId="31" fillId="18" borderId="8" xfId="3" applyFont="1" applyFill="1" applyBorder="1" applyAlignment="1">
      <alignment horizontal="center" vertical="center"/>
    </xf>
    <xf numFmtId="0" fontId="32" fillId="6" borderId="8" xfId="3" applyFont="1" applyFill="1" applyBorder="1" applyAlignment="1">
      <alignment horizontal="center" vertical="center"/>
    </xf>
    <xf numFmtId="0" fontId="33" fillId="7" borderId="8" xfId="3" applyFont="1" applyFill="1" applyBorder="1" applyAlignment="1">
      <alignment horizontal="center" vertical="center"/>
    </xf>
    <xf numFmtId="0" fontId="36" fillId="0" borderId="0" xfId="3" applyFont="1" applyAlignment="1">
      <alignment horizontal="left" wrapText="1"/>
    </xf>
    <xf numFmtId="0" fontId="33" fillId="8" borderId="8" xfId="3" applyFont="1" applyFill="1" applyBorder="1" applyAlignment="1">
      <alignment horizontal="center" vertical="center"/>
    </xf>
    <xf numFmtId="0" fontId="41" fillId="6" borderId="8" xfId="3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7" fillId="5" borderId="8" xfId="3" applyFont="1" applyFill="1" applyBorder="1" applyAlignment="1">
      <alignment horizontal="center" vertical="center"/>
    </xf>
    <xf numFmtId="0" fontId="8" fillId="6" borderId="8" xfId="3" applyFont="1" applyFill="1" applyBorder="1" applyAlignment="1">
      <alignment horizontal="center" vertical="center"/>
    </xf>
    <xf numFmtId="0" fontId="30" fillId="9" borderId="8" xfId="0" applyFont="1" applyFill="1" applyBorder="1" applyAlignment="1">
      <alignment horizontal="center" vertical="center"/>
    </xf>
    <xf numFmtId="0" fontId="11" fillId="8" borderId="17" xfId="3" applyFont="1" applyFill="1" applyBorder="1" applyAlignment="1">
      <alignment horizontal="center" vertical="center"/>
    </xf>
    <xf numFmtId="0" fontId="11" fillId="8" borderId="0" xfId="3" applyFont="1" applyFill="1" applyAlignment="1">
      <alignment horizontal="center" vertical="center"/>
    </xf>
    <xf numFmtId="0" fontId="11" fillId="8" borderId="18" xfId="3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26" fillId="16" borderId="8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9" fillId="7" borderId="0" xfId="3" applyFont="1" applyFill="1" applyAlignment="1">
      <alignment horizontal="center" vertical="center" wrapText="1"/>
    </xf>
    <xf numFmtId="0" fontId="9" fillId="7" borderId="21" xfId="3" applyFont="1" applyFill="1" applyBorder="1" applyAlignment="1">
      <alignment horizontal="center" vertical="center" wrapText="1"/>
    </xf>
    <xf numFmtId="0" fontId="42" fillId="20" borderId="8" xfId="3" applyFont="1" applyFill="1" applyBorder="1" applyAlignment="1">
      <alignment horizontal="center" vertical="center"/>
    </xf>
    <xf numFmtId="0" fontId="43" fillId="21" borderId="0" xfId="3" applyFont="1" applyFill="1" applyAlignment="1">
      <alignment horizontal="left" vertical="center" wrapText="1"/>
    </xf>
    <xf numFmtId="0" fontId="33" fillId="8" borderId="9" xfId="3" applyFont="1" applyFill="1" applyBorder="1" applyAlignment="1">
      <alignment horizontal="center" vertical="center"/>
    </xf>
    <xf numFmtId="0" fontId="33" fillId="8" borderId="10" xfId="3" applyFont="1" applyFill="1" applyBorder="1" applyAlignment="1">
      <alignment horizontal="center" vertical="center"/>
    </xf>
    <xf numFmtId="0" fontId="33" fillId="8" borderId="20" xfId="3" applyFont="1" applyFill="1" applyBorder="1" applyAlignment="1">
      <alignment horizontal="center" vertical="center"/>
    </xf>
    <xf numFmtId="0" fontId="33" fillId="8" borderId="21" xfId="3" applyFont="1" applyFill="1" applyBorder="1" applyAlignment="1">
      <alignment horizontal="center" vertical="center"/>
    </xf>
  </cellXfs>
  <cellStyles count="6">
    <cellStyle name="Millares" xfId="1" builtinId="3"/>
    <cellStyle name="Millares 2" xfId="4" xr:uid="{EB16A9E7-19E4-4C1E-98A8-00B567E8AD70}"/>
    <cellStyle name="Normal" xfId="0" builtinId="0"/>
    <cellStyle name="Normal 2" xfId="3" xr:uid="{E2752369-5BBA-4757-AAC6-837BB4C414DE}"/>
    <cellStyle name="Porcentaje" xfId="2" builtinId="5"/>
    <cellStyle name="Porcentaje 2" xfId="5" xr:uid="{70FC458D-141D-4DD9-9B27-9E1BC7A635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</xdr:colOff>
      <xdr:row>7</xdr:row>
      <xdr:rowOff>0</xdr:rowOff>
    </xdr:from>
    <xdr:to>
      <xdr:col>21</xdr:col>
      <xdr:colOff>114824</xdr:colOff>
      <xdr:row>12</xdr:row>
      <xdr:rowOff>7724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D08B2E-A418-49CE-A2C0-FB3005E6A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2265" y="1638300"/>
          <a:ext cx="5909834" cy="1207874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36</xdr:row>
      <xdr:rowOff>137644</xdr:rowOff>
    </xdr:from>
    <xdr:to>
      <xdr:col>20</xdr:col>
      <xdr:colOff>320570</xdr:colOff>
      <xdr:row>44</xdr:row>
      <xdr:rowOff>68707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9A5388-F9BD-4C3C-A7A3-186D024CD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7505" y="4890619"/>
          <a:ext cx="5519315" cy="1369338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17</xdr:row>
      <xdr:rowOff>68580</xdr:rowOff>
    </xdr:from>
    <xdr:to>
      <xdr:col>21</xdr:col>
      <xdr:colOff>328194</xdr:colOff>
      <xdr:row>26</xdr:row>
      <xdr:rowOff>80163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CB76E61-A89B-4CFB-9FAF-956B06C0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01325" y="3859530"/>
          <a:ext cx="6024144" cy="17832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</xdr:colOff>
      <xdr:row>7</xdr:row>
      <xdr:rowOff>0</xdr:rowOff>
    </xdr:from>
    <xdr:to>
      <xdr:col>21</xdr:col>
      <xdr:colOff>114824</xdr:colOff>
      <xdr:row>12</xdr:row>
      <xdr:rowOff>7724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87635E-6114-4937-B645-7498B9AF1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2265" y="1638300"/>
          <a:ext cx="5909834" cy="1207874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36</xdr:row>
      <xdr:rowOff>137644</xdr:rowOff>
    </xdr:from>
    <xdr:to>
      <xdr:col>20</xdr:col>
      <xdr:colOff>320570</xdr:colOff>
      <xdr:row>44</xdr:row>
      <xdr:rowOff>68707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1C8EBC-3264-49DE-9BD2-8A12D60D3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7505" y="7690969"/>
          <a:ext cx="5519315" cy="1369338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17</xdr:row>
      <xdr:rowOff>68580</xdr:rowOff>
    </xdr:from>
    <xdr:to>
      <xdr:col>21</xdr:col>
      <xdr:colOff>328194</xdr:colOff>
      <xdr:row>26</xdr:row>
      <xdr:rowOff>80163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3B1FE5-A177-4CA9-860A-C2A5B62EC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01325" y="3859530"/>
          <a:ext cx="6024144" cy="1783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23A5-D11A-4968-B386-9AD98FEBBAB4}">
  <dimension ref="C3:C10"/>
  <sheetViews>
    <sheetView showGridLines="0" workbookViewId="0">
      <selection activeCell="C11" sqref="C11"/>
    </sheetView>
  </sheetViews>
  <sheetFormatPr baseColWidth="10" defaultRowHeight="15" x14ac:dyDescent="0.25"/>
  <sheetData>
    <row r="3" spans="3:3" ht="18.75" x14ac:dyDescent="0.3">
      <c r="C3" s="8" t="s">
        <v>42</v>
      </c>
    </row>
    <row r="4" spans="3:3" x14ac:dyDescent="0.25">
      <c r="C4">
        <v>1</v>
      </c>
    </row>
    <row r="5" spans="3:3" x14ac:dyDescent="0.25">
      <c r="C5">
        <f>+C4+1</f>
        <v>2</v>
      </c>
    </row>
    <row r="6" spans="3:3" x14ac:dyDescent="0.25">
      <c r="C6">
        <f t="shared" ref="C6:C10" si="0">+C5+1</f>
        <v>3</v>
      </c>
    </row>
    <row r="7" spans="3:3" x14ac:dyDescent="0.25">
      <c r="C7">
        <f t="shared" si="0"/>
        <v>4</v>
      </c>
    </row>
    <row r="8" spans="3:3" x14ac:dyDescent="0.25">
      <c r="C8">
        <f t="shared" si="0"/>
        <v>5</v>
      </c>
    </row>
    <row r="9" spans="3:3" x14ac:dyDescent="0.25">
      <c r="C9">
        <f t="shared" si="0"/>
        <v>6</v>
      </c>
    </row>
    <row r="10" spans="3:3" x14ac:dyDescent="0.25">
      <c r="C10">
        <f t="shared" si="0"/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89B4-2C61-49EE-AE85-9BA3B66AAD9B}">
  <dimension ref="A2:AA134"/>
  <sheetViews>
    <sheetView showGridLines="0" tabSelected="1" zoomScale="85" zoomScaleNormal="85" workbookViewId="0">
      <selection activeCell="F102" sqref="F102"/>
    </sheetView>
  </sheetViews>
  <sheetFormatPr baseColWidth="10" defaultColWidth="8.85546875" defaultRowHeight="15" x14ac:dyDescent="0.25"/>
  <cols>
    <col min="3" max="3" width="7.140625" customWidth="1"/>
    <col min="4" max="4" width="20.140625" customWidth="1"/>
    <col min="5" max="5" width="16.42578125" bestFit="1" customWidth="1"/>
    <col min="6" max="6" width="18.85546875" bestFit="1" customWidth="1"/>
    <col min="7" max="7" width="15.42578125" bestFit="1" customWidth="1"/>
    <col min="8" max="8" width="13.140625" bestFit="1" customWidth="1"/>
    <col min="9" max="10" width="14.140625" bestFit="1" customWidth="1"/>
    <col min="11" max="11" width="14.85546875" bestFit="1" customWidth="1"/>
    <col min="12" max="27" width="13.140625" bestFit="1" customWidth="1"/>
  </cols>
  <sheetData>
    <row r="2" spans="3:27" x14ac:dyDescent="0.25">
      <c r="C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3:27" x14ac:dyDescent="0.25"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3:27" x14ac:dyDescent="0.25">
      <c r="D4" s="1" t="s">
        <v>195</v>
      </c>
      <c r="E4" s="120">
        <v>0.06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3:27" x14ac:dyDescent="0.25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3:27" x14ac:dyDescent="0.2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3:27" x14ac:dyDescent="0.25">
      <c r="C7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3:27" x14ac:dyDescent="0.25">
      <c r="D8" s="1" t="s">
        <v>4</v>
      </c>
    </row>
    <row r="9" spans="3:27" x14ac:dyDescent="0.25">
      <c r="D9" s="1" t="s">
        <v>5</v>
      </c>
    </row>
    <row r="10" spans="3:27" x14ac:dyDescent="0.25">
      <c r="D10" s="1" t="s">
        <v>6</v>
      </c>
    </row>
    <row r="11" spans="3:27" x14ac:dyDescent="0.25">
      <c r="D11" s="1" t="s">
        <v>7</v>
      </c>
    </row>
    <row r="13" spans="3:27" ht="26.25" x14ac:dyDescent="0.4">
      <c r="C13" s="152" t="s">
        <v>43</v>
      </c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</row>
    <row r="15" spans="3:27" x14ac:dyDescent="0.25">
      <c r="D15" s="10">
        <v>1</v>
      </c>
      <c r="E15" s="10">
        <f>+D15+1</f>
        <v>2</v>
      </c>
      <c r="F15" s="10">
        <f t="shared" ref="F15:AA15" si="0">+E15+1</f>
        <v>3</v>
      </c>
      <c r="G15" s="10">
        <f t="shared" si="0"/>
        <v>4</v>
      </c>
      <c r="H15" s="10">
        <f t="shared" si="0"/>
        <v>5</v>
      </c>
      <c r="I15" s="10">
        <f t="shared" si="0"/>
        <v>6</v>
      </c>
      <c r="J15" s="10">
        <f t="shared" si="0"/>
        <v>7</v>
      </c>
      <c r="K15" s="10">
        <f t="shared" si="0"/>
        <v>8</v>
      </c>
      <c r="L15" s="10">
        <f t="shared" si="0"/>
        <v>9</v>
      </c>
      <c r="M15" s="10">
        <f t="shared" si="0"/>
        <v>10</v>
      </c>
      <c r="N15" s="10">
        <f t="shared" si="0"/>
        <v>11</v>
      </c>
      <c r="O15" s="10">
        <f t="shared" si="0"/>
        <v>12</v>
      </c>
      <c r="P15" s="10">
        <f t="shared" si="0"/>
        <v>13</v>
      </c>
      <c r="Q15" s="10">
        <f t="shared" si="0"/>
        <v>14</v>
      </c>
      <c r="R15" s="10">
        <f t="shared" si="0"/>
        <v>15</v>
      </c>
      <c r="S15" s="10">
        <f t="shared" si="0"/>
        <v>16</v>
      </c>
      <c r="T15" s="10">
        <f t="shared" si="0"/>
        <v>17</v>
      </c>
      <c r="U15" s="10">
        <f t="shared" si="0"/>
        <v>18</v>
      </c>
      <c r="V15" s="10">
        <f t="shared" si="0"/>
        <v>19</v>
      </c>
      <c r="W15" s="10">
        <f t="shared" si="0"/>
        <v>20</v>
      </c>
      <c r="X15" s="10">
        <f t="shared" si="0"/>
        <v>21</v>
      </c>
      <c r="Y15" s="10">
        <f t="shared" si="0"/>
        <v>22</v>
      </c>
      <c r="Z15" s="10">
        <f t="shared" si="0"/>
        <v>23</v>
      </c>
      <c r="AA15" s="10">
        <f t="shared" si="0"/>
        <v>24</v>
      </c>
    </row>
    <row r="16" spans="3:27" x14ac:dyDescent="0.25">
      <c r="C16" s="7" t="s">
        <v>8</v>
      </c>
      <c r="D16" s="3">
        <v>6418198</v>
      </c>
      <c r="E16" s="3">
        <v>8351947</v>
      </c>
      <c r="F16" s="3">
        <v>9393090</v>
      </c>
      <c r="G16" s="3">
        <v>11183194</v>
      </c>
      <c r="H16" s="3">
        <v>12100800</v>
      </c>
      <c r="I16" s="3">
        <v>12721118</v>
      </c>
      <c r="J16" s="3">
        <v>13073728</v>
      </c>
      <c r="K16" s="3">
        <v>13548698</v>
      </c>
      <c r="L16" s="3">
        <v>13729852</v>
      </c>
      <c r="M16" s="3">
        <v>14178002</v>
      </c>
      <c r="N16" s="3">
        <v>14403018</v>
      </c>
      <c r="O16" s="3">
        <v>14589694</v>
      </c>
      <c r="P16" s="3">
        <v>14666170</v>
      </c>
      <c r="Q16" s="3">
        <v>14699145</v>
      </c>
      <c r="R16" s="3">
        <v>14709918</v>
      </c>
      <c r="S16" s="3">
        <v>14721902</v>
      </c>
      <c r="T16" s="3">
        <v>14723975</v>
      </c>
      <c r="U16" s="3">
        <v>14724778</v>
      </c>
      <c r="V16" s="3">
        <v>14725216</v>
      </c>
      <c r="W16" s="3">
        <v>14725343</v>
      </c>
      <c r="X16" s="3">
        <v>14725356</v>
      </c>
      <c r="Y16" s="3">
        <v>14725361</v>
      </c>
      <c r="Z16" s="3">
        <v>14725369</v>
      </c>
      <c r="AA16" s="3">
        <v>14725385</v>
      </c>
    </row>
    <row r="17" spans="3:27" x14ac:dyDescent="0.25">
      <c r="C17" s="7" t="s">
        <v>9</v>
      </c>
      <c r="D17" s="3">
        <v>7475822</v>
      </c>
      <c r="E17" s="3">
        <v>10450029</v>
      </c>
      <c r="F17" s="3">
        <v>12515657</v>
      </c>
      <c r="G17" s="3">
        <v>13149304</v>
      </c>
      <c r="H17" s="3">
        <v>14417681</v>
      </c>
      <c r="I17" s="3">
        <v>15145227</v>
      </c>
      <c r="J17" s="3">
        <v>15971980</v>
      </c>
      <c r="K17" s="3">
        <v>16442175</v>
      </c>
      <c r="L17" s="3">
        <v>16761977</v>
      </c>
      <c r="M17" s="3">
        <v>17230340</v>
      </c>
      <c r="N17" s="3">
        <v>17479823</v>
      </c>
      <c r="O17" s="3">
        <v>17658472</v>
      </c>
      <c r="P17" s="3">
        <v>17691106</v>
      </c>
      <c r="Q17" s="3">
        <v>17707511</v>
      </c>
      <c r="R17" s="3">
        <v>17727251</v>
      </c>
      <c r="S17" s="3">
        <v>17731572</v>
      </c>
      <c r="T17" s="3">
        <v>17733454</v>
      </c>
      <c r="U17" s="3">
        <v>17734435</v>
      </c>
      <c r="V17" s="3">
        <v>17734974</v>
      </c>
      <c r="W17" s="3">
        <v>17735197</v>
      </c>
      <c r="X17" s="3">
        <v>17735258</v>
      </c>
      <c r="Y17" s="3">
        <v>17735268</v>
      </c>
      <c r="Z17" s="3">
        <v>17735279</v>
      </c>
      <c r="AA17" s="3" t="s">
        <v>10</v>
      </c>
    </row>
    <row r="18" spans="3:27" x14ac:dyDescent="0.25">
      <c r="C18" s="7" t="s">
        <v>11</v>
      </c>
      <c r="D18" s="3">
        <v>4944676</v>
      </c>
      <c r="E18" s="3">
        <v>5651989</v>
      </c>
      <c r="F18" s="3">
        <v>6603749</v>
      </c>
      <c r="G18" s="3">
        <v>7627857</v>
      </c>
      <c r="H18" s="3">
        <v>8503366</v>
      </c>
      <c r="I18" s="3">
        <v>9687265</v>
      </c>
      <c r="J18" s="3">
        <v>10329156</v>
      </c>
      <c r="K18" s="3">
        <v>10705380</v>
      </c>
      <c r="L18" s="3">
        <v>11007279</v>
      </c>
      <c r="M18" s="3">
        <v>11432174</v>
      </c>
      <c r="N18" s="3">
        <v>11644639</v>
      </c>
      <c r="O18" s="3">
        <v>11802250</v>
      </c>
      <c r="P18" s="3">
        <v>11840837</v>
      </c>
      <c r="Q18" s="3">
        <v>11864201</v>
      </c>
      <c r="R18" s="3">
        <v>11873586</v>
      </c>
      <c r="S18" s="3">
        <v>11878223</v>
      </c>
      <c r="T18" s="3">
        <v>11880065</v>
      </c>
      <c r="U18" s="3">
        <v>11880905</v>
      </c>
      <c r="V18" s="3">
        <v>11881492</v>
      </c>
      <c r="W18" s="3">
        <v>11881607</v>
      </c>
      <c r="X18" s="3">
        <v>11881725</v>
      </c>
      <c r="Y18" s="3">
        <v>11881761</v>
      </c>
      <c r="Z18" s="3" t="s">
        <v>10</v>
      </c>
      <c r="AA18" s="3" t="s">
        <v>10</v>
      </c>
    </row>
    <row r="19" spans="3:27" x14ac:dyDescent="0.25">
      <c r="C19" s="7" t="s">
        <v>12</v>
      </c>
      <c r="D19" s="3">
        <v>5990844</v>
      </c>
      <c r="E19" s="3">
        <v>12990844</v>
      </c>
      <c r="F19" s="3">
        <v>14795084</v>
      </c>
      <c r="G19" s="3">
        <v>15558421</v>
      </c>
      <c r="H19" s="3">
        <v>16698078</v>
      </c>
      <c r="I19" s="3">
        <v>17591115</v>
      </c>
      <c r="J19" s="3">
        <v>17858613</v>
      </c>
      <c r="K19" s="3">
        <v>18161498</v>
      </c>
      <c r="L19" s="3">
        <v>18751439</v>
      </c>
      <c r="M19" s="3">
        <v>18855100</v>
      </c>
      <c r="N19" s="3">
        <v>19152179</v>
      </c>
      <c r="O19" s="3">
        <v>19349458</v>
      </c>
      <c r="P19" s="3">
        <v>19426010</v>
      </c>
      <c r="Q19" s="3">
        <v>19444545</v>
      </c>
      <c r="R19" s="3">
        <v>19453256</v>
      </c>
      <c r="S19" s="3">
        <v>19457999</v>
      </c>
      <c r="T19" s="3">
        <v>19459976</v>
      </c>
      <c r="U19" s="3">
        <v>19461146</v>
      </c>
      <c r="V19" s="3">
        <v>19461559</v>
      </c>
      <c r="W19" s="3">
        <v>19461649</v>
      </c>
      <c r="X19" s="3">
        <v>19461650</v>
      </c>
      <c r="Y19" s="3" t="s">
        <v>10</v>
      </c>
      <c r="Z19" s="3" t="s">
        <v>10</v>
      </c>
      <c r="AA19" s="3" t="s">
        <v>10</v>
      </c>
    </row>
    <row r="20" spans="3:27" x14ac:dyDescent="0.25">
      <c r="C20" s="7" t="s">
        <v>13</v>
      </c>
      <c r="D20" s="3">
        <v>6106533</v>
      </c>
      <c r="E20" s="3">
        <v>7227067</v>
      </c>
      <c r="F20" s="3">
        <v>8316481</v>
      </c>
      <c r="G20" s="3">
        <v>8778769</v>
      </c>
      <c r="H20" s="3">
        <v>9616196</v>
      </c>
      <c r="I20" s="3">
        <v>9944940</v>
      </c>
      <c r="J20" s="3">
        <v>10596973</v>
      </c>
      <c r="K20" s="3">
        <v>10938865</v>
      </c>
      <c r="L20" s="3">
        <v>11091033</v>
      </c>
      <c r="M20" s="3">
        <v>11574757</v>
      </c>
      <c r="N20" s="3">
        <v>11660948</v>
      </c>
      <c r="O20" s="3">
        <v>11754449</v>
      </c>
      <c r="P20" s="3">
        <v>11785976</v>
      </c>
      <c r="Q20" s="3">
        <v>11801623</v>
      </c>
      <c r="R20" s="3">
        <v>11808422</v>
      </c>
      <c r="S20" s="3">
        <v>11812430</v>
      </c>
      <c r="T20" s="3">
        <v>11814677</v>
      </c>
      <c r="U20" s="3">
        <v>11815553</v>
      </c>
      <c r="V20" s="3">
        <v>11815994</v>
      </c>
      <c r="W20" s="3">
        <v>11816173</v>
      </c>
      <c r="X20" s="3" t="s">
        <v>10</v>
      </c>
      <c r="Y20" s="3" t="s">
        <v>10</v>
      </c>
      <c r="Z20" s="3" t="s">
        <v>10</v>
      </c>
      <c r="AA20" s="3" t="s">
        <v>10</v>
      </c>
    </row>
    <row r="21" spans="3:27" x14ac:dyDescent="0.25">
      <c r="C21" s="7" t="s">
        <v>14</v>
      </c>
      <c r="D21" s="3">
        <v>3511339</v>
      </c>
      <c r="E21" s="3">
        <v>5097855</v>
      </c>
      <c r="F21" s="3">
        <v>6037374</v>
      </c>
      <c r="G21" s="3">
        <v>6436248</v>
      </c>
      <c r="H21" s="3">
        <v>7366573</v>
      </c>
      <c r="I21" s="3">
        <v>8575992</v>
      </c>
      <c r="J21" s="3">
        <v>9082448</v>
      </c>
      <c r="K21" s="3">
        <v>12082448</v>
      </c>
      <c r="L21" s="3">
        <v>12687409</v>
      </c>
      <c r="M21" s="3">
        <v>12838372</v>
      </c>
      <c r="N21" s="3">
        <v>12930641</v>
      </c>
      <c r="O21" s="3">
        <v>12990612</v>
      </c>
      <c r="P21" s="3">
        <v>13017211</v>
      </c>
      <c r="Q21" s="3">
        <v>13032985</v>
      </c>
      <c r="R21" s="3">
        <v>13041104</v>
      </c>
      <c r="S21" s="3">
        <v>13045224</v>
      </c>
      <c r="T21" s="3">
        <v>13046906</v>
      </c>
      <c r="U21" s="3">
        <v>13047997</v>
      </c>
      <c r="V21" s="3">
        <v>13048471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</row>
    <row r="22" spans="3:27" x14ac:dyDescent="0.25">
      <c r="C22" s="7" t="s">
        <v>15</v>
      </c>
      <c r="D22" s="3">
        <v>4141271</v>
      </c>
      <c r="E22" s="3">
        <v>5675304</v>
      </c>
      <c r="F22" s="3">
        <v>6514051</v>
      </c>
      <c r="G22" s="3">
        <v>7799341</v>
      </c>
      <c r="H22" s="3">
        <v>8118940</v>
      </c>
      <c r="I22" s="3">
        <v>8328067</v>
      </c>
      <c r="J22" s="3">
        <v>9073367</v>
      </c>
      <c r="K22" s="3">
        <v>9580777</v>
      </c>
      <c r="L22" s="3">
        <v>10084545</v>
      </c>
      <c r="M22" s="3">
        <v>10574369</v>
      </c>
      <c r="N22" s="3">
        <v>10704764</v>
      </c>
      <c r="O22" s="3">
        <v>10779530</v>
      </c>
      <c r="P22" s="3">
        <v>10810916</v>
      </c>
      <c r="Q22" s="3">
        <v>10825407</v>
      </c>
      <c r="R22" s="3">
        <v>10831969</v>
      </c>
      <c r="S22" s="3">
        <v>10836654</v>
      </c>
      <c r="T22" s="3">
        <v>10839043</v>
      </c>
      <c r="U22" s="3">
        <v>10840140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</row>
    <row r="23" spans="3:27" x14ac:dyDescent="0.25">
      <c r="C23" s="7" t="s">
        <v>16</v>
      </c>
      <c r="D23" s="3">
        <v>6591656</v>
      </c>
      <c r="E23" s="3">
        <v>9149839</v>
      </c>
      <c r="F23" s="3">
        <v>9876574</v>
      </c>
      <c r="G23" s="3">
        <v>11324778</v>
      </c>
      <c r="H23" s="3">
        <v>11791969</v>
      </c>
      <c r="I23" s="3">
        <v>12446387</v>
      </c>
      <c r="J23" s="3">
        <v>12820241</v>
      </c>
      <c r="K23" s="3">
        <v>13419392</v>
      </c>
      <c r="L23" s="3">
        <v>13586619</v>
      </c>
      <c r="M23" s="3">
        <v>13861205</v>
      </c>
      <c r="N23" s="3">
        <v>13987078</v>
      </c>
      <c r="O23" s="3">
        <v>14043493</v>
      </c>
      <c r="P23" s="3">
        <v>14079323</v>
      </c>
      <c r="Q23" s="3">
        <v>14095393</v>
      </c>
      <c r="R23" s="3">
        <v>14104571</v>
      </c>
      <c r="S23" s="3">
        <v>14109322</v>
      </c>
      <c r="T23" s="3">
        <v>14111136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</row>
    <row r="24" spans="3:27" x14ac:dyDescent="0.25">
      <c r="C24" s="7" t="s">
        <v>17</v>
      </c>
      <c r="D24" s="3">
        <v>6289704</v>
      </c>
      <c r="E24" s="3">
        <v>9074583</v>
      </c>
      <c r="F24" s="3">
        <v>11031640</v>
      </c>
      <c r="G24" s="3">
        <v>12328713</v>
      </c>
      <c r="H24" s="3">
        <v>12743016</v>
      </c>
      <c r="I24" s="3">
        <v>13716063</v>
      </c>
      <c r="J24" s="3">
        <v>13936735</v>
      </c>
      <c r="K24" s="3">
        <v>14684360</v>
      </c>
      <c r="L24" s="3">
        <v>15224487</v>
      </c>
      <c r="M24" s="3">
        <v>15505624</v>
      </c>
      <c r="N24" s="3">
        <v>15616491</v>
      </c>
      <c r="O24" s="3">
        <v>15669883</v>
      </c>
      <c r="P24" s="3">
        <v>15701026</v>
      </c>
      <c r="Q24" s="3">
        <v>15717007</v>
      </c>
      <c r="R24" s="3">
        <v>15725357</v>
      </c>
      <c r="S24" s="3">
        <v>15729334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</row>
    <row r="25" spans="3:27" x14ac:dyDescent="0.25">
      <c r="C25" s="7" t="s">
        <v>18</v>
      </c>
      <c r="D25" s="3">
        <v>4959185</v>
      </c>
      <c r="E25" s="3">
        <v>7332815</v>
      </c>
      <c r="F25" s="3">
        <v>8942057</v>
      </c>
      <c r="G25" s="3">
        <v>10413724</v>
      </c>
      <c r="H25" s="3">
        <v>11109326</v>
      </c>
      <c r="I25" s="3">
        <v>11743877</v>
      </c>
      <c r="J25" s="3">
        <v>12264947</v>
      </c>
      <c r="K25" s="3">
        <v>13331758</v>
      </c>
      <c r="L25" s="3">
        <v>13881470</v>
      </c>
      <c r="M25" s="3">
        <v>14105853</v>
      </c>
      <c r="N25" s="3">
        <v>14231236</v>
      </c>
      <c r="O25" s="3">
        <v>14285043</v>
      </c>
      <c r="P25" s="3">
        <v>14317196</v>
      </c>
      <c r="Q25" s="3">
        <v>14335249</v>
      </c>
      <c r="R25" s="3">
        <v>14343596</v>
      </c>
      <c r="S25" s="3" t="s">
        <v>10</v>
      </c>
      <c r="T25" s="3" t="s">
        <v>10</v>
      </c>
      <c r="U25" s="3" t="s">
        <v>10</v>
      </c>
      <c r="V25" s="3" t="s">
        <v>10</v>
      </c>
      <c r="W25" s="3" t="s">
        <v>10</v>
      </c>
      <c r="X25" s="3" t="s">
        <v>10</v>
      </c>
      <c r="Y25" s="3" t="s">
        <v>10</v>
      </c>
      <c r="Z25" s="3" t="s">
        <v>10</v>
      </c>
      <c r="AA25" s="3" t="s">
        <v>10</v>
      </c>
    </row>
    <row r="26" spans="3:27" x14ac:dyDescent="0.25">
      <c r="C26" s="7" t="s">
        <v>19</v>
      </c>
      <c r="D26" s="3">
        <v>6194048</v>
      </c>
      <c r="E26" s="3">
        <v>7741218</v>
      </c>
      <c r="F26" s="3">
        <v>9386858</v>
      </c>
      <c r="G26" s="3">
        <v>9734366</v>
      </c>
      <c r="H26" s="3">
        <v>10964336</v>
      </c>
      <c r="I26" s="3">
        <v>11346897</v>
      </c>
      <c r="J26" s="3">
        <v>13064544</v>
      </c>
      <c r="K26" s="3">
        <v>14121948</v>
      </c>
      <c r="L26" s="3">
        <v>14605429</v>
      </c>
      <c r="M26" s="3">
        <v>14862271</v>
      </c>
      <c r="N26" s="3">
        <v>15012968</v>
      </c>
      <c r="O26" s="3">
        <v>15074585</v>
      </c>
      <c r="P26" s="3">
        <v>15104696</v>
      </c>
      <c r="Q26" s="3">
        <v>15119935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</row>
    <row r="27" spans="3:27" x14ac:dyDescent="0.25">
      <c r="C27" s="7" t="s">
        <v>20</v>
      </c>
      <c r="D27" s="3">
        <v>6500694</v>
      </c>
      <c r="E27" s="3">
        <v>9436157</v>
      </c>
      <c r="F27" s="3">
        <v>11552953</v>
      </c>
      <c r="G27" s="3">
        <v>12130358</v>
      </c>
      <c r="H27" s="3">
        <v>13369514</v>
      </c>
      <c r="I27" s="3">
        <v>15030308</v>
      </c>
      <c r="J27" s="3">
        <v>16697100</v>
      </c>
      <c r="K27" s="3">
        <v>17828453</v>
      </c>
      <c r="L27" s="3">
        <v>18294564</v>
      </c>
      <c r="M27" s="3">
        <v>18522862</v>
      </c>
      <c r="N27" s="3">
        <v>18641988</v>
      </c>
      <c r="O27" s="3">
        <v>18693587</v>
      </c>
      <c r="P27" s="3">
        <v>18730024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</row>
    <row r="28" spans="3:27" x14ac:dyDescent="0.25">
      <c r="C28" s="7" t="s">
        <v>21</v>
      </c>
      <c r="D28" s="3">
        <v>5205434</v>
      </c>
      <c r="E28" s="3">
        <v>7752400</v>
      </c>
      <c r="F28" s="3">
        <v>9411446</v>
      </c>
      <c r="G28" s="3">
        <v>10805763</v>
      </c>
      <c r="H28" s="3">
        <v>13284336</v>
      </c>
      <c r="I28" s="3">
        <v>15384835</v>
      </c>
      <c r="J28" s="3">
        <v>17438864</v>
      </c>
      <c r="K28" s="3">
        <v>18514044</v>
      </c>
      <c r="L28" s="3">
        <v>19125680</v>
      </c>
      <c r="M28" s="3">
        <v>19431036</v>
      </c>
      <c r="N28" s="3">
        <v>19572822</v>
      </c>
      <c r="O28" s="3">
        <v>19627354</v>
      </c>
      <c r="P28" s="3" t="s">
        <v>10</v>
      </c>
      <c r="Q28" s="3" t="s">
        <v>10</v>
      </c>
      <c r="R28" s="3" t="s">
        <v>10</v>
      </c>
      <c r="S28" s="3" t="s">
        <v>10</v>
      </c>
      <c r="T28" s="3" t="s">
        <v>10</v>
      </c>
      <c r="U28" s="3" t="s">
        <v>10</v>
      </c>
      <c r="V28" s="3" t="s">
        <v>10</v>
      </c>
      <c r="W28" s="3" t="s">
        <v>10</v>
      </c>
      <c r="X28" s="3" t="s">
        <v>10</v>
      </c>
      <c r="Y28" s="3" t="s">
        <v>10</v>
      </c>
      <c r="Z28" s="3" t="s">
        <v>10</v>
      </c>
      <c r="AA28" s="3" t="s">
        <v>10</v>
      </c>
    </row>
    <row r="29" spans="3:27" x14ac:dyDescent="0.25">
      <c r="C29" s="7" t="s">
        <v>22</v>
      </c>
      <c r="D29" s="3">
        <v>5184519</v>
      </c>
      <c r="E29" s="3">
        <v>7275135</v>
      </c>
      <c r="F29" s="3">
        <v>7974797</v>
      </c>
      <c r="G29" s="3">
        <v>11597296</v>
      </c>
      <c r="H29" s="3">
        <v>14585912</v>
      </c>
      <c r="I29" s="3">
        <v>16285147</v>
      </c>
      <c r="J29" s="3">
        <v>18338971</v>
      </c>
      <c r="K29" s="3">
        <v>19214501</v>
      </c>
      <c r="L29" s="3">
        <v>19700684</v>
      </c>
      <c r="M29" s="3">
        <v>19926910</v>
      </c>
      <c r="N29" s="3">
        <v>20049671</v>
      </c>
      <c r="O29" s="3" t="s">
        <v>10</v>
      </c>
      <c r="P29" s="3" t="s">
        <v>10</v>
      </c>
      <c r="Q29" s="3" t="s">
        <v>10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</row>
    <row r="30" spans="3:27" x14ac:dyDescent="0.25">
      <c r="C30" s="7" t="s">
        <v>23</v>
      </c>
      <c r="D30" s="3">
        <v>3419011</v>
      </c>
      <c r="E30" s="3">
        <v>4773306</v>
      </c>
      <c r="F30" s="3">
        <v>8697825</v>
      </c>
      <c r="G30" s="3">
        <v>12220494</v>
      </c>
      <c r="H30" s="3">
        <v>14462971</v>
      </c>
      <c r="I30" s="3">
        <v>16656668</v>
      </c>
      <c r="J30" s="3">
        <v>19017438</v>
      </c>
      <c r="K30" s="3">
        <v>19939378</v>
      </c>
      <c r="L30" s="3">
        <v>20384099</v>
      </c>
      <c r="M30" s="3">
        <v>20688336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</row>
    <row r="31" spans="3:27" x14ac:dyDescent="0.25">
      <c r="C31" s="7" t="s">
        <v>24</v>
      </c>
      <c r="D31" s="3">
        <v>5498188</v>
      </c>
      <c r="E31" s="3">
        <v>10669557</v>
      </c>
      <c r="F31" s="3">
        <v>14420577</v>
      </c>
      <c r="G31" s="3">
        <v>17838126</v>
      </c>
      <c r="H31" s="3">
        <v>20243242</v>
      </c>
      <c r="I31" s="3">
        <v>22179116</v>
      </c>
      <c r="J31" s="3">
        <v>24155749</v>
      </c>
      <c r="K31" s="3">
        <v>25145296</v>
      </c>
      <c r="L31" s="3">
        <v>25647723</v>
      </c>
      <c r="M31" s="3" t="s">
        <v>10</v>
      </c>
      <c r="N31" s="3" t="s">
        <v>10</v>
      </c>
      <c r="O31" s="3" t="s">
        <v>10</v>
      </c>
      <c r="P31" s="3" t="s">
        <v>10</v>
      </c>
      <c r="Q31" s="3" t="s">
        <v>10</v>
      </c>
      <c r="R31" s="3" t="s">
        <v>10</v>
      </c>
      <c r="S31" s="3" t="s">
        <v>10</v>
      </c>
      <c r="T31" s="3" t="s">
        <v>10</v>
      </c>
      <c r="U31" s="3" t="s">
        <v>10</v>
      </c>
      <c r="V31" s="3" t="s">
        <v>10</v>
      </c>
      <c r="W31" s="3" t="s">
        <v>10</v>
      </c>
      <c r="X31" s="3" t="s">
        <v>10</v>
      </c>
      <c r="Y31" s="3" t="s">
        <v>10</v>
      </c>
      <c r="Z31" s="3" t="s">
        <v>10</v>
      </c>
      <c r="AA31" s="3" t="s">
        <v>10</v>
      </c>
    </row>
    <row r="32" spans="3:27" x14ac:dyDescent="0.25">
      <c r="C32" s="7" t="s">
        <v>25</v>
      </c>
      <c r="D32" s="3">
        <v>6382667</v>
      </c>
      <c r="E32" s="3">
        <v>10460689</v>
      </c>
      <c r="F32" s="3">
        <v>15242265</v>
      </c>
      <c r="G32" s="3">
        <v>19075882</v>
      </c>
      <c r="H32" s="3">
        <v>21908553</v>
      </c>
      <c r="I32" s="3">
        <v>23938666</v>
      </c>
      <c r="J32" s="3">
        <v>25653115</v>
      </c>
      <c r="K32" s="3">
        <v>26811464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</row>
    <row r="33" spans="1:27" x14ac:dyDescent="0.25">
      <c r="C33" s="7" t="s">
        <v>26</v>
      </c>
      <c r="D33" s="3">
        <v>3022770</v>
      </c>
      <c r="E33" s="3">
        <v>7899209</v>
      </c>
      <c r="F33" s="3">
        <v>11259161</v>
      </c>
      <c r="G33" s="3">
        <v>14497513</v>
      </c>
      <c r="H33" s="3">
        <v>17221120</v>
      </c>
      <c r="I33" s="3">
        <v>19234288</v>
      </c>
      <c r="J33" s="3">
        <v>21399003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</row>
    <row r="34" spans="1:27" x14ac:dyDescent="0.25">
      <c r="C34" s="7" t="s">
        <v>27</v>
      </c>
      <c r="D34" s="3">
        <v>6936281</v>
      </c>
      <c r="E34" s="3">
        <v>21936281</v>
      </c>
      <c r="F34" s="3">
        <v>25150070</v>
      </c>
      <c r="G34" s="3">
        <v>28898330</v>
      </c>
      <c r="H34" s="3">
        <v>31903741</v>
      </c>
      <c r="I34" s="3">
        <v>33589263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</row>
    <row r="35" spans="1:27" x14ac:dyDescent="0.25">
      <c r="C35" s="7" t="s">
        <v>28</v>
      </c>
      <c r="D35" s="3">
        <v>6691248</v>
      </c>
      <c r="E35" s="3">
        <v>11756013</v>
      </c>
      <c r="F35" s="3">
        <v>15391294</v>
      </c>
      <c r="G35" s="3">
        <v>18736499</v>
      </c>
      <c r="H35" s="3">
        <v>21705785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 t="s">
        <v>10</v>
      </c>
      <c r="S35" s="3" t="s">
        <v>10</v>
      </c>
      <c r="T35" s="3" t="s">
        <v>10</v>
      </c>
      <c r="U35" s="3" t="s">
        <v>10</v>
      </c>
      <c r="V35" s="3" t="s">
        <v>10</v>
      </c>
      <c r="W35" s="3" t="s">
        <v>10</v>
      </c>
      <c r="X35" s="3" t="s">
        <v>10</v>
      </c>
      <c r="Y35" s="3" t="s">
        <v>10</v>
      </c>
      <c r="Z35" s="3" t="s">
        <v>10</v>
      </c>
      <c r="AA35" s="3" t="s">
        <v>10</v>
      </c>
    </row>
    <row r="36" spans="1:27" x14ac:dyDescent="0.25">
      <c r="C36" s="7" t="s">
        <v>29</v>
      </c>
      <c r="D36" s="3">
        <v>4191817</v>
      </c>
      <c r="E36" s="3">
        <v>9775450</v>
      </c>
      <c r="F36" s="3">
        <v>14374440</v>
      </c>
      <c r="G36" s="3">
        <v>17306094</v>
      </c>
      <c r="H36" s="3" t="s">
        <v>10</v>
      </c>
      <c r="I36" s="3" t="s">
        <v>10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  <c r="O36" s="3" t="s">
        <v>10</v>
      </c>
      <c r="P36" s="3" t="s">
        <v>10</v>
      </c>
      <c r="Q36" s="3" t="s">
        <v>10</v>
      </c>
      <c r="R36" s="3" t="s">
        <v>10</v>
      </c>
      <c r="S36" s="3" t="s">
        <v>10</v>
      </c>
      <c r="T36" s="3" t="s">
        <v>10</v>
      </c>
      <c r="U36" s="3" t="s">
        <v>10</v>
      </c>
      <c r="V36" s="3" t="s">
        <v>10</v>
      </c>
      <c r="W36" s="3" t="s">
        <v>10</v>
      </c>
      <c r="X36" s="3" t="s">
        <v>10</v>
      </c>
      <c r="Y36" s="3" t="s">
        <v>10</v>
      </c>
      <c r="Z36" s="3" t="s">
        <v>10</v>
      </c>
      <c r="AA36" s="3" t="s">
        <v>10</v>
      </c>
    </row>
    <row r="37" spans="1:27" x14ac:dyDescent="0.25">
      <c r="C37" s="7" t="s">
        <v>30</v>
      </c>
      <c r="D37" s="3">
        <v>5916671</v>
      </c>
      <c r="E37" s="3">
        <v>11716355</v>
      </c>
      <c r="F37" s="3">
        <v>15374462</v>
      </c>
      <c r="G37" s="3" t="s">
        <v>10</v>
      </c>
      <c r="H37" s="3" t="s">
        <v>10</v>
      </c>
      <c r="I37" s="3" t="s">
        <v>10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  <c r="O37" s="3" t="s">
        <v>10</v>
      </c>
      <c r="P37" s="3" t="s">
        <v>10</v>
      </c>
      <c r="Q37" s="3" t="s">
        <v>10</v>
      </c>
      <c r="R37" s="3" t="s">
        <v>10</v>
      </c>
      <c r="S37" s="3" t="s">
        <v>10</v>
      </c>
      <c r="T37" s="3" t="s">
        <v>10</v>
      </c>
      <c r="U37" s="3" t="s">
        <v>10</v>
      </c>
      <c r="V37" s="3" t="s">
        <v>10</v>
      </c>
      <c r="W37" s="3" t="s">
        <v>10</v>
      </c>
      <c r="X37" s="3" t="s">
        <v>10</v>
      </c>
      <c r="Y37" s="3" t="s">
        <v>10</v>
      </c>
      <c r="Z37" s="3" t="s">
        <v>10</v>
      </c>
      <c r="AA37" s="3" t="s">
        <v>10</v>
      </c>
    </row>
    <row r="38" spans="1:27" x14ac:dyDescent="0.25">
      <c r="C38" s="7" t="s">
        <v>31</v>
      </c>
      <c r="D38" s="3">
        <v>4926500</v>
      </c>
      <c r="E38" s="3">
        <v>9321834</v>
      </c>
      <c r="F38" s="3" t="s">
        <v>10</v>
      </c>
      <c r="G38" s="3" t="s">
        <v>10</v>
      </c>
      <c r="H38" s="3" t="s">
        <v>10</v>
      </c>
      <c r="I38" s="3" t="s">
        <v>10</v>
      </c>
      <c r="J38" s="3" t="s">
        <v>10</v>
      </c>
      <c r="K38" s="3" t="s">
        <v>10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</row>
    <row r="39" spans="1:27" x14ac:dyDescent="0.25">
      <c r="C39" s="7" t="s">
        <v>32</v>
      </c>
      <c r="D39" s="3">
        <v>5149958</v>
      </c>
      <c r="E39" s="3"/>
      <c r="F39" s="3" t="s">
        <v>10</v>
      </c>
      <c r="G39" s="3" t="s">
        <v>10</v>
      </c>
      <c r="H39" s="3" t="s">
        <v>10</v>
      </c>
      <c r="I39" s="3" t="s">
        <v>10</v>
      </c>
      <c r="J39" s="3" t="s">
        <v>10</v>
      </c>
      <c r="K39" s="3" t="s">
        <v>10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</row>
    <row r="40" spans="1:27" x14ac:dyDescent="0.25"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26.25" x14ac:dyDescent="0.4">
      <c r="A41" s="12"/>
      <c r="B41" s="12"/>
      <c r="C41" s="152" t="s">
        <v>45</v>
      </c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</row>
    <row r="43" spans="1:27" ht="15.75" thickBot="1" x14ac:dyDescent="0.3">
      <c r="D43" s="10">
        <v>1</v>
      </c>
      <c r="E43" s="10">
        <f>+D43+1</f>
        <v>2</v>
      </c>
      <c r="F43" s="10">
        <f t="shared" ref="F43" si="1">+E43+1</f>
        <v>3</v>
      </c>
      <c r="G43" s="10">
        <f t="shared" ref="G43" si="2">+F43+1</f>
        <v>4</v>
      </c>
      <c r="H43" s="10">
        <f t="shared" ref="H43" si="3">+G43+1</f>
        <v>5</v>
      </c>
      <c r="I43" s="10">
        <f t="shared" ref="I43" si="4">+H43+1</f>
        <v>6</v>
      </c>
      <c r="J43" s="10">
        <f t="shared" ref="J43" si="5">+I43+1</f>
        <v>7</v>
      </c>
      <c r="K43" s="10">
        <f t="shared" ref="K43" si="6">+J43+1</f>
        <v>8</v>
      </c>
      <c r="L43" s="10">
        <f t="shared" ref="L43" si="7">+K43+1</f>
        <v>9</v>
      </c>
      <c r="M43" s="10">
        <f t="shared" ref="M43" si="8">+L43+1</f>
        <v>10</v>
      </c>
      <c r="N43" s="10">
        <f t="shared" ref="N43" si="9">+M43+1</f>
        <v>11</v>
      </c>
      <c r="O43" s="10">
        <f t="shared" ref="O43" si="10">+N43+1</f>
        <v>12</v>
      </c>
      <c r="P43" s="10">
        <f t="shared" ref="P43" si="11">+O43+1</f>
        <v>13</v>
      </c>
      <c r="Q43" s="10">
        <f t="shared" ref="Q43" si="12">+P43+1</f>
        <v>14</v>
      </c>
      <c r="R43" s="10">
        <f t="shared" ref="R43" si="13">+Q43+1</f>
        <v>15</v>
      </c>
      <c r="S43" s="10">
        <f t="shared" ref="S43" si="14">+R43+1</f>
        <v>16</v>
      </c>
      <c r="T43" s="10">
        <f t="shared" ref="T43" si="15">+S43+1</f>
        <v>17</v>
      </c>
      <c r="U43" s="10">
        <f t="shared" ref="U43" si="16">+T43+1</f>
        <v>18</v>
      </c>
      <c r="V43" s="10">
        <f t="shared" ref="V43" si="17">+U43+1</f>
        <v>19</v>
      </c>
      <c r="W43" s="10">
        <f t="shared" ref="W43" si="18">+V43+1</f>
        <v>20</v>
      </c>
      <c r="X43" s="10">
        <f t="shared" ref="X43" si="19">+W43+1</f>
        <v>21</v>
      </c>
      <c r="Y43" s="10">
        <f t="shared" ref="Y43" si="20">+X43+1</f>
        <v>22</v>
      </c>
      <c r="Z43" s="10">
        <f t="shared" ref="Z43" si="21">+Y43+1</f>
        <v>23</v>
      </c>
      <c r="AA43" s="10">
        <f t="shared" ref="AA43" si="22">+Z43+1</f>
        <v>24</v>
      </c>
    </row>
    <row r="44" spans="1:27" ht="15.75" thickBot="1" x14ac:dyDescent="0.3">
      <c r="C44" s="7" t="s">
        <v>8</v>
      </c>
      <c r="D44" s="13">
        <f>E16/D16</f>
        <v>1.3012915774801588</v>
      </c>
      <c r="E44" s="13">
        <f t="shared" ref="E44:Z55" si="23">F16/E16</f>
        <v>1.1246587173026841</v>
      </c>
      <c r="F44" s="13">
        <f t="shared" si="23"/>
        <v>1.190576689885863</v>
      </c>
      <c r="G44" s="13">
        <f t="shared" si="23"/>
        <v>1.0820522294435739</v>
      </c>
      <c r="H44" s="13">
        <f t="shared" si="23"/>
        <v>1.0512625611529816</v>
      </c>
      <c r="I44" s="13">
        <f t="shared" si="23"/>
        <v>1.0277184756874356</v>
      </c>
      <c r="J44" s="13">
        <f t="shared" si="23"/>
        <v>1.0363301118089652</v>
      </c>
      <c r="K44" s="13">
        <f t="shared" si="23"/>
        <v>1.0133705836531304</v>
      </c>
      <c r="L44" s="13">
        <f t="shared" si="23"/>
        <v>1.032640555775838</v>
      </c>
      <c r="M44" s="13">
        <f t="shared" si="23"/>
        <v>1.0158707834855716</v>
      </c>
      <c r="N44" s="13">
        <f t="shared" si="23"/>
        <v>1.012960894723592</v>
      </c>
      <c r="O44" s="13">
        <f t="shared" si="23"/>
        <v>1.0052417823156539</v>
      </c>
      <c r="P44" s="13">
        <f t="shared" si="23"/>
        <v>1.0022483715925834</v>
      </c>
      <c r="Q44" s="13">
        <f t="shared" si="23"/>
        <v>1.000732899770701</v>
      </c>
      <c r="R44" s="13">
        <f t="shared" si="23"/>
        <v>1.0008146884299423</v>
      </c>
      <c r="S44" s="17">
        <f t="shared" si="23"/>
        <v>1.0001408106099334</v>
      </c>
      <c r="T44" s="17">
        <f t="shared" si="23"/>
        <v>1.0000545369032479</v>
      </c>
      <c r="U44" s="17">
        <f t="shared" si="23"/>
        <v>1.0000297457795289</v>
      </c>
      <c r="V44" s="17">
        <f t="shared" si="23"/>
        <v>1.0000086246612614</v>
      </c>
      <c r="W44" s="17">
        <f t="shared" si="23"/>
        <v>1.0000008828317275</v>
      </c>
      <c r="X44" s="17">
        <f t="shared" si="23"/>
        <v>1.0000003395503647</v>
      </c>
      <c r="Y44" s="17">
        <f t="shared" si="23"/>
        <v>1.0000005432803991</v>
      </c>
      <c r="Z44" s="22">
        <f t="shared" si="23"/>
        <v>1.0000010865602078</v>
      </c>
      <c r="AA44" s="13"/>
    </row>
    <row r="45" spans="1:27" ht="15.75" thickBot="1" x14ac:dyDescent="0.3">
      <c r="C45" s="7" t="s">
        <v>9</v>
      </c>
      <c r="D45" s="13">
        <f t="shared" ref="D45:S65" si="24">E17/D17</f>
        <v>1.397843474603863</v>
      </c>
      <c r="E45" s="13">
        <f t="shared" si="24"/>
        <v>1.1976672026460404</v>
      </c>
      <c r="F45" s="13">
        <f t="shared" si="24"/>
        <v>1.0506283449602367</v>
      </c>
      <c r="G45" s="13">
        <f t="shared" si="24"/>
        <v>1.096459630106658</v>
      </c>
      <c r="H45" s="13">
        <f t="shared" si="24"/>
        <v>1.0504620680676733</v>
      </c>
      <c r="I45" s="13">
        <f t="shared" si="24"/>
        <v>1.0545883531491473</v>
      </c>
      <c r="J45" s="13">
        <f t="shared" si="24"/>
        <v>1.0294387420970976</v>
      </c>
      <c r="K45" s="13">
        <f t="shared" si="24"/>
        <v>1.0194501031645753</v>
      </c>
      <c r="L45" s="13">
        <f t="shared" si="24"/>
        <v>1.0279419903750018</v>
      </c>
      <c r="M45" s="13">
        <f t="shared" si="24"/>
        <v>1.0144792847964694</v>
      </c>
      <c r="N45" s="13">
        <f t="shared" si="24"/>
        <v>1.0102202979972967</v>
      </c>
      <c r="O45" s="13">
        <f t="shared" si="24"/>
        <v>1.0018480647702701</v>
      </c>
      <c r="P45" s="13">
        <f t="shared" si="24"/>
        <v>1.0009273021144072</v>
      </c>
      <c r="Q45" s="13">
        <f t="shared" si="24"/>
        <v>1.0011147811795797</v>
      </c>
      <c r="R45" s="20">
        <f t="shared" si="24"/>
        <v>1.0002437490166975</v>
      </c>
      <c r="S45" s="18">
        <f t="shared" si="24"/>
        <v>1.0001061383615621</v>
      </c>
      <c r="T45" s="18">
        <f t="shared" si="23"/>
        <v>1.0000553191724522</v>
      </c>
      <c r="U45" s="18">
        <f t="shared" si="23"/>
        <v>1.0000303928487149</v>
      </c>
      <c r="V45" s="18">
        <f t="shared" si="23"/>
        <v>1.0000125740246364</v>
      </c>
      <c r="W45" s="18">
        <f t="shared" si="23"/>
        <v>1.0000034394881545</v>
      </c>
      <c r="X45" s="18">
        <f t="shared" si="23"/>
        <v>1.0000005638485778</v>
      </c>
      <c r="Y45" s="19">
        <f t="shared" si="23"/>
        <v>1.0000006202330858</v>
      </c>
      <c r="Z45" s="13"/>
      <c r="AA45" s="13"/>
    </row>
    <row r="46" spans="1:27" ht="15.75" thickBot="1" x14ac:dyDescent="0.3">
      <c r="C46" s="7" t="s">
        <v>11</v>
      </c>
      <c r="D46" s="16">
        <f t="shared" si="24"/>
        <v>1.143045368392186</v>
      </c>
      <c r="E46" s="13">
        <f t="shared" si="23"/>
        <v>1.1683938167607899</v>
      </c>
      <c r="F46" s="13">
        <f t="shared" si="23"/>
        <v>1.1550797887684707</v>
      </c>
      <c r="G46" s="13">
        <f t="shared" si="23"/>
        <v>1.1147778465170493</v>
      </c>
      <c r="H46" s="13">
        <f t="shared" si="23"/>
        <v>1.1392271013619784</v>
      </c>
      <c r="I46" s="13">
        <f t="shared" si="23"/>
        <v>1.0662613235004927</v>
      </c>
      <c r="J46" s="13">
        <f t="shared" si="23"/>
        <v>1.0364234986866303</v>
      </c>
      <c r="K46" s="13">
        <f t="shared" si="23"/>
        <v>1.028200680405553</v>
      </c>
      <c r="L46" s="13">
        <f t="shared" si="23"/>
        <v>1.0386012746656099</v>
      </c>
      <c r="M46" s="13">
        <f t="shared" si="23"/>
        <v>1.0185848290972479</v>
      </c>
      <c r="N46" s="13">
        <f t="shared" si="23"/>
        <v>1.0135350696573762</v>
      </c>
      <c r="O46" s="13">
        <f t="shared" si="23"/>
        <v>1.0032694613315258</v>
      </c>
      <c r="P46" s="13">
        <f t="shared" si="23"/>
        <v>1.0019731713222637</v>
      </c>
      <c r="Q46" s="20">
        <f t="shared" si="23"/>
        <v>1.000791035148511</v>
      </c>
      <c r="R46" s="21">
        <f t="shared" si="23"/>
        <v>1.000390530712457</v>
      </c>
      <c r="S46" s="18">
        <f t="shared" si="23"/>
        <v>1.0001550737008389</v>
      </c>
      <c r="T46" s="18">
        <f t="shared" si="23"/>
        <v>1.0000707066838439</v>
      </c>
      <c r="U46" s="18">
        <f t="shared" si="23"/>
        <v>1.0000494070106611</v>
      </c>
      <c r="V46" s="18">
        <f t="shared" si="23"/>
        <v>1.0000096789191122</v>
      </c>
      <c r="W46" s="18">
        <f t="shared" si="23"/>
        <v>1.0000099313165298</v>
      </c>
      <c r="X46" s="19">
        <f t="shared" si="23"/>
        <v>1.000003029863088</v>
      </c>
      <c r="Y46" s="13"/>
      <c r="Z46" s="13"/>
      <c r="AA46" s="13"/>
    </row>
    <row r="47" spans="1:27" ht="15.75" thickBot="1" x14ac:dyDescent="0.3">
      <c r="C47" s="7" t="s">
        <v>12</v>
      </c>
      <c r="D47" s="13">
        <f t="shared" si="24"/>
        <v>2.1684497209408224</v>
      </c>
      <c r="E47" s="13">
        <f t="shared" si="23"/>
        <v>1.138885510441046</v>
      </c>
      <c r="F47" s="13">
        <f t="shared" si="23"/>
        <v>1.0515939618862589</v>
      </c>
      <c r="G47" s="13">
        <f t="shared" si="23"/>
        <v>1.0732501710809856</v>
      </c>
      <c r="H47" s="13">
        <f t="shared" si="23"/>
        <v>1.0534814246286308</v>
      </c>
      <c r="I47" s="13">
        <f t="shared" si="23"/>
        <v>1.0152064266534555</v>
      </c>
      <c r="J47" s="13">
        <f t="shared" si="23"/>
        <v>1.0169601637036425</v>
      </c>
      <c r="K47" s="13">
        <f t="shared" si="23"/>
        <v>1.0324830583908882</v>
      </c>
      <c r="L47" s="13">
        <f t="shared" si="23"/>
        <v>1.0055281623986299</v>
      </c>
      <c r="M47" s="13">
        <f t="shared" si="23"/>
        <v>1.0157558962827034</v>
      </c>
      <c r="N47" s="13">
        <f t="shared" si="23"/>
        <v>1.0103006033934834</v>
      </c>
      <c r="O47" s="13">
        <f t="shared" si="23"/>
        <v>1.0039562865275089</v>
      </c>
      <c r="P47" s="20">
        <f t="shared" si="23"/>
        <v>1.0009541331441711</v>
      </c>
      <c r="Q47" s="21">
        <f t="shared" si="23"/>
        <v>1.0004479919689557</v>
      </c>
      <c r="R47" s="21">
        <f t="shared" si="23"/>
        <v>1.0002438152255848</v>
      </c>
      <c r="S47" s="18">
        <f t="shared" si="23"/>
        <v>1.0001016034588139</v>
      </c>
      <c r="T47" s="18">
        <f t="shared" si="23"/>
        <v>1.0000601234040576</v>
      </c>
      <c r="U47" s="18">
        <f t="shared" si="23"/>
        <v>1.0000212217718318</v>
      </c>
      <c r="V47" s="18">
        <f t="shared" si="23"/>
        <v>1.0000046245010485</v>
      </c>
      <c r="W47" s="19">
        <f t="shared" si="23"/>
        <v>1.0000000513831073</v>
      </c>
      <c r="X47" s="13"/>
      <c r="Y47" s="13"/>
      <c r="Z47" s="13"/>
      <c r="AA47" s="13"/>
    </row>
    <row r="48" spans="1:27" ht="15.75" thickBot="1" x14ac:dyDescent="0.3">
      <c r="C48" s="7" t="s">
        <v>13</v>
      </c>
      <c r="D48" s="13">
        <f t="shared" si="24"/>
        <v>1.1834975754654893</v>
      </c>
      <c r="E48" s="13">
        <f t="shared" si="23"/>
        <v>1.150740819200929</v>
      </c>
      <c r="F48" s="13">
        <f t="shared" si="23"/>
        <v>1.0555869724225908</v>
      </c>
      <c r="G48" s="13">
        <f t="shared" si="23"/>
        <v>1.0953923038640156</v>
      </c>
      <c r="H48" s="13">
        <f t="shared" si="23"/>
        <v>1.0341864912071259</v>
      </c>
      <c r="I48" s="13">
        <f t="shared" si="23"/>
        <v>1.0655642970193888</v>
      </c>
      <c r="J48" s="13">
        <f t="shared" si="23"/>
        <v>1.0322631755313523</v>
      </c>
      <c r="K48" s="13">
        <f t="shared" si="23"/>
        <v>1.013910766793447</v>
      </c>
      <c r="L48" s="13">
        <f t="shared" si="23"/>
        <v>1.0436139717553812</v>
      </c>
      <c r="M48" s="13">
        <f t="shared" si="23"/>
        <v>1.0074464630229387</v>
      </c>
      <c r="N48" s="13">
        <f t="shared" si="23"/>
        <v>1.0080183017710052</v>
      </c>
      <c r="O48" s="20">
        <f t="shared" si="23"/>
        <v>1.0026821333777534</v>
      </c>
      <c r="P48" s="21">
        <f t="shared" si="23"/>
        <v>1.0013275947617746</v>
      </c>
      <c r="Q48" s="21">
        <f t="shared" si="23"/>
        <v>1.0005761072015265</v>
      </c>
      <c r="R48" s="21">
        <f t="shared" si="23"/>
        <v>1.0003394187639973</v>
      </c>
      <c r="S48" s="18">
        <f t="shared" si="23"/>
        <v>1.0001902233494717</v>
      </c>
      <c r="T48" s="18">
        <f t="shared" si="23"/>
        <v>1.0000741450654977</v>
      </c>
      <c r="U48" s="18">
        <f t="shared" si="23"/>
        <v>1.000037323686839</v>
      </c>
      <c r="V48" s="19">
        <f t="shared" si="23"/>
        <v>1.0000151489582678</v>
      </c>
      <c r="W48" s="13"/>
      <c r="X48" s="13"/>
      <c r="Y48" s="13"/>
      <c r="Z48" s="13"/>
      <c r="AA48" s="13"/>
    </row>
    <row r="49" spans="3:27" ht="15.75" thickBot="1" x14ac:dyDescent="0.3">
      <c r="C49" s="7" t="s">
        <v>14</v>
      </c>
      <c r="D49" s="13">
        <f t="shared" si="24"/>
        <v>1.4518264969574284</v>
      </c>
      <c r="E49" s="13">
        <f t="shared" si="23"/>
        <v>1.1842969248831126</v>
      </c>
      <c r="F49" s="13">
        <f t="shared" si="23"/>
        <v>1.0660674657558071</v>
      </c>
      <c r="G49" s="13">
        <f t="shared" si="23"/>
        <v>1.1445446166772939</v>
      </c>
      <c r="H49" s="13">
        <f t="shared" si="23"/>
        <v>1.1641766123813611</v>
      </c>
      <c r="I49" s="13">
        <f t="shared" si="23"/>
        <v>1.0590550924021385</v>
      </c>
      <c r="J49" s="13">
        <f t="shared" si="23"/>
        <v>1.3303074237254098</v>
      </c>
      <c r="K49" s="13">
        <f t="shared" si="23"/>
        <v>1.0500694064646503</v>
      </c>
      <c r="L49" s="13">
        <f t="shared" si="23"/>
        <v>1.0118986469183739</v>
      </c>
      <c r="M49" s="13">
        <f t="shared" si="23"/>
        <v>1.0071869704351923</v>
      </c>
      <c r="N49" s="20">
        <f t="shared" si="23"/>
        <v>1.0046378984614917</v>
      </c>
      <c r="O49" s="21">
        <f t="shared" si="23"/>
        <v>1.0020475555732093</v>
      </c>
      <c r="P49" s="21">
        <f t="shared" si="23"/>
        <v>1.0012117803114662</v>
      </c>
      <c r="Q49" s="21">
        <f t="shared" si="23"/>
        <v>1.000622957825855</v>
      </c>
      <c r="R49" s="21">
        <f t="shared" si="23"/>
        <v>1.0003159241732908</v>
      </c>
      <c r="S49" s="18">
        <f t="shared" si="23"/>
        <v>1.0001289360765289</v>
      </c>
      <c r="T49" s="18">
        <f t="shared" si="23"/>
        <v>1.0000836213581978</v>
      </c>
      <c r="U49" s="19">
        <f t="shared" si="23"/>
        <v>1.0000363274148516</v>
      </c>
      <c r="V49" s="13"/>
      <c r="W49" s="13"/>
      <c r="X49" s="13"/>
      <c r="Y49" s="13"/>
      <c r="Z49" s="13"/>
      <c r="AA49" s="13"/>
    </row>
    <row r="50" spans="3:27" ht="15.75" thickBot="1" x14ac:dyDescent="0.3">
      <c r="C50" s="7" t="s">
        <v>15</v>
      </c>
      <c r="D50" s="13">
        <f t="shared" si="24"/>
        <v>1.3704256495167788</v>
      </c>
      <c r="E50" s="13">
        <f t="shared" si="23"/>
        <v>1.1477889113957596</v>
      </c>
      <c r="F50" s="13">
        <f t="shared" si="23"/>
        <v>1.1973103987058131</v>
      </c>
      <c r="G50" s="13">
        <f t="shared" si="23"/>
        <v>1.0409776928589223</v>
      </c>
      <c r="H50" s="13">
        <f t="shared" si="23"/>
        <v>1.0257579191372272</v>
      </c>
      <c r="I50" s="13">
        <f t="shared" si="23"/>
        <v>1.08949255571551</v>
      </c>
      <c r="J50" s="13">
        <f t="shared" si="23"/>
        <v>1.0559230107191739</v>
      </c>
      <c r="K50" s="13">
        <f t="shared" si="23"/>
        <v>1.0525811215520411</v>
      </c>
      <c r="L50" s="13">
        <f t="shared" si="23"/>
        <v>1.0485717501384544</v>
      </c>
      <c r="M50" s="20">
        <f t="shared" si="23"/>
        <v>1.0123312322465765</v>
      </c>
      <c r="N50" s="21">
        <f t="shared" si="23"/>
        <v>1.0069843669603553</v>
      </c>
      <c r="O50" s="21">
        <f t="shared" si="23"/>
        <v>1.0029116297278267</v>
      </c>
      <c r="P50" s="21">
        <f t="shared" si="23"/>
        <v>1.0013404044578647</v>
      </c>
      <c r="Q50" s="21">
        <f t="shared" si="23"/>
        <v>1.0006061665856998</v>
      </c>
      <c r="R50" s="21">
        <f t="shared" si="23"/>
        <v>1.0004325160088623</v>
      </c>
      <c r="S50" s="18">
        <f t="shared" si="23"/>
        <v>1.0002204555022243</v>
      </c>
      <c r="T50" s="19">
        <f t="shared" si="23"/>
        <v>1.0001012081970706</v>
      </c>
      <c r="U50" s="13"/>
      <c r="V50" s="13"/>
      <c r="W50" s="13"/>
      <c r="X50" s="13"/>
      <c r="Y50" s="13"/>
      <c r="Z50" s="13"/>
      <c r="AA50" s="13"/>
    </row>
    <row r="51" spans="3:27" ht="15.75" thickBot="1" x14ac:dyDescent="0.3">
      <c r="C51" s="7" t="s">
        <v>16</v>
      </c>
      <c r="D51" s="13">
        <f t="shared" si="24"/>
        <v>1.3880941299121192</v>
      </c>
      <c r="E51" s="13">
        <f t="shared" si="23"/>
        <v>1.0794259877141008</v>
      </c>
      <c r="F51" s="13">
        <f t="shared" si="23"/>
        <v>1.1466301978803581</v>
      </c>
      <c r="G51" s="13">
        <f t="shared" si="23"/>
        <v>1.0412538771179445</v>
      </c>
      <c r="H51" s="13">
        <f t="shared" si="23"/>
        <v>1.0554969233721696</v>
      </c>
      <c r="I51" s="13">
        <f t="shared" si="23"/>
        <v>1.0300371505401527</v>
      </c>
      <c r="J51" s="13">
        <f t="shared" si="23"/>
        <v>1.0467347688705695</v>
      </c>
      <c r="K51" s="13">
        <f t="shared" si="23"/>
        <v>1.0124615928948197</v>
      </c>
      <c r="L51" s="20">
        <f t="shared" si="23"/>
        <v>1.0202100316495222</v>
      </c>
      <c r="M51" s="21">
        <f t="shared" si="23"/>
        <v>1.0090809565257854</v>
      </c>
      <c r="N51" s="21">
        <f t="shared" si="23"/>
        <v>1.0040333656536411</v>
      </c>
      <c r="O51" s="21">
        <f t="shared" si="23"/>
        <v>1.0025513595513595</v>
      </c>
      <c r="P51" s="21">
        <f t="shared" si="23"/>
        <v>1.0011413901080328</v>
      </c>
      <c r="Q51" s="21">
        <f t="shared" si="23"/>
        <v>1.0006511347360092</v>
      </c>
      <c r="R51" s="21">
        <f t="shared" si="23"/>
        <v>1.0003368411559628</v>
      </c>
      <c r="S51" s="19">
        <f t="shared" si="23"/>
        <v>1.0001285674818392</v>
      </c>
      <c r="T51" s="13"/>
      <c r="U51" s="13"/>
      <c r="V51" s="13"/>
      <c r="W51" s="13"/>
      <c r="X51" s="13"/>
      <c r="Y51" s="13"/>
      <c r="Z51" s="13"/>
      <c r="AA51" s="13"/>
    </row>
    <row r="52" spans="3:27" ht="15.75" thickBot="1" x14ac:dyDescent="0.3">
      <c r="C52" s="7" t="s">
        <v>17</v>
      </c>
      <c r="D52" s="13">
        <f t="shared" si="24"/>
        <v>1.4427678949597629</v>
      </c>
      <c r="E52" s="13">
        <f t="shared" si="23"/>
        <v>1.2156635737421764</v>
      </c>
      <c r="F52" s="13">
        <f t="shared" si="23"/>
        <v>1.1175775315365621</v>
      </c>
      <c r="G52" s="13">
        <f t="shared" si="23"/>
        <v>1.0336047241914059</v>
      </c>
      <c r="H52" s="13">
        <f t="shared" si="23"/>
        <v>1.0763592386606122</v>
      </c>
      <c r="I52" s="13">
        <f t="shared" si="23"/>
        <v>1.0160885816870338</v>
      </c>
      <c r="J52" s="13">
        <f t="shared" si="23"/>
        <v>1.0536442000224586</v>
      </c>
      <c r="K52" s="20">
        <f t="shared" si="23"/>
        <v>1.0367824678773878</v>
      </c>
      <c r="L52" s="21">
        <f t="shared" si="23"/>
        <v>1.0184661066083869</v>
      </c>
      <c r="M52" s="21">
        <f t="shared" si="23"/>
        <v>1.0071501153387958</v>
      </c>
      <c r="N52" s="21">
        <f t="shared" si="23"/>
        <v>1.0034189498780488</v>
      </c>
      <c r="O52" s="21">
        <f t="shared" si="23"/>
        <v>1.001987443046001</v>
      </c>
      <c r="P52" s="21">
        <f t="shared" si="23"/>
        <v>1.0010178315735545</v>
      </c>
      <c r="Q52" s="21">
        <f t="shared" si="23"/>
        <v>1.0005312716346058</v>
      </c>
      <c r="R52" s="19">
        <f t="shared" si="23"/>
        <v>1.000252903638372</v>
      </c>
      <c r="S52" s="13"/>
      <c r="T52" s="13"/>
      <c r="U52" s="13"/>
      <c r="V52" s="13"/>
      <c r="W52" s="13"/>
      <c r="X52" s="13"/>
      <c r="Y52" s="13"/>
      <c r="Z52" s="13"/>
      <c r="AA52" s="13"/>
    </row>
    <row r="53" spans="3:27" ht="15.75" thickBot="1" x14ac:dyDescent="0.3">
      <c r="C53" s="7" t="s">
        <v>18</v>
      </c>
      <c r="D53" s="13">
        <f t="shared" si="24"/>
        <v>1.4786330818471181</v>
      </c>
      <c r="E53" s="13">
        <f t="shared" si="23"/>
        <v>1.2194576025714545</v>
      </c>
      <c r="F53" s="13">
        <f t="shared" si="23"/>
        <v>1.1645781278289771</v>
      </c>
      <c r="G53" s="13">
        <f t="shared" si="23"/>
        <v>1.0667966617897691</v>
      </c>
      <c r="H53" s="13">
        <f t="shared" si="23"/>
        <v>1.0571187667010582</v>
      </c>
      <c r="I53" s="13">
        <f t="shared" si="23"/>
        <v>1.0443695042105772</v>
      </c>
      <c r="J53" s="20">
        <f t="shared" si="23"/>
        <v>1.0869804818561384</v>
      </c>
      <c r="K53" s="21">
        <f t="shared" si="23"/>
        <v>1.0412332717110526</v>
      </c>
      <c r="L53" s="21">
        <f t="shared" si="23"/>
        <v>1.0161642102745603</v>
      </c>
      <c r="M53" s="21">
        <f t="shared" si="23"/>
        <v>1.0088887215824522</v>
      </c>
      <c r="N53" s="21">
        <f t="shared" si="23"/>
        <v>1.0037809084186362</v>
      </c>
      <c r="O53" s="21">
        <f t="shared" si="23"/>
        <v>1.0022508157658327</v>
      </c>
      <c r="P53" s="21">
        <f t="shared" si="23"/>
        <v>1.0012609312605625</v>
      </c>
      <c r="Q53" s="19">
        <f t="shared" si="23"/>
        <v>1.000582271016011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3:27" ht="15.75" thickBot="1" x14ac:dyDescent="0.3">
      <c r="C54" s="7" t="s">
        <v>19</v>
      </c>
      <c r="D54" s="13">
        <f t="shared" si="24"/>
        <v>1.249783340393875</v>
      </c>
      <c r="E54" s="13">
        <f t="shared" si="23"/>
        <v>1.2125815343270272</v>
      </c>
      <c r="F54" s="13">
        <f t="shared" si="23"/>
        <v>1.0370206942514737</v>
      </c>
      <c r="G54" s="13">
        <f t="shared" si="23"/>
        <v>1.1263533752480643</v>
      </c>
      <c r="H54" s="13">
        <f t="shared" si="23"/>
        <v>1.0348913969801727</v>
      </c>
      <c r="I54" s="20">
        <f t="shared" si="23"/>
        <v>1.1513759224217863</v>
      </c>
      <c r="J54" s="21">
        <f t="shared" si="23"/>
        <v>1.0809369236308592</v>
      </c>
      <c r="K54" s="21">
        <f t="shared" si="23"/>
        <v>1.0342361407930407</v>
      </c>
      <c r="L54" s="21">
        <f t="shared" si="23"/>
        <v>1.0175853786971953</v>
      </c>
      <c r="M54" s="21">
        <f t="shared" si="23"/>
        <v>1.0101395674994758</v>
      </c>
      <c r="N54" s="21">
        <f t="shared" si="23"/>
        <v>1.0041042517375645</v>
      </c>
      <c r="O54" s="21">
        <f t="shared" si="23"/>
        <v>1.001997467923661</v>
      </c>
      <c r="P54" s="19">
        <f t="shared" si="23"/>
        <v>1.001008891539426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3:27" ht="15.75" thickBot="1" x14ac:dyDescent="0.3">
      <c r="C55" s="7" t="s">
        <v>20</v>
      </c>
      <c r="D55" s="13">
        <f t="shared" si="24"/>
        <v>1.451561479435888</v>
      </c>
      <c r="E55" s="13">
        <f t="shared" si="23"/>
        <v>1.224328187841724</v>
      </c>
      <c r="F55" s="13">
        <f t="shared" si="23"/>
        <v>1.0499789967119229</v>
      </c>
      <c r="G55" s="13">
        <f t="shared" si="23"/>
        <v>1.1021532917659973</v>
      </c>
      <c r="H55" s="20">
        <f t="shared" si="23"/>
        <v>1.124222466127041</v>
      </c>
      <c r="I55" s="21">
        <f t="shared" si="23"/>
        <v>1.110895398816844</v>
      </c>
      <c r="J55" s="21">
        <f t="shared" si="23"/>
        <v>1.0677574548873756</v>
      </c>
      <c r="K55" s="21">
        <f t="shared" si="23"/>
        <v>1.0261442201406932</v>
      </c>
      <c r="L55" s="21">
        <f t="shared" si="23"/>
        <v>1.0124790074253751</v>
      </c>
      <c r="M55" s="21">
        <f t="shared" si="23"/>
        <v>1.0064312955524908</v>
      </c>
      <c r="N55" s="21">
        <f t="shared" si="23"/>
        <v>1.0027678914931175</v>
      </c>
      <c r="O55" s="19">
        <f t="shared" si="23"/>
        <v>1.0019491711248354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3:27" ht="15.75" thickBot="1" x14ac:dyDescent="0.3">
      <c r="C56" s="7" t="s">
        <v>21</v>
      </c>
      <c r="D56" s="13">
        <f t="shared" si="24"/>
        <v>1.4892898459571287</v>
      </c>
      <c r="E56" s="13">
        <f t="shared" ref="E56:N65" si="25">F28/E28</f>
        <v>1.2140041793509107</v>
      </c>
      <c r="F56" s="13">
        <f t="shared" si="25"/>
        <v>1.148151198019943</v>
      </c>
      <c r="G56" s="20">
        <f t="shared" si="25"/>
        <v>1.2293751028964821</v>
      </c>
      <c r="H56" s="21">
        <f t="shared" si="25"/>
        <v>1.1581184787858423</v>
      </c>
      <c r="I56" s="21">
        <f t="shared" si="25"/>
        <v>1.1335099791450478</v>
      </c>
      <c r="J56" s="21">
        <f t="shared" si="25"/>
        <v>1.0616542453682762</v>
      </c>
      <c r="K56" s="21">
        <f t="shared" si="25"/>
        <v>1.0330363263693227</v>
      </c>
      <c r="L56" s="21">
        <f t="shared" si="25"/>
        <v>1.0159657591259501</v>
      </c>
      <c r="M56" s="21">
        <f t="shared" si="25"/>
        <v>1.0072968831924349</v>
      </c>
      <c r="N56" s="19">
        <f t="shared" si="25"/>
        <v>1.0027861082065734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3:27" ht="15.75" thickBot="1" x14ac:dyDescent="0.3">
      <c r="C57" s="7" t="s">
        <v>22</v>
      </c>
      <c r="D57" s="13">
        <f t="shared" si="24"/>
        <v>1.4032420365322222</v>
      </c>
      <c r="E57" s="13">
        <f t="shared" si="25"/>
        <v>1.0961716861611503</v>
      </c>
      <c r="F57" s="20">
        <f t="shared" si="25"/>
        <v>1.454243412089361</v>
      </c>
      <c r="G57" s="21">
        <f t="shared" si="25"/>
        <v>1.2576993809591477</v>
      </c>
      <c r="H57" s="21">
        <f t="shared" si="25"/>
        <v>1.1164983718536077</v>
      </c>
      <c r="I57" s="21">
        <f t="shared" si="25"/>
        <v>1.1261163930543581</v>
      </c>
      <c r="J57" s="21">
        <f t="shared" si="25"/>
        <v>1.0477415008726498</v>
      </c>
      <c r="K57" s="21">
        <f t="shared" si="25"/>
        <v>1.0253029209553763</v>
      </c>
      <c r="L57" s="21">
        <f t="shared" si="25"/>
        <v>1.0114831545950385</v>
      </c>
      <c r="M57" s="19">
        <f t="shared" si="25"/>
        <v>1.0061605637803352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3:27" ht="15.75" thickBot="1" x14ac:dyDescent="0.3">
      <c r="C58" s="7" t="s">
        <v>23</v>
      </c>
      <c r="D58" s="13">
        <f t="shared" si="24"/>
        <v>1.3961072368588461</v>
      </c>
      <c r="E58" s="20">
        <f t="shared" si="25"/>
        <v>1.8221804761731177</v>
      </c>
      <c r="F58" s="21">
        <f t="shared" si="25"/>
        <v>1.4050057341921687</v>
      </c>
      <c r="G58" s="21">
        <f t="shared" si="25"/>
        <v>1.1835013379982839</v>
      </c>
      <c r="H58" s="21">
        <f t="shared" si="25"/>
        <v>1.1516767889529751</v>
      </c>
      <c r="I58" s="21">
        <f t="shared" si="25"/>
        <v>1.1417312273979405</v>
      </c>
      <c r="J58" s="21">
        <f t="shared" si="25"/>
        <v>1.0484786646865891</v>
      </c>
      <c r="K58" s="21">
        <f t="shared" si="25"/>
        <v>1.0223036546074806</v>
      </c>
      <c r="L58" s="19">
        <f t="shared" si="25"/>
        <v>1.0149252120488621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3:27" ht="15.75" thickBot="1" x14ac:dyDescent="0.3">
      <c r="C59" s="7" t="s">
        <v>24</v>
      </c>
      <c r="D59" s="20">
        <f t="shared" si="24"/>
        <v>1.9405587804563977</v>
      </c>
      <c r="E59" s="21">
        <f t="shared" si="25"/>
        <v>1.3515628624506153</v>
      </c>
      <c r="F59" s="21">
        <f t="shared" si="25"/>
        <v>1.2369911412005219</v>
      </c>
      <c r="G59" s="21">
        <f t="shared" si="25"/>
        <v>1.1348300824873645</v>
      </c>
      <c r="H59" s="21">
        <f t="shared" si="25"/>
        <v>1.0956306307062871</v>
      </c>
      <c r="I59" s="21">
        <f t="shared" si="25"/>
        <v>1.0891213608333172</v>
      </c>
      <c r="J59" s="21">
        <f t="shared" si="25"/>
        <v>1.0409652791143011</v>
      </c>
      <c r="K59" s="19">
        <f t="shared" si="25"/>
        <v>1.019980953892927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3:27" ht="15.75" thickBot="1" x14ac:dyDescent="0.3">
      <c r="C60" s="7" t="s">
        <v>25</v>
      </c>
      <c r="D60" s="21">
        <f t="shared" si="24"/>
        <v>1.638921316120675</v>
      </c>
      <c r="E60" s="21">
        <f t="shared" si="25"/>
        <v>1.4570995275741396</v>
      </c>
      <c r="F60" s="21">
        <f t="shared" si="25"/>
        <v>1.2515122916443193</v>
      </c>
      <c r="G60" s="21">
        <f t="shared" si="25"/>
        <v>1.1484948900396847</v>
      </c>
      <c r="H60" s="21">
        <f t="shared" si="25"/>
        <v>1.0926630343866159</v>
      </c>
      <c r="I60" s="21">
        <f t="shared" si="25"/>
        <v>1.0716184017939847</v>
      </c>
      <c r="J60" s="19">
        <f t="shared" si="25"/>
        <v>1.0451543214147678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3:27" ht="15.75" thickBot="1" x14ac:dyDescent="0.3">
      <c r="C61" s="7" t="s">
        <v>26</v>
      </c>
      <c r="D61" s="21">
        <f t="shared" si="24"/>
        <v>2.6132352114120492</v>
      </c>
      <c r="E61" s="21">
        <f t="shared" si="25"/>
        <v>1.4253529688858719</v>
      </c>
      <c r="F61" s="21">
        <f t="shared" si="25"/>
        <v>1.2876192995197422</v>
      </c>
      <c r="G61" s="21">
        <f t="shared" si="25"/>
        <v>1.1878671879790692</v>
      </c>
      <c r="H61" s="21">
        <f t="shared" si="25"/>
        <v>1.1169011074773301</v>
      </c>
      <c r="I61" s="19">
        <f t="shared" si="25"/>
        <v>1.1125445870416415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3:27" ht="15.75" thickBot="1" x14ac:dyDescent="0.3">
      <c r="C62" s="7" t="s">
        <v>27</v>
      </c>
      <c r="D62" s="21">
        <f t="shared" si="24"/>
        <v>3.1625421461443097</v>
      </c>
      <c r="E62" s="21">
        <f t="shared" si="25"/>
        <v>1.1465056451455924</v>
      </c>
      <c r="F62" s="21">
        <f t="shared" si="25"/>
        <v>1.1490357680913015</v>
      </c>
      <c r="G62" s="21">
        <f t="shared" si="25"/>
        <v>1.1039994698655597</v>
      </c>
      <c r="H62" s="19">
        <f t="shared" si="25"/>
        <v>1.0528314845585036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3:27" ht="15.75" thickBot="1" x14ac:dyDescent="0.3">
      <c r="C63" s="7" t="s">
        <v>28</v>
      </c>
      <c r="D63" s="21">
        <f t="shared" si="24"/>
        <v>1.7569238204890927</v>
      </c>
      <c r="E63" s="21">
        <f t="shared" si="25"/>
        <v>1.3092273715587079</v>
      </c>
      <c r="F63" s="21">
        <f t="shared" si="25"/>
        <v>1.2173439738075305</v>
      </c>
      <c r="G63" s="19">
        <f t="shared" si="25"/>
        <v>1.158476031194515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3:27" ht="15.75" thickBot="1" x14ac:dyDescent="0.3">
      <c r="C64" s="7" t="s">
        <v>29</v>
      </c>
      <c r="D64" s="21">
        <f t="shared" si="24"/>
        <v>2.3320316702756823</v>
      </c>
      <c r="E64" s="21">
        <f t="shared" si="25"/>
        <v>1.4704632523310948</v>
      </c>
      <c r="F64" s="19">
        <f t="shared" si="25"/>
        <v>1.2039490929733609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2:27" ht="15.75" thickBot="1" x14ac:dyDescent="0.3">
      <c r="C65" s="7" t="s">
        <v>30</v>
      </c>
      <c r="D65" s="21">
        <f t="shared" si="24"/>
        <v>1.9802275637769955</v>
      </c>
      <c r="E65" s="19">
        <f t="shared" si="25"/>
        <v>1.3122222739068592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2:27" ht="15.75" thickBot="1" x14ac:dyDescent="0.3">
      <c r="C66" s="7" t="s">
        <v>31</v>
      </c>
      <c r="D66" s="19">
        <f>E38/D38</f>
        <v>1.8921818735410534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2:27" x14ac:dyDescent="0.25">
      <c r="C67" s="7" t="s">
        <v>32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2:27" x14ac:dyDescent="0.25">
      <c r="C68" s="7" t="s">
        <v>47</v>
      </c>
      <c r="D68" s="14">
        <f>MEDIAN(D44:D66)</f>
        <v>1.4518264969574284</v>
      </c>
      <c r="E68" s="14">
        <f t="shared" ref="E68:Z68" si="26">MEDIAN(E44:E66)</f>
        <v>1.2132928568389689</v>
      </c>
      <c r="F68" s="14">
        <f t="shared" si="26"/>
        <v>1.1550797887684707</v>
      </c>
      <c r="G68" s="14">
        <f t="shared" si="26"/>
        <v>1.1093886581913046</v>
      </c>
      <c r="H68" s="14">
        <f t="shared" si="26"/>
        <v>1.0763592386606122</v>
      </c>
      <c r="I68" s="14">
        <f t="shared" si="26"/>
        <v>1.0689398626472388</v>
      </c>
      <c r="J68" s="14">
        <f t="shared" si="26"/>
        <v>1.0477415008726498</v>
      </c>
      <c r="K68" s="14">
        <f t="shared" si="26"/>
        <v>1.027172450273123</v>
      </c>
      <c r="L68" s="14">
        <f t="shared" si="26"/>
        <v>1.0175853786971953</v>
      </c>
      <c r="M68" s="14">
        <f t="shared" si="26"/>
        <v>1.008984839054119</v>
      </c>
      <c r="N68" s="14">
        <f t="shared" si="26"/>
        <v>1.0046378984614917</v>
      </c>
      <c r="O68" s="14">
        <f t="shared" si="26"/>
        <v>1.0024010876585963</v>
      </c>
      <c r="P68" s="14">
        <f t="shared" si="26"/>
        <v>1.0012117803114662</v>
      </c>
      <c r="Q68" s="14">
        <f t="shared" si="26"/>
        <v>1.0006145622057774</v>
      </c>
      <c r="R68" s="14">
        <f t="shared" si="26"/>
        <v>1.0003368411559628</v>
      </c>
      <c r="S68" s="14">
        <f t="shared" si="26"/>
        <v>1.0001348733432311</v>
      </c>
      <c r="T68" s="14">
        <f t="shared" si="26"/>
        <v>1.0000707066838439</v>
      </c>
      <c r="U68" s="14">
        <f t="shared" si="26"/>
        <v>1.0000333601317832</v>
      </c>
      <c r="V68" s="14">
        <f t="shared" si="26"/>
        <v>1.0000096789191122</v>
      </c>
      <c r="W68" s="14">
        <f t="shared" si="26"/>
        <v>1.000002161159941</v>
      </c>
      <c r="X68" s="14">
        <f t="shared" si="26"/>
        <v>1.0000005638485778</v>
      </c>
      <c r="Y68" s="14">
        <f t="shared" si="26"/>
        <v>1.0000005817567423</v>
      </c>
      <c r="Z68" s="14">
        <f t="shared" si="26"/>
        <v>1.0000010865602078</v>
      </c>
      <c r="AA68" s="14"/>
    </row>
    <row r="69" spans="2:27" x14ac:dyDescent="0.25">
      <c r="C69" s="7" t="s">
        <v>48</v>
      </c>
      <c r="D69" s="15">
        <f>AVERAGE(D44:D66)</f>
        <v>1.6796730996291283</v>
      </c>
      <c r="E69" s="15">
        <f t="shared" ref="E69:Z69" si="27">AVERAGE(E44:E66)</f>
        <v>1.2576672287438593</v>
      </c>
      <c r="F69" s="15">
        <f t="shared" si="27"/>
        <v>1.1731657658158374</v>
      </c>
      <c r="G69" s="15">
        <f t="shared" si="27"/>
        <v>1.1210929952040893</v>
      </c>
      <c r="H69" s="15">
        <f t="shared" si="27"/>
        <v>1.086892782447326</v>
      </c>
      <c r="I69" s="15">
        <f t="shared" si="27"/>
        <v>1.0780719461705697</v>
      </c>
      <c r="J69" s="15">
        <f t="shared" si="27"/>
        <v>1.0657467039409561</v>
      </c>
      <c r="K69" s="15">
        <f t="shared" si="27"/>
        <v>1.0288467043541492</v>
      </c>
      <c r="L69" s="15">
        <f t="shared" si="27"/>
        <v>1.0224050141634786</v>
      </c>
      <c r="M69" s="15">
        <f t="shared" si="27"/>
        <v>1.0104859687741763</v>
      </c>
      <c r="N69" s="15">
        <f t="shared" si="27"/>
        <v>1.0067345314117064</v>
      </c>
      <c r="O69" s="15">
        <f t="shared" si="27"/>
        <v>1.0027244309196199</v>
      </c>
      <c r="P69" s="15">
        <f t="shared" si="27"/>
        <v>1.0013101638351005</v>
      </c>
      <c r="Q69" s="15">
        <f t="shared" si="27"/>
        <v>1.0006656617067455</v>
      </c>
      <c r="R69" s="15">
        <f t="shared" si="27"/>
        <v>1.000374487458352</v>
      </c>
      <c r="S69" s="15">
        <f t="shared" si="27"/>
        <v>1.0001464760676515</v>
      </c>
      <c r="T69" s="15">
        <f t="shared" si="27"/>
        <v>1.0000713801120527</v>
      </c>
      <c r="U69" s="15">
        <f t="shared" si="27"/>
        <v>1.0000340697520711</v>
      </c>
      <c r="V69" s="15">
        <f t="shared" si="27"/>
        <v>1.0000101302128652</v>
      </c>
      <c r="W69" s="15">
        <f t="shared" si="27"/>
        <v>1.0000035762548798</v>
      </c>
      <c r="X69" s="15">
        <f t="shared" si="27"/>
        <v>1.0000013110873434</v>
      </c>
      <c r="Y69" s="15">
        <f t="shared" si="27"/>
        <v>1.0000005817567423</v>
      </c>
      <c r="Z69" s="15">
        <f t="shared" si="27"/>
        <v>1.0000010865602078</v>
      </c>
      <c r="AA69" s="15"/>
    </row>
    <row r="70" spans="2:27" x14ac:dyDescent="0.25">
      <c r="C70" s="7" t="s">
        <v>46</v>
      </c>
      <c r="D70">
        <f>D69*0.8</f>
        <v>1.3437384797033027</v>
      </c>
      <c r="E70">
        <f t="shared" ref="E70:Z70" si="28">E69*0.8</f>
        <v>1.0061337829950874</v>
      </c>
      <c r="F70">
        <f t="shared" si="28"/>
        <v>0.93853261265266996</v>
      </c>
      <c r="G70">
        <f t="shared" si="28"/>
        <v>0.89687439616327147</v>
      </c>
      <c r="H70">
        <f t="shared" si="28"/>
        <v>0.86951422595786088</v>
      </c>
      <c r="I70">
        <f t="shared" si="28"/>
        <v>0.86245755693645576</v>
      </c>
      <c r="J70">
        <f t="shared" si="28"/>
        <v>0.85259736315276491</v>
      </c>
      <c r="K70">
        <f t="shared" si="28"/>
        <v>0.82307736348331939</v>
      </c>
      <c r="L70">
        <f t="shared" si="28"/>
        <v>0.81792401133078296</v>
      </c>
      <c r="M70">
        <f t="shared" si="28"/>
        <v>0.80838877501934103</v>
      </c>
      <c r="N70">
        <f t="shared" si="28"/>
        <v>0.80538762512936524</v>
      </c>
      <c r="O70">
        <f t="shared" si="28"/>
        <v>0.80217954473569597</v>
      </c>
      <c r="P70">
        <f t="shared" si="28"/>
        <v>0.80104813106808048</v>
      </c>
      <c r="Q70">
        <f t="shared" si="28"/>
        <v>0.80053252936539643</v>
      </c>
      <c r="R70">
        <f t="shared" si="28"/>
        <v>0.8002995899666816</v>
      </c>
      <c r="S70">
        <f t="shared" si="28"/>
        <v>0.8001171808541212</v>
      </c>
      <c r="T70">
        <f t="shared" si="28"/>
        <v>0.80005710408964215</v>
      </c>
      <c r="U70">
        <f t="shared" si="28"/>
        <v>0.8000272558016569</v>
      </c>
      <c r="V70">
        <f t="shared" si="28"/>
        <v>0.80000810417029222</v>
      </c>
      <c r="W70">
        <f t="shared" si="28"/>
        <v>0.80000286100390383</v>
      </c>
      <c r="X70">
        <f t="shared" si="28"/>
        <v>0.80000104886987478</v>
      </c>
      <c r="Y70">
        <f t="shared" si="28"/>
        <v>0.80000046540539393</v>
      </c>
      <c r="Z70">
        <f t="shared" si="28"/>
        <v>0.80000086924816627</v>
      </c>
    </row>
    <row r="71" spans="2:27" x14ac:dyDescent="0.25">
      <c r="C71" s="7" t="s">
        <v>49</v>
      </c>
      <c r="D71">
        <f>D69*1.2</f>
        <v>2.015607719554954</v>
      </c>
      <c r="E71">
        <f t="shared" ref="E71:Z71" si="29">E69*1.2</f>
        <v>1.5092006744926312</v>
      </c>
      <c r="F71">
        <f t="shared" si="29"/>
        <v>1.4077989189790048</v>
      </c>
      <c r="G71">
        <f t="shared" si="29"/>
        <v>1.3453115942449072</v>
      </c>
      <c r="H71">
        <f t="shared" si="29"/>
        <v>1.3042713389367913</v>
      </c>
      <c r="I71">
        <f t="shared" si="29"/>
        <v>1.2936863354046835</v>
      </c>
      <c r="J71">
        <f t="shared" si="29"/>
        <v>1.2788960447291473</v>
      </c>
      <c r="K71">
        <f t="shared" si="29"/>
        <v>1.234616045224979</v>
      </c>
      <c r="L71">
        <f t="shared" si="29"/>
        <v>1.2268860169961744</v>
      </c>
      <c r="M71">
        <f t="shared" si="29"/>
        <v>1.2125831625290115</v>
      </c>
      <c r="N71">
        <f t="shared" si="29"/>
        <v>1.2080814376940476</v>
      </c>
      <c r="O71">
        <f t="shared" si="29"/>
        <v>1.2032693171035438</v>
      </c>
      <c r="P71">
        <f t="shared" si="29"/>
        <v>1.2015721966021207</v>
      </c>
      <c r="Q71">
        <f t="shared" si="29"/>
        <v>1.2007987940480946</v>
      </c>
      <c r="R71">
        <f t="shared" si="29"/>
        <v>1.2004493849500224</v>
      </c>
      <c r="S71">
        <f t="shared" si="29"/>
        <v>1.2001757712811818</v>
      </c>
      <c r="T71">
        <f t="shared" si="29"/>
        <v>1.2000856561344631</v>
      </c>
      <c r="U71">
        <f t="shared" si="29"/>
        <v>1.2000408837024852</v>
      </c>
      <c r="V71">
        <f t="shared" si="29"/>
        <v>1.2000121562554382</v>
      </c>
      <c r="W71">
        <f t="shared" si="29"/>
        <v>1.2000042915058557</v>
      </c>
      <c r="X71">
        <f t="shared" si="29"/>
        <v>1.2000015733048119</v>
      </c>
      <c r="Y71">
        <f t="shared" si="29"/>
        <v>1.2000006981080908</v>
      </c>
      <c r="Z71">
        <f t="shared" si="29"/>
        <v>1.2000013038722492</v>
      </c>
    </row>
    <row r="72" spans="2:27" x14ac:dyDescent="0.25">
      <c r="C72" s="7"/>
    </row>
    <row r="76" spans="2:27" x14ac:dyDescent="0.25">
      <c r="J76" s="1"/>
    </row>
    <row r="77" spans="2:27" x14ac:dyDescent="0.25">
      <c r="F77" s="153" t="s">
        <v>36</v>
      </c>
      <c r="G77" s="153"/>
      <c r="H77" s="153"/>
      <c r="I77" s="153"/>
      <c r="J77" s="154" t="s">
        <v>37</v>
      </c>
      <c r="K77" s="154"/>
      <c r="L77" s="154"/>
      <c r="M77" s="154"/>
    </row>
    <row r="78" spans="2:27" x14ac:dyDescent="0.25">
      <c r="D78" s="4" t="s">
        <v>33</v>
      </c>
      <c r="E78" s="4" t="s">
        <v>34</v>
      </c>
      <c r="F78" s="4" t="s">
        <v>38</v>
      </c>
      <c r="G78" s="4" t="s">
        <v>39</v>
      </c>
      <c r="H78" s="4" t="s">
        <v>40</v>
      </c>
      <c r="I78" s="4" t="s">
        <v>41</v>
      </c>
      <c r="J78" s="4" t="s">
        <v>38</v>
      </c>
      <c r="K78" s="4" t="s">
        <v>39</v>
      </c>
      <c r="L78" s="4" t="s">
        <v>40</v>
      </c>
      <c r="M78" s="4" t="s">
        <v>41</v>
      </c>
    </row>
    <row r="79" spans="2:27" x14ac:dyDescent="0.25">
      <c r="B79">
        <v>24</v>
      </c>
      <c r="C79" s="7" t="s">
        <v>8</v>
      </c>
      <c r="D79" s="1">
        <v>30470484.27272727</v>
      </c>
      <c r="E79" s="1" cm="1">
        <f t="array" ref="E79">INDEX(D16:AA16,$B79)</f>
        <v>14725385</v>
      </c>
      <c r="F79" s="5">
        <f>+'1_CL'!AA4</f>
        <v>14725385</v>
      </c>
      <c r="G79" s="58">
        <f>+'1_BF'!I8</f>
        <v>14725385</v>
      </c>
      <c r="H79" s="79">
        <f>+'1_CC'!I8</f>
        <v>14725385</v>
      </c>
      <c r="I79" s="1"/>
      <c r="J79" s="1">
        <f>+'1_CL'!AC4</f>
        <v>0</v>
      </c>
      <c r="K79" s="5">
        <f>+'1_BF'!H8</f>
        <v>0</v>
      </c>
      <c r="L79" s="79">
        <f>+'1_CC'!H8</f>
        <v>0</v>
      </c>
    </row>
    <row r="80" spans="2:27" x14ac:dyDescent="0.25">
      <c r="B80">
        <f>+B79-1</f>
        <v>23</v>
      </c>
      <c r="C80" s="7" t="s">
        <v>9</v>
      </c>
      <c r="D80" s="1">
        <v>35502399.818181813</v>
      </c>
      <c r="E80" s="1" cm="1">
        <f t="array" ref="E80">INDEX(D17:AA17,$B80)</f>
        <v>17735279</v>
      </c>
      <c r="F80" s="5">
        <f>+'1_CL'!AA5</f>
        <v>17735298.270448435</v>
      </c>
      <c r="G80" s="58">
        <f>+'1_BF'!I9</f>
        <v>17735300.216499154</v>
      </c>
      <c r="H80" s="79">
        <f>+'1_CC'!I9</f>
        <v>17735300.381189957</v>
      </c>
      <c r="I80" s="1"/>
      <c r="J80" s="1">
        <f>+'1_CL'!AC5</f>
        <v>19.270448435097933</v>
      </c>
      <c r="K80" s="5">
        <f>+'1_BF'!H9</f>
        <v>21.216499155279436</v>
      </c>
      <c r="L80" s="79">
        <f>+'1_CC'!H9</f>
        <v>21.381189957795133</v>
      </c>
    </row>
    <row r="81" spans="2:12" x14ac:dyDescent="0.25">
      <c r="B81">
        <f t="shared" ref="B81:B102" si="30">+B80-1</f>
        <v>22</v>
      </c>
      <c r="C81" s="7" t="s">
        <v>11</v>
      </c>
      <c r="D81" s="1">
        <v>15118898.818181816</v>
      </c>
      <c r="E81" s="1" cm="1">
        <f t="array" ref="E81">INDEX(D18:AA18,$B81)</f>
        <v>11881761</v>
      </c>
      <c r="F81" s="5">
        <f>+'1_CL'!AA6</f>
        <v>11881780.864941547</v>
      </c>
      <c r="G81" s="58">
        <f>+'1_BF'!I10</f>
        <v>11881774.902362328</v>
      </c>
      <c r="H81" s="79">
        <f>+'1_CC'!I10</f>
        <v>11881775.010277927</v>
      </c>
      <c r="I81" s="1"/>
      <c r="J81" s="1">
        <f>+'1_CL'!AC6</f>
        <v>19.864941546693444</v>
      </c>
      <c r="K81" s="5">
        <f>+'1_BF'!H10</f>
        <v>13.902362328508669</v>
      </c>
      <c r="L81" s="79">
        <f>+'1_CC'!H10</f>
        <v>14.010277927212726</v>
      </c>
    </row>
    <row r="82" spans="2:12" x14ac:dyDescent="0.25">
      <c r="B82">
        <f t="shared" si="30"/>
        <v>21</v>
      </c>
      <c r="C82" s="7" t="s">
        <v>12</v>
      </c>
      <c r="D82" s="1">
        <v>47069939.18181818</v>
      </c>
      <c r="E82" s="1" cm="1">
        <f t="array" ref="E82">INDEX(D19:AA19,$B82)</f>
        <v>19461650</v>
      </c>
      <c r="F82" s="5">
        <f>+'1_CL'!AA7</f>
        <v>19461704.92135096</v>
      </c>
      <c r="G82" s="58">
        <f>+'1_BF'!I11</f>
        <v>19461723.057810858</v>
      </c>
      <c r="H82" s="79">
        <f>+'1_CC'!I11</f>
        <v>19461723.624914289</v>
      </c>
      <c r="I82" s="1"/>
      <c r="J82" s="1">
        <f>+'1_CL'!AC7</f>
        <v>54.921350959688425</v>
      </c>
      <c r="K82" s="5">
        <f>+'1_BF'!H11</f>
        <v>73.057810856888437</v>
      </c>
      <c r="L82" s="79">
        <f>+'1_CC'!H11</f>
        <v>73.624914289551938</v>
      </c>
    </row>
    <row r="83" spans="2:12" x14ac:dyDescent="0.25">
      <c r="B83">
        <f t="shared" si="30"/>
        <v>20</v>
      </c>
      <c r="C83" s="7" t="s">
        <v>13</v>
      </c>
      <c r="D83" s="1">
        <v>10724970.895859487</v>
      </c>
      <c r="E83" s="1" cm="1">
        <f t="array" ref="E83">INDEX(D20:AA20,$B83)</f>
        <v>11816173</v>
      </c>
      <c r="F83" s="5">
        <f>+'1_CL'!AA8</f>
        <v>11816242.088412698</v>
      </c>
      <c r="G83" s="58">
        <f>+'1_BF'!I12</f>
        <v>11816207.489321176</v>
      </c>
      <c r="H83" s="79">
        <f>+'1_CC'!I12</f>
        <v>11816207.757040838</v>
      </c>
      <c r="I83" s="1"/>
      <c r="J83" s="1">
        <f>+'1_CL'!AC8</f>
        <v>69.088412698358297</v>
      </c>
      <c r="K83" s="5">
        <f>+'1_BF'!H12</f>
        <v>34.489321175524815</v>
      </c>
      <c r="L83" s="79">
        <f>+'1_CC'!H12</f>
        <v>34.757040837522176</v>
      </c>
    </row>
    <row r="84" spans="2:12" x14ac:dyDescent="0.25">
      <c r="B84">
        <f t="shared" si="30"/>
        <v>19</v>
      </c>
      <c r="C84" s="7" t="s">
        <v>14</v>
      </c>
      <c r="D84" s="1">
        <v>19800248.774532568</v>
      </c>
      <c r="E84" s="1" cm="1">
        <f t="array" ref="E84">INDEX(D21:AA21,$B84)</f>
        <v>13048471</v>
      </c>
      <c r="F84" s="5">
        <f>+'1_CL'!AA9</f>
        <v>13048673.949632177</v>
      </c>
      <c r="G84" s="58">
        <f>+'1_BF'!I13</f>
        <v>13048640.377307743</v>
      </c>
      <c r="H84" s="79">
        <f>+'1_CC'!I13</f>
        <v>13048641.692080954</v>
      </c>
      <c r="I84" s="1"/>
      <c r="J84" s="1">
        <f>+'1_CL'!AC9</f>
        <v>202.94963217712939</v>
      </c>
      <c r="K84" s="5">
        <f>+'1_BF'!H13</f>
        <v>169.37730774286723</v>
      </c>
      <c r="L84" s="79">
        <f>+'1_CC'!H13</f>
        <v>170.69208095478891</v>
      </c>
    </row>
    <row r="85" spans="2:12" x14ac:dyDescent="0.25">
      <c r="B85">
        <f t="shared" si="30"/>
        <v>18</v>
      </c>
      <c r="C85" s="7" t="s">
        <v>15</v>
      </c>
      <c r="D85" s="1">
        <v>28289118.255445365</v>
      </c>
      <c r="E85" s="1" cm="1">
        <f t="array" ref="E85">INDEX(D22:AA22,$B85)</f>
        <v>10840140</v>
      </c>
      <c r="F85" s="5">
        <f>+'1_CL'!AA10</f>
        <v>10840662.183077399</v>
      </c>
      <c r="G85" s="58">
        <f>+'1_BF'!I14</f>
        <v>10840889.461077001</v>
      </c>
      <c r="H85" s="79">
        <f>+'1_CC'!I14</f>
        <v>10840895.278688349</v>
      </c>
      <c r="I85" s="1"/>
      <c r="J85" s="1">
        <f>+'1_CL'!AC10</f>
        <v>522.1830773986876</v>
      </c>
      <c r="K85" s="5">
        <f>+'1_BF'!H14</f>
        <v>749.46107700144819</v>
      </c>
      <c r="L85" s="79">
        <f>+'1_CC'!H14</f>
        <v>755.27868834827279</v>
      </c>
    </row>
    <row r="86" spans="2:12" x14ac:dyDescent="0.25">
      <c r="B86">
        <f t="shared" si="30"/>
        <v>17</v>
      </c>
      <c r="C86" s="7" t="s">
        <v>16</v>
      </c>
      <c r="D86" s="1">
        <v>30704505.89934551</v>
      </c>
      <c r="E86" s="1" cm="1">
        <f t="array" ref="E86">INDEX(D23:AA23,$B86)</f>
        <v>14111136</v>
      </c>
      <c r="F86" s="5">
        <f>+'1_CL'!AA11</f>
        <v>14112788.421233281</v>
      </c>
      <c r="G86" s="58">
        <f>+'1_BF'!I15</f>
        <v>14113113.300785299</v>
      </c>
      <c r="H86" s="79">
        <f>+'1_CC'!I15</f>
        <v>14113128.649370886</v>
      </c>
      <c r="I86" s="1"/>
      <c r="J86" s="1">
        <f>+'1_CL'!AC11</f>
        <v>1652.4212332814932</v>
      </c>
      <c r="K86" s="5">
        <f>+'1_BF'!H15</f>
        <v>1977.3007852990263</v>
      </c>
      <c r="L86" s="79">
        <f>+'1_CC'!H15</f>
        <v>1992.6493708862381</v>
      </c>
    </row>
    <row r="87" spans="2:12" x14ac:dyDescent="0.25">
      <c r="B87">
        <f t="shared" si="30"/>
        <v>16</v>
      </c>
      <c r="C87" s="7" t="s">
        <v>17</v>
      </c>
      <c r="D87" s="1">
        <v>18880428.334744815</v>
      </c>
      <c r="E87" s="1" cm="1">
        <f t="array" ref="E87">INDEX(D24:AA24,$B87)</f>
        <v>15729334</v>
      </c>
      <c r="F87" s="5">
        <f>+'1_CL'!AA12</f>
        <v>15733378.684043568</v>
      </c>
      <c r="G87" s="58">
        <f>+'1_BF'!I16</f>
        <v>15732003.544337247</v>
      </c>
      <c r="H87" s="79">
        <f>+'1_CC'!I16</f>
        <v>15732024.266389269</v>
      </c>
      <c r="I87" s="1"/>
      <c r="J87" s="1">
        <f>+'1_CL'!AC12</f>
        <v>4044.6840435676277</v>
      </c>
      <c r="K87" s="5">
        <f>+'1_BF'!H16</f>
        <v>2669.544337245638</v>
      </c>
      <c r="L87" s="79">
        <f>+'1_CC'!H16</f>
        <v>2690.2663892691367</v>
      </c>
    </row>
    <row r="88" spans="2:12" x14ac:dyDescent="0.25">
      <c r="B88">
        <f t="shared" si="30"/>
        <v>15</v>
      </c>
      <c r="C88" s="7" t="s">
        <v>18</v>
      </c>
      <c r="D88" s="1">
        <v>17119243.330428012</v>
      </c>
      <c r="E88" s="1" cm="1">
        <f t="array" ref="E88">INDEX(D25:AA25,$B88)</f>
        <v>14343596</v>
      </c>
      <c r="F88" s="5">
        <f>+'1_CL'!AA13</f>
        <v>14351697.782536028</v>
      </c>
      <c r="G88" s="58">
        <f>+'1_BF'!I17</f>
        <v>14348911.260522507</v>
      </c>
      <c r="H88" s="79">
        <f>+'1_CC'!I17</f>
        <v>14348952.519663077</v>
      </c>
      <c r="I88" s="1"/>
      <c r="J88" s="1">
        <f>+'1_CL'!AC13</f>
        <v>8101.782536027953</v>
      </c>
      <c r="K88" s="5">
        <f>+'1_BF'!H17</f>
        <v>5315.2605225079142</v>
      </c>
      <c r="L88" s="79">
        <f>+'1_CC'!H17</f>
        <v>5356.5196630770133</v>
      </c>
    </row>
    <row r="89" spans="2:12" x14ac:dyDescent="0.25">
      <c r="B89">
        <f t="shared" si="30"/>
        <v>14</v>
      </c>
      <c r="C89" s="7" t="s">
        <v>19</v>
      </c>
      <c r="D89" s="1">
        <v>41471482.106259212</v>
      </c>
      <c r="E89" s="1" cm="1">
        <f t="array" ref="E89">INDEX(D26:AA26,$B89)</f>
        <v>15119935</v>
      </c>
      <c r="F89" s="5">
        <f>+'1_CL'!AA14</f>
        <v>15137386.426473489</v>
      </c>
      <c r="G89" s="58">
        <f>+'1_BF'!I18</f>
        <v>15146231.156759406</v>
      </c>
      <c r="H89" s="79">
        <f>+'1_CC'!I18</f>
        <v>15146435.277860068</v>
      </c>
      <c r="I89" s="1"/>
      <c r="J89" s="1">
        <f>+'1_CL'!AC14</f>
        <v>17451.426473489031</v>
      </c>
      <c r="K89" s="5">
        <f>+'1_BF'!H18</f>
        <v>26296.156759405287</v>
      </c>
      <c r="L89" s="79">
        <f>+'1_CC'!H18</f>
        <v>26500.277860067999</v>
      </c>
    </row>
    <row r="90" spans="2:12" x14ac:dyDescent="0.25">
      <c r="B90">
        <f t="shared" si="30"/>
        <v>13</v>
      </c>
      <c r="C90" s="7" t="s">
        <v>20</v>
      </c>
      <c r="D90" s="1">
        <v>35368087.422613502</v>
      </c>
      <c r="E90" s="1" cm="1">
        <f t="array" ref="E90">INDEX(D27:AA27,$B90)</f>
        <v>18730024</v>
      </c>
      <c r="F90" s="5">
        <f>+'1_CL'!AA15</f>
        <v>18772945.810095321</v>
      </c>
      <c r="G90" s="58">
        <f>+'1_BF'!I19</f>
        <v>18774499.400447518</v>
      </c>
      <c r="H90" s="79">
        <f>+'1_CC'!I19</f>
        <v>18774844.635980409</v>
      </c>
      <c r="I90" s="1"/>
      <c r="J90" s="1">
        <f>+'1_CL'!AC15</f>
        <v>42921.810095321387</v>
      </c>
      <c r="K90" s="5">
        <f>+'1_BF'!H19</f>
        <v>44475.400447519074</v>
      </c>
      <c r="L90" s="79">
        <f>+'1_CC'!H19</f>
        <v>44820.635980407933</v>
      </c>
    </row>
    <row r="91" spans="2:12" x14ac:dyDescent="0.25">
      <c r="B91">
        <f t="shared" si="30"/>
        <v>12</v>
      </c>
      <c r="C91" s="7" t="s">
        <v>21</v>
      </c>
      <c r="D91" s="1">
        <v>26145159.833583504</v>
      </c>
      <c r="E91" s="1" cm="1">
        <f t="array" ref="E91">INDEX(D28:AA28,$B91)</f>
        <v>19627354</v>
      </c>
      <c r="F91" s="5">
        <f>+'1_CL'!AA16</f>
        <v>19716643.649264485</v>
      </c>
      <c r="G91" s="58">
        <f>+'1_BF'!I20</f>
        <v>19692475.15886293</v>
      </c>
      <c r="H91" s="79">
        <f>+'1_CC'!I20</f>
        <v>19692980.654884461</v>
      </c>
      <c r="I91" s="1"/>
      <c r="J91" s="1">
        <f>+'1_CL'!AC16</f>
        <v>89289.649264484644</v>
      </c>
      <c r="K91" s="5">
        <f>+'1_BF'!H20</f>
        <v>65121.158862928081</v>
      </c>
      <c r="L91" s="79">
        <f>+'1_CC'!H20</f>
        <v>65626.654884462769</v>
      </c>
    </row>
    <row r="92" spans="2:12" x14ac:dyDescent="0.25">
      <c r="B92">
        <f t="shared" si="30"/>
        <v>11</v>
      </c>
      <c r="C92" s="7" t="s">
        <v>22</v>
      </c>
      <c r="D92" s="1">
        <v>46483438.979684092</v>
      </c>
      <c r="E92" s="1" cm="1">
        <f t="array" ref="E92">INDEX(D29:AA29,$B92)</f>
        <v>20049671</v>
      </c>
      <c r="F92" s="5">
        <f>+'1_CL'!AA17</f>
        <v>20218659.846320331</v>
      </c>
      <c r="G92" s="58">
        <f>+'1_BF'!I21</f>
        <v>20263352.348429456</v>
      </c>
      <c r="H92" s="79">
        <f>+'1_CC'!I21</f>
        <v>20265011.027012475</v>
      </c>
      <c r="I92" s="1"/>
      <c r="J92" s="1">
        <f>+'1_CL'!AC17</f>
        <v>168988.8463203311</v>
      </c>
      <c r="K92" s="5">
        <f>+'1_BF'!H21</f>
        <v>213681.34842945568</v>
      </c>
      <c r="L92" s="79">
        <f>+'1_CC'!H21</f>
        <v>215340.02701247379</v>
      </c>
    </row>
    <row r="93" spans="2:12" x14ac:dyDescent="0.25">
      <c r="B93">
        <f t="shared" si="30"/>
        <v>10</v>
      </c>
      <c r="C93" s="7" t="s">
        <v>23</v>
      </c>
      <c r="D93" s="1">
        <v>28927094.426070891</v>
      </c>
      <c r="E93" s="1" cm="1">
        <f t="array" ref="E93">INDEX(D30:AA30,$B93)</f>
        <v>20688336</v>
      </c>
      <c r="F93" s="5">
        <f>+'1_CL'!AA18</f>
        <v>21031677.336185958</v>
      </c>
      <c r="G93" s="58">
        <f>+'1_BF'!I22</f>
        <v>20948064.546677779</v>
      </c>
      <c r="H93" s="79">
        <f>+'1_CC'!I22</f>
        <v>20950080.661705784</v>
      </c>
      <c r="I93" s="1"/>
      <c r="J93" s="1">
        <f>+'1_CL'!AC18</f>
        <v>343341.33618595824</v>
      </c>
      <c r="K93" s="5">
        <f>+'1_BF'!H22</f>
        <v>259728.54667778016</v>
      </c>
      <c r="L93" s="79">
        <f>+'1_CC'!H22</f>
        <v>261744.66170578444</v>
      </c>
    </row>
    <row r="94" spans="2:12" x14ac:dyDescent="0.25">
      <c r="B94">
        <f t="shared" si="30"/>
        <v>9</v>
      </c>
      <c r="C94" s="7" t="s">
        <v>24</v>
      </c>
      <c r="D94" s="1">
        <v>62474506.661254242</v>
      </c>
      <c r="E94" s="1" cm="1">
        <f t="array" ref="E94">INDEX(D31:AA31,$B94)</f>
        <v>25647723</v>
      </c>
      <c r="F94" s="5">
        <f>+'1_CL'!AA19</f>
        <v>26479754.140127029</v>
      </c>
      <c r="G94" s="58">
        <f>+'1_BF'!I23</f>
        <v>26727393.305930313</v>
      </c>
      <c r="H94" s="79">
        <f>+'1_CC'!I23</f>
        <v>26735774.131052997</v>
      </c>
      <c r="I94" s="1"/>
      <c r="J94" s="1">
        <f>+'1_CL'!AC19</f>
        <v>832031.14012702927</v>
      </c>
      <c r="K94" s="5">
        <f>+'1_BF'!H23</f>
        <v>1079670.3059303118</v>
      </c>
      <c r="L94" s="79">
        <f>+'1_CC'!H23</f>
        <v>1088051.1310529986</v>
      </c>
    </row>
    <row r="95" spans="2:12" x14ac:dyDescent="0.25">
      <c r="B95">
        <f t="shared" si="30"/>
        <v>8</v>
      </c>
      <c r="C95" s="7" t="s">
        <v>25</v>
      </c>
      <c r="D95" s="1">
        <v>40231086.53669332</v>
      </c>
      <c r="E95" s="1" cm="1">
        <f t="array" ref="E95">INDEX(D32:AA32,$B95)</f>
        <v>26811464</v>
      </c>
      <c r="F95" s="5">
        <f>+'1_CL'!AA20</f>
        <v>28473105.446898881</v>
      </c>
      <c r="G95" s="58">
        <f>+'1_BF'!I24</f>
        <v>28102763.346757218</v>
      </c>
      <c r="H95" s="79">
        <f>+'1_CC'!I24</f>
        <v>28112786.919644952</v>
      </c>
      <c r="I95" s="1"/>
      <c r="J95" s="1">
        <f>+'1_CL'!AC20</f>
        <v>1661641.4468988813</v>
      </c>
      <c r="K95" s="5">
        <f>+'1_BF'!H24</f>
        <v>1291299.3467572201</v>
      </c>
      <c r="L95" s="79">
        <f>+'1_CC'!H24</f>
        <v>1301322.9196449518</v>
      </c>
    </row>
    <row r="96" spans="2:12" x14ac:dyDescent="0.25">
      <c r="B96">
        <f t="shared" si="30"/>
        <v>7</v>
      </c>
      <c r="C96" s="7" t="s">
        <v>26</v>
      </c>
      <c r="D96" s="1">
        <v>50080346.078834943</v>
      </c>
      <c r="E96" s="1" cm="1">
        <f t="array" ref="E96">INDEX(D33:AA33,$B96)</f>
        <v>21399003</v>
      </c>
      <c r="F96" s="5">
        <f>+'1_CL'!AA21</f>
        <v>24007860.39405895</v>
      </c>
      <c r="G96" s="58">
        <f>+'1_BF'!I25</f>
        <v>24392142.057840504</v>
      </c>
      <c r="H96" s="79">
        <f>+'1_CC'!I25</f>
        <v>24415375.979227304</v>
      </c>
      <c r="I96" s="1"/>
      <c r="J96" s="1">
        <f>+'1_CL'!AC21</f>
        <v>2608857.3940589502</v>
      </c>
      <c r="K96" s="5">
        <f>+'1_BF'!H25</f>
        <v>2993139.0578405047</v>
      </c>
      <c r="L96" s="79">
        <f>+'1_CC'!H25</f>
        <v>3016372.9792273026</v>
      </c>
    </row>
    <row r="97" spans="2:27" x14ac:dyDescent="0.25">
      <c r="B97">
        <f t="shared" si="30"/>
        <v>6</v>
      </c>
      <c r="C97" s="7" t="s">
        <v>27</v>
      </c>
      <c r="D97" s="1">
        <v>68225324.210713387</v>
      </c>
      <c r="E97" s="1" cm="1">
        <f t="array" ref="E97">INDEX(D34:AA34,$B97)</f>
        <v>33589263</v>
      </c>
      <c r="F97" s="5">
        <f>+'1_CL'!AA22</f>
        <v>41911015.439681679</v>
      </c>
      <c r="G97" s="58">
        <f>+'1_BF'!I26</f>
        <v>41039925.760930471</v>
      </c>
      <c r="H97" s="79">
        <f>+'1_CC'!I26</f>
        <v>41097760.732684806</v>
      </c>
      <c r="I97" s="1"/>
      <c r="J97" s="1">
        <f>+'1_CL'!AC22</f>
        <v>8321752.439681679</v>
      </c>
      <c r="K97" s="5">
        <f>+'1_BF'!H26</f>
        <v>7450662.7609304739</v>
      </c>
      <c r="L97" s="79">
        <f>+'1_CC'!H26</f>
        <v>7508497.7326848088</v>
      </c>
    </row>
    <row r="98" spans="2:27" x14ac:dyDescent="0.25">
      <c r="B98">
        <f t="shared" si="30"/>
        <v>5</v>
      </c>
      <c r="C98" s="7" t="s">
        <v>28</v>
      </c>
      <c r="D98" s="1">
        <v>46727119.66625829</v>
      </c>
      <c r="E98" s="1" cm="1">
        <f t="array" ref="E98">INDEX(D35:AA35,$B98)</f>
        <v>21705785</v>
      </c>
      <c r="F98" s="5">
        <f>+'1_CL'!AA23</f>
        <v>29906164.262282506</v>
      </c>
      <c r="G98" s="58">
        <f>+'1_BF'!I27</f>
        <v>28752795.604745228</v>
      </c>
      <c r="H98" s="79">
        <f>+'1_CC'!I27</f>
        <v>28807497.269866228</v>
      </c>
      <c r="I98" s="1"/>
      <c r="J98" s="1">
        <f>+'1_CL'!AC23</f>
        <v>8200379.2622825056</v>
      </c>
      <c r="K98" s="5">
        <f>+'1_BF'!H27</f>
        <v>7047010.6047452269</v>
      </c>
      <c r="L98" s="79">
        <f>+'1_CC'!H27</f>
        <v>7101712.269866229</v>
      </c>
    </row>
    <row r="99" spans="2:27" x14ac:dyDescent="0.25">
      <c r="B99">
        <f t="shared" si="30"/>
        <v>4</v>
      </c>
      <c r="C99" s="7" t="s">
        <v>29</v>
      </c>
      <c r="D99" s="1">
        <v>63421725.274842381</v>
      </c>
      <c r="E99" s="1" cm="1">
        <f t="array" ref="E99">INDEX(D36:AA36,$B99)</f>
        <v>17306094</v>
      </c>
      <c r="F99" s="5">
        <f>+'1_CL'!AA24</f>
        <v>27705493.436663222</v>
      </c>
      <c r="G99" s="58">
        <f>+'1_BF'!I28</f>
        <v>30399212.900110878</v>
      </c>
      <c r="H99" s="79">
        <f>+'1_CC'!I28</f>
        <v>30500846.83336778</v>
      </c>
      <c r="I99" s="1"/>
      <c r="J99" s="1">
        <f>+'1_CL'!AC24</f>
        <v>10399399.436663222</v>
      </c>
      <c r="K99" s="5">
        <f>+'1_BF'!H28</f>
        <v>13093118.90011088</v>
      </c>
      <c r="L99" s="79">
        <f>+'1_CC'!H28</f>
        <v>13194752.83336778</v>
      </c>
    </row>
    <row r="100" spans="2:27" x14ac:dyDescent="0.25">
      <c r="B100">
        <f t="shared" si="30"/>
        <v>3</v>
      </c>
      <c r="C100" s="7" t="s">
        <v>30</v>
      </c>
      <c r="D100" s="1">
        <v>44130894.45352187</v>
      </c>
      <c r="E100" s="1" cm="1">
        <f t="array" ref="E100">INDEX(D37:AA37,$B100)</f>
        <v>15374462</v>
      </c>
      <c r="F100" s="5">
        <f>+'1_CL'!AA25</f>
        <v>30664068.484099515</v>
      </c>
      <c r="G100" s="58">
        <f>+'1_BF'!I29</f>
        <v>27476874.49247659</v>
      </c>
      <c r="H100" s="79">
        <f>+'1_CC'!I29</f>
        <v>27570818.173343755</v>
      </c>
      <c r="I100" s="1"/>
      <c r="J100" s="1">
        <f>+'1_CL'!AC25</f>
        <v>15289606.484099515</v>
      </c>
      <c r="K100" s="5">
        <f>+'1_BF'!H29</f>
        <v>12102412.492476592</v>
      </c>
      <c r="L100" s="79">
        <f>+'1_CC'!H29</f>
        <v>12196356.173343755</v>
      </c>
    </row>
    <row r="101" spans="2:27" x14ac:dyDescent="0.25">
      <c r="B101">
        <f t="shared" si="30"/>
        <v>2</v>
      </c>
      <c r="C101" s="7" t="s">
        <v>31</v>
      </c>
      <c r="D101" s="1">
        <v>35850380.695277527</v>
      </c>
      <c r="E101" s="1" cm="1">
        <f t="array" ref="E101">INDEX(D38:AA38,$B101)</f>
        <v>9321834</v>
      </c>
      <c r="F101" s="5">
        <f>+'1_CL'!AA26</f>
        <v>25053077.082726397</v>
      </c>
      <c r="G101" s="58">
        <f>+'1_BF'!I30</f>
        <v>21702911.114994261</v>
      </c>
      <c r="H101" s="79">
        <f>+'1_CC'!I30</f>
        <v>21799017.90015018</v>
      </c>
      <c r="I101" s="1"/>
      <c r="J101" s="1">
        <f>+'1_CL'!AC26</f>
        <v>15731243.082726397</v>
      </c>
      <c r="K101" s="5">
        <f>+'1_BF'!H30</f>
        <v>12381077.114994261</v>
      </c>
      <c r="L101" s="79">
        <f>+'1_CC'!H30</f>
        <v>12477183.90015018</v>
      </c>
    </row>
    <row r="102" spans="2:27" x14ac:dyDescent="0.25">
      <c r="B102">
        <f t="shared" si="30"/>
        <v>1</v>
      </c>
      <c r="C102" s="7" t="s">
        <v>32</v>
      </c>
      <c r="D102" s="1">
        <v>55736822.584780522</v>
      </c>
      <c r="E102" s="1" cm="1">
        <f t="array" ref="E102">INDEX(D39:AA39,$B102)</f>
        <v>5149958</v>
      </c>
      <c r="F102" s="5">
        <f>+'1_CL'!AA27</f>
        <v>29715992.930802129</v>
      </c>
      <c r="G102" s="58">
        <f>+'1_BF'!I31</f>
        <v>30492473.175446089</v>
      </c>
      <c r="H102" s="79">
        <f>+'1_CC'!I31</f>
        <v>30689191.735443387</v>
      </c>
      <c r="I102" s="1"/>
      <c r="J102" s="1">
        <f>+'1_CL'!AC27</f>
        <v>24566034.930802129</v>
      </c>
      <c r="K102" s="5">
        <f>+'1_BF'!H31</f>
        <v>25342515.175446089</v>
      </c>
      <c r="L102" s="79">
        <f>+'1_CC'!H31</f>
        <v>25539233.735443387</v>
      </c>
    </row>
    <row r="108" spans="2:27" ht="26.25" x14ac:dyDescent="0.4">
      <c r="C108" s="2" t="s">
        <v>35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10" spans="2:27" x14ac:dyDescent="0.25">
      <c r="D110" s="10">
        <v>1</v>
      </c>
      <c r="E110" s="10">
        <f>+D110+1</f>
        <v>2</v>
      </c>
      <c r="F110" s="10">
        <f t="shared" ref="F110:AA110" si="31">+E110+1</f>
        <v>3</v>
      </c>
      <c r="G110" s="10">
        <f t="shared" si="31"/>
        <v>4</v>
      </c>
      <c r="H110" s="10">
        <f t="shared" si="31"/>
        <v>5</v>
      </c>
      <c r="I110" s="10">
        <f t="shared" si="31"/>
        <v>6</v>
      </c>
      <c r="J110" s="10">
        <f t="shared" si="31"/>
        <v>7</v>
      </c>
      <c r="K110" s="10">
        <f t="shared" si="31"/>
        <v>8</v>
      </c>
      <c r="L110" s="10">
        <f t="shared" si="31"/>
        <v>9</v>
      </c>
      <c r="M110" s="10">
        <f t="shared" si="31"/>
        <v>10</v>
      </c>
      <c r="N110" s="10">
        <f t="shared" si="31"/>
        <v>11</v>
      </c>
      <c r="O110" s="10">
        <f t="shared" si="31"/>
        <v>12</v>
      </c>
      <c r="P110" s="10">
        <f t="shared" si="31"/>
        <v>13</v>
      </c>
      <c r="Q110" s="10">
        <f t="shared" si="31"/>
        <v>14</v>
      </c>
      <c r="R110" s="10">
        <f t="shared" si="31"/>
        <v>15</v>
      </c>
      <c r="S110" s="10">
        <f t="shared" si="31"/>
        <v>16</v>
      </c>
      <c r="T110" s="10">
        <f t="shared" si="31"/>
        <v>17</v>
      </c>
      <c r="U110" s="10">
        <f t="shared" si="31"/>
        <v>18</v>
      </c>
      <c r="V110" s="10">
        <f t="shared" si="31"/>
        <v>19</v>
      </c>
      <c r="W110" s="10">
        <f t="shared" si="31"/>
        <v>20</v>
      </c>
      <c r="X110" s="10">
        <f t="shared" si="31"/>
        <v>21</v>
      </c>
      <c r="Y110" s="10">
        <f t="shared" si="31"/>
        <v>22</v>
      </c>
      <c r="Z110" s="10">
        <f>+Y110+1</f>
        <v>23</v>
      </c>
      <c r="AA110" s="10">
        <f t="shared" si="31"/>
        <v>24</v>
      </c>
    </row>
    <row r="111" spans="2:27" x14ac:dyDescent="0.25">
      <c r="C111" s="7" t="s">
        <v>8</v>
      </c>
      <c r="D111" s="1">
        <v>6418198</v>
      </c>
      <c r="E111" s="1">
        <v>8351947</v>
      </c>
      <c r="F111" s="1">
        <v>9393090</v>
      </c>
      <c r="G111" s="1">
        <v>11183194</v>
      </c>
      <c r="H111" s="1">
        <v>12100800</v>
      </c>
      <c r="I111" s="1">
        <v>12721118</v>
      </c>
      <c r="J111" s="1">
        <v>13073728</v>
      </c>
      <c r="K111" s="1">
        <v>13548698</v>
      </c>
      <c r="L111" s="1">
        <v>13729852</v>
      </c>
      <c r="M111" s="1">
        <v>14178002</v>
      </c>
      <c r="N111" s="1">
        <v>14403018</v>
      </c>
      <c r="O111" s="1">
        <v>14589694</v>
      </c>
      <c r="P111" s="1">
        <v>14666170</v>
      </c>
      <c r="Q111" s="1">
        <v>14699145</v>
      </c>
      <c r="R111" s="1">
        <v>14709918</v>
      </c>
      <c r="S111" s="1">
        <v>14721902</v>
      </c>
      <c r="T111" s="1">
        <v>14723975</v>
      </c>
      <c r="U111" s="1">
        <v>14724778</v>
      </c>
      <c r="V111" s="1">
        <v>14725216</v>
      </c>
      <c r="W111" s="1">
        <v>14725343</v>
      </c>
      <c r="X111" s="1">
        <v>14725356</v>
      </c>
      <c r="Y111" s="1">
        <v>14725361</v>
      </c>
      <c r="Z111" s="1">
        <v>14725369</v>
      </c>
      <c r="AA111" s="1">
        <v>14725385</v>
      </c>
    </row>
    <row r="112" spans="2:27" x14ac:dyDescent="0.25">
      <c r="C112" s="7" t="s">
        <v>9</v>
      </c>
      <c r="D112" s="1">
        <v>7475822</v>
      </c>
      <c r="E112" s="1">
        <v>10450029</v>
      </c>
      <c r="F112" s="1">
        <v>12515657</v>
      </c>
      <c r="G112" s="1">
        <v>13149304</v>
      </c>
      <c r="H112" s="1">
        <v>14417681</v>
      </c>
      <c r="I112" s="1">
        <v>15145227</v>
      </c>
      <c r="J112" s="1">
        <v>15971980</v>
      </c>
      <c r="K112" s="1">
        <v>16442175</v>
      </c>
      <c r="L112" s="1">
        <v>16761977</v>
      </c>
      <c r="M112" s="1">
        <v>17230340</v>
      </c>
      <c r="N112" s="1">
        <v>17479823</v>
      </c>
      <c r="O112" s="1">
        <v>17658472</v>
      </c>
      <c r="P112" s="1">
        <v>17691106</v>
      </c>
      <c r="Q112" s="1">
        <v>17707511</v>
      </c>
      <c r="R112" s="1">
        <v>17727251</v>
      </c>
      <c r="S112" s="1">
        <v>17731572</v>
      </c>
      <c r="T112" s="1">
        <v>17733454</v>
      </c>
      <c r="U112" s="1">
        <v>17734435</v>
      </c>
      <c r="V112" s="1">
        <v>17734974</v>
      </c>
      <c r="W112" s="1">
        <v>17735197</v>
      </c>
      <c r="X112" s="1">
        <v>17735258</v>
      </c>
      <c r="Y112" s="1">
        <v>17735268</v>
      </c>
      <c r="Z112" s="1">
        <v>17735279</v>
      </c>
      <c r="AA112" s="6">
        <v>17735298.270448435</v>
      </c>
    </row>
    <row r="113" spans="3:27" x14ac:dyDescent="0.25">
      <c r="C113" s="7" t="s">
        <v>11</v>
      </c>
      <c r="D113" s="1">
        <v>4944676</v>
      </c>
      <c r="E113" s="1">
        <v>5651989</v>
      </c>
      <c r="F113" s="1">
        <v>6603749</v>
      </c>
      <c r="G113" s="1">
        <v>7627857</v>
      </c>
      <c r="H113" s="1">
        <v>8503366</v>
      </c>
      <c r="I113" s="1">
        <v>9687265</v>
      </c>
      <c r="J113" s="1">
        <v>10329156</v>
      </c>
      <c r="K113" s="1">
        <v>10705380</v>
      </c>
      <c r="L113" s="1">
        <v>11007279</v>
      </c>
      <c r="M113" s="1">
        <v>11432174</v>
      </c>
      <c r="N113" s="1">
        <v>11644639</v>
      </c>
      <c r="O113" s="1">
        <v>11802250</v>
      </c>
      <c r="P113" s="1">
        <v>11840837</v>
      </c>
      <c r="Q113" s="1">
        <v>11864201</v>
      </c>
      <c r="R113" s="1">
        <v>11873586</v>
      </c>
      <c r="S113" s="1">
        <v>11878223</v>
      </c>
      <c r="T113" s="1">
        <v>11880065</v>
      </c>
      <c r="U113" s="1">
        <v>11880905</v>
      </c>
      <c r="V113" s="1">
        <v>11881492</v>
      </c>
      <c r="W113" s="1">
        <v>11881607</v>
      </c>
      <c r="X113" s="1">
        <v>11881725</v>
      </c>
      <c r="Y113" s="1">
        <v>11881761</v>
      </c>
      <c r="Z113" s="6">
        <v>11881768.369461289</v>
      </c>
      <c r="AA113" s="6">
        <v>11881781.279717997</v>
      </c>
    </row>
    <row r="114" spans="3:27" x14ac:dyDescent="0.25">
      <c r="C114" s="7" t="s">
        <v>12</v>
      </c>
      <c r="D114" s="1">
        <v>5990844</v>
      </c>
      <c r="E114" s="1">
        <v>12990844</v>
      </c>
      <c r="F114" s="1">
        <v>14795084</v>
      </c>
      <c r="G114" s="1">
        <v>15558421</v>
      </c>
      <c r="H114" s="1">
        <v>16698078</v>
      </c>
      <c r="I114" s="1">
        <v>17591115</v>
      </c>
      <c r="J114" s="1">
        <v>17858613</v>
      </c>
      <c r="K114" s="1">
        <v>18161498</v>
      </c>
      <c r="L114" s="1">
        <v>18751439</v>
      </c>
      <c r="M114" s="1">
        <v>18855100</v>
      </c>
      <c r="N114" s="1">
        <v>19152179</v>
      </c>
      <c r="O114" s="1">
        <v>19349458</v>
      </c>
      <c r="P114" s="1">
        <v>19426010</v>
      </c>
      <c r="Q114" s="1">
        <v>19444545</v>
      </c>
      <c r="R114" s="1">
        <v>19453256</v>
      </c>
      <c r="S114" s="1">
        <v>19457999</v>
      </c>
      <c r="T114" s="1">
        <v>19459976</v>
      </c>
      <c r="U114" s="1">
        <v>19461146</v>
      </c>
      <c r="V114" s="1">
        <v>19461559</v>
      </c>
      <c r="W114" s="1">
        <v>19461649</v>
      </c>
      <c r="X114" s="1">
        <v>19461650</v>
      </c>
      <c r="Y114" s="6">
        <v>19461708.966134965</v>
      </c>
      <c r="Z114" s="6">
        <v>19461719.53929998</v>
      </c>
      <c r="AA114" s="6">
        <v>19461740.685630009</v>
      </c>
    </row>
    <row r="115" spans="3:27" x14ac:dyDescent="0.25">
      <c r="C115" s="7" t="s">
        <v>13</v>
      </c>
      <c r="D115" s="1">
        <v>6106533</v>
      </c>
      <c r="E115" s="1">
        <v>7227067</v>
      </c>
      <c r="F115" s="1">
        <v>8316481</v>
      </c>
      <c r="G115" s="1">
        <v>8778769</v>
      </c>
      <c r="H115" s="1">
        <v>9616196</v>
      </c>
      <c r="I115" s="1">
        <v>9944940</v>
      </c>
      <c r="J115" s="1">
        <v>10596973</v>
      </c>
      <c r="K115" s="1">
        <v>10938865</v>
      </c>
      <c r="L115" s="1">
        <v>11091033</v>
      </c>
      <c r="M115" s="1">
        <v>11574757</v>
      </c>
      <c r="N115" s="1">
        <v>11660948</v>
      </c>
      <c r="O115" s="1">
        <v>11754449</v>
      </c>
      <c r="P115" s="1">
        <v>11785976</v>
      </c>
      <c r="Q115" s="1">
        <v>11801623</v>
      </c>
      <c r="R115" s="1">
        <v>11808422</v>
      </c>
      <c r="S115" s="1">
        <v>11812430</v>
      </c>
      <c r="T115" s="1">
        <v>11814677</v>
      </c>
      <c r="U115" s="1">
        <v>11815553</v>
      </c>
      <c r="V115" s="1">
        <v>11815994</v>
      </c>
      <c r="W115" s="1">
        <v>11816173</v>
      </c>
      <c r="X115" s="6">
        <v>11816183.431692421</v>
      </c>
      <c r="Y115" s="6">
        <v>11816219.233110443</v>
      </c>
      <c r="Z115" s="6">
        <v>11816225.652630745</v>
      </c>
      <c r="AA115" s="6">
        <v>11816238.491671344</v>
      </c>
    </row>
    <row r="116" spans="3:27" x14ac:dyDescent="0.25">
      <c r="C116" s="7" t="s">
        <v>14</v>
      </c>
      <c r="D116" s="1">
        <v>3511339</v>
      </c>
      <c r="E116" s="1">
        <v>5097855</v>
      </c>
      <c r="F116" s="1">
        <v>6037374</v>
      </c>
      <c r="G116" s="1">
        <v>6436248</v>
      </c>
      <c r="H116" s="1">
        <v>7366573</v>
      </c>
      <c r="I116" s="1">
        <v>8575992</v>
      </c>
      <c r="J116" s="1">
        <v>9082448</v>
      </c>
      <c r="K116" s="3">
        <v>12082448</v>
      </c>
      <c r="L116" s="1">
        <v>12687409</v>
      </c>
      <c r="M116" s="1">
        <v>12838372</v>
      </c>
      <c r="N116" s="1">
        <v>12930641</v>
      </c>
      <c r="O116" s="1">
        <v>12990612</v>
      </c>
      <c r="P116" s="1">
        <v>13017211</v>
      </c>
      <c r="Q116" s="1">
        <v>13032985</v>
      </c>
      <c r="R116" s="1">
        <v>13041104</v>
      </c>
      <c r="S116" s="1">
        <v>13045224</v>
      </c>
      <c r="T116" s="1">
        <v>13046906</v>
      </c>
      <c r="U116" s="1">
        <v>13047997</v>
      </c>
      <c r="V116" s="1">
        <v>13048471</v>
      </c>
      <c r="W116" s="6">
        <v>13048635.071795821</v>
      </c>
      <c r="X116" s="6">
        <v>13048764.661921002</v>
      </c>
      <c r="Y116" s="6">
        <v>13048804.197891396</v>
      </c>
      <c r="Z116" s="6">
        <v>13048812.291191489</v>
      </c>
      <c r="AA116" s="6">
        <v>13048826.469511684</v>
      </c>
    </row>
    <row r="117" spans="3:27" x14ac:dyDescent="0.25">
      <c r="C117" s="7" t="s">
        <v>15</v>
      </c>
      <c r="D117" s="1">
        <v>4141271</v>
      </c>
      <c r="E117" s="1">
        <v>5675304</v>
      </c>
      <c r="F117" s="1">
        <v>6514051</v>
      </c>
      <c r="G117" s="1">
        <v>7799341</v>
      </c>
      <c r="H117" s="1">
        <v>8118940</v>
      </c>
      <c r="I117" s="1">
        <v>8328067</v>
      </c>
      <c r="J117" s="1">
        <v>9073367</v>
      </c>
      <c r="K117" s="1">
        <v>9580777</v>
      </c>
      <c r="L117" s="1">
        <v>10084545</v>
      </c>
      <c r="M117" s="1">
        <v>10574369</v>
      </c>
      <c r="N117" s="1">
        <v>10704764</v>
      </c>
      <c r="O117" s="1">
        <v>10779530</v>
      </c>
      <c r="P117" s="1">
        <v>10810916</v>
      </c>
      <c r="Q117" s="1">
        <v>10825407</v>
      </c>
      <c r="R117" s="1">
        <v>10831969</v>
      </c>
      <c r="S117" s="1">
        <v>10836654</v>
      </c>
      <c r="T117" s="1">
        <v>10839043</v>
      </c>
      <c r="U117" s="1">
        <v>10840140</v>
      </c>
      <c r="V117" s="6">
        <v>10840675.578912549</v>
      </c>
      <c r="W117" s="6">
        <v>10840839.803854488</v>
      </c>
      <c r="X117" s="6">
        <v>10840840.360890523</v>
      </c>
      <c r="Y117" s="6">
        <v>10840846.473482942</v>
      </c>
      <c r="Z117" s="6">
        <v>10840852.363102341</v>
      </c>
      <c r="AA117" s="6">
        <v>10840864.142341137</v>
      </c>
    </row>
    <row r="118" spans="3:27" x14ac:dyDescent="0.25">
      <c r="C118" s="7" t="s">
        <v>16</v>
      </c>
      <c r="D118" s="1">
        <v>6591656</v>
      </c>
      <c r="E118" s="1">
        <v>9149839</v>
      </c>
      <c r="F118" s="1">
        <v>9876574</v>
      </c>
      <c r="G118" s="1">
        <v>11324778</v>
      </c>
      <c r="H118" s="1">
        <v>11791969</v>
      </c>
      <c r="I118" s="1">
        <v>12446387</v>
      </c>
      <c r="J118" s="1">
        <v>12820241</v>
      </c>
      <c r="K118" s="1">
        <v>13419392</v>
      </c>
      <c r="L118" s="1">
        <v>13586619</v>
      </c>
      <c r="M118" s="1">
        <v>13861205</v>
      </c>
      <c r="N118" s="1">
        <v>13987078</v>
      </c>
      <c r="O118" s="1">
        <v>14043493</v>
      </c>
      <c r="P118" s="1">
        <v>14079323</v>
      </c>
      <c r="Q118" s="1">
        <v>14095393</v>
      </c>
      <c r="R118" s="1">
        <v>14104571</v>
      </c>
      <c r="S118" s="1">
        <v>14109322</v>
      </c>
      <c r="T118" s="1">
        <v>14111136</v>
      </c>
      <c r="U118" s="6">
        <v>14111984.409531439</v>
      </c>
      <c r="V118" s="6">
        <v>14112283.890844673</v>
      </c>
      <c r="W118" s="6">
        <v>14112349.153116323</v>
      </c>
      <c r="X118" s="6">
        <v>14112489.307322742</v>
      </c>
      <c r="Y118" s="6">
        <v>14112494.099223634</v>
      </c>
      <c r="Z118" s="6">
        <v>14112501.766265061</v>
      </c>
      <c r="AA118" s="6">
        <v>14112517.100347912</v>
      </c>
    </row>
    <row r="119" spans="3:27" x14ac:dyDescent="0.25">
      <c r="C119" s="7" t="s">
        <v>17</v>
      </c>
      <c r="D119" s="1">
        <v>6289704</v>
      </c>
      <c r="E119" s="1">
        <v>9074583</v>
      </c>
      <c r="F119" s="1">
        <v>11031640</v>
      </c>
      <c r="G119" s="1">
        <v>12328713</v>
      </c>
      <c r="H119" s="1">
        <v>12743016</v>
      </c>
      <c r="I119" s="1">
        <v>13716063</v>
      </c>
      <c r="J119" s="1">
        <v>13936735</v>
      </c>
      <c r="K119" s="1">
        <v>14684360</v>
      </c>
      <c r="L119" s="1">
        <v>15224487</v>
      </c>
      <c r="M119" s="1">
        <v>15505624</v>
      </c>
      <c r="N119" s="1">
        <v>15616491</v>
      </c>
      <c r="O119" s="1">
        <v>15669883</v>
      </c>
      <c r="P119" s="1">
        <v>15701026</v>
      </c>
      <c r="Q119" s="1">
        <v>15717007</v>
      </c>
      <c r="R119" s="1">
        <v>15725357</v>
      </c>
      <c r="S119" s="1">
        <v>15729334</v>
      </c>
      <c r="T119" s="6">
        <v>15731356.280863388</v>
      </c>
      <c r="U119" s="6">
        <v>15732522.6833052</v>
      </c>
      <c r="V119" s="6">
        <v>15732856.555311924</v>
      </c>
      <c r="W119" s="6">
        <v>15732929.31192356</v>
      </c>
      <c r="X119" s="6">
        <v>15732930.120330354</v>
      </c>
      <c r="Y119" s="6">
        <v>15732977.788954591</v>
      </c>
      <c r="Z119" s="6">
        <v>15732987.547067953</v>
      </c>
      <c r="AA119" s="1" t="s">
        <v>10</v>
      </c>
    </row>
    <row r="120" spans="3:27" x14ac:dyDescent="0.25">
      <c r="C120" s="7" t="s">
        <v>18</v>
      </c>
      <c r="D120" s="1">
        <v>4959185</v>
      </c>
      <c r="E120" s="1">
        <v>7332815</v>
      </c>
      <c r="F120" s="1">
        <v>8942057</v>
      </c>
      <c r="G120" s="1">
        <v>10413724</v>
      </c>
      <c r="H120" s="1">
        <v>11109326</v>
      </c>
      <c r="I120" s="1">
        <v>11743877</v>
      </c>
      <c r="J120" s="1">
        <v>12264947</v>
      </c>
      <c r="K120" s="1">
        <v>13331758</v>
      </c>
      <c r="L120" s="1">
        <v>13881470</v>
      </c>
      <c r="M120" s="1">
        <v>14105853</v>
      </c>
      <c r="N120" s="1">
        <v>14231236</v>
      </c>
      <c r="O120" s="1">
        <v>14285043</v>
      </c>
      <c r="P120" s="1">
        <v>14317196</v>
      </c>
      <c r="Q120" s="1">
        <v>14335249</v>
      </c>
      <c r="R120" s="1">
        <v>14343596</v>
      </c>
      <c r="S120" s="6">
        <v>14348127.488708317</v>
      </c>
      <c r="T120" s="6">
        <v>14349977.479972247</v>
      </c>
      <c r="U120" s="6">
        <v>14350771.308851147</v>
      </c>
      <c r="V120" s="6">
        <v>14351198.183730569</v>
      </c>
      <c r="W120" s="6">
        <v>14351415.589432947</v>
      </c>
      <c r="X120" s="6">
        <v>14351558.117883816</v>
      </c>
      <c r="Y120" s="6">
        <v>14351562.990960609</v>
      </c>
      <c r="Z120" s="1" t="s">
        <v>10</v>
      </c>
      <c r="AA120" s="1" t="s">
        <v>10</v>
      </c>
    </row>
    <row r="121" spans="3:27" x14ac:dyDescent="0.25">
      <c r="C121" s="7" t="s">
        <v>19</v>
      </c>
      <c r="D121" s="1">
        <v>6194048</v>
      </c>
      <c r="E121" s="1">
        <v>7741218</v>
      </c>
      <c r="F121" s="1">
        <v>9386858</v>
      </c>
      <c r="G121" s="1">
        <v>9734366</v>
      </c>
      <c r="H121" s="1">
        <v>10964336</v>
      </c>
      <c r="I121" s="1">
        <v>11346897</v>
      </c>
      <c r="J121" s="1">
        <v>13064544</v>
      </c>
      <c r="K121" s="1">
        <v>14121948</v>
      </c>
      <c r="L121" s="1">
        <v>14605429</v>
      </c>
      <c r="M121" s="1">
        <v>14862271</v>
      </c>
      <c r="N121" s="1">
        <v>15012968</v>
      </c>
      <c r="O121" s="1">
        <v>15074585</v>
      </c>
      <c r="P121" s="1">
        <v>15104696</v>
      </c>
      <c r="Q121" s="1">
        <v>15119935</v>
      </c>
      <c r="R121" s="6">
        <v>15129354.081834668</v>
      </c>
      <c r="S121" s="6">
        <v>15133042.848713083</v>
      </c>
      <c r="T121" s="6">
        <v>15135173.741706759</v>
      </c>
      <c r="U121" s="6">
        <v>15136439.365491601</v>
      </c>
      <c r="V121" s="6">
        <v>15136889.610679818</v>
      </c>
      <c r="W121" s="6">
        <v>15137118.918788835</v>
      </c>
      <c r="X121" s="6">
        <v>15137269.250308167</v>
      </c>
      <c r="Y121" s="1" t="s">
        <v>10</v>
      </c>
      <c r="Z121" s="1" t="s">
        <v>10</v>
      </c>
      <c r="AA121" s="1" t="s">
        <v>10</v>
      </c>
    </row>
    <row r="122" spans="3:27" x14ac:dyDescent="0.25">
      <c r="C122" s="7" t="s">
        <v>20</v>
      </c>
      <c r="D122" s="1">
        <v>6500694</v>
      </c>
      <c r="E122" s="1">
        <v>9436157</v>
      </c>
      <c r="F122" s="1">
        <v>11552953</v>
      </c>
      <c r="G122" s="1">
        <v>12130358</v>
      </c>
      <c r="H122" s="1">
        <v>13369514</v>
      </c>
      <c r="I122" s="1">
        <v>15030308</v>
      </c>
      <c r="J122" s="1">
        <v>16697100</v>
      </c>
      <c r="K122" s="1">
        <v>17828453</v>
      </c>
      <c r="L122" s="1">
        <v>18294564</v>
      </c>
      <c r="M122" s="1">
        <v>18522862</v>
      </c>
      <c r="N122" s="1">
        <v>18641988</v>
      </c>
      <c r="O122" s="1">
        <v>18693587</v>
      </c>
      <c r="P122" s="1">
        <v>18730024</v>
      </c>
      <c r="Q122" s="6">
        <v>18748920.562746845</v>
      </c>
      <c r="R122" s="6">
        <v>18758881.33242131</v>
      </c>
      <c r="S122" s="6">
        <v>18766207.251712956</v>
      </c>
      <c r="T122" s="6">
        <v>18768199.066203389</v>
      </c>
      <c r="U122" s="6">
        <v>18770098.561793141</v>
      </c>
      <c r="V122" s="6">
        <v>18770656.893006694</v>
      </c>
      <c r="W122" s="6">
        <v>18770892.915708907</v>
      </c>
      <c r="X122" s="1" t="s">
        <v>10</v>
      </c>
      <c r="Y122" s="1" t="s">
        <v>10</v>
      </c>
      <c r="Z122" s="1" t="s">
        <v>10</v>
      </c>
      <c r="AA122" s="1" t="s">
        <v>10</v>
      </c>
    </row>
    <row r="123" spans="3:27" x14ac:dyDescent="0.25">
      <c r="C123" s="7" t="s">
        <v>21</v>
      </c>
      <c r="D123" s="1">
        <v>5205434</v>
      </c>
      <c r="E123" s="1">
        <v>7752400</v>
      </c>
      <c r="F123" s="1">
        <v>9411446</v>
      </c>
      <c r="G123" s="1">
        <v>10805763</v>
      </c>
      <c r="H123" s="1">
        <v>13284336</v>
      </c>
      <c r="I123" s="1">
        <v>15384835</v>
      </c>
      <c r="J123" s="1">
        <v>17438864</v>
      </c>
      <c r="K123" s="1">
        <v>18514044</v>
      </c>
      <c r="L123" s="1">
        <v>19125680</v>
      </c>
      <c r="M123" s="1">
        <v>19431036</v>
      </c>
      <c r="N123" s="1">
        <v>19572822</v>
      </c>
      <c r="O123" s="1">
        <v>19627354</v>
      </c>
      <c r="P123" s="6">
        <v>19663626.621461019</v>
      </c>
      <c r="Q123" s="6">
        <v>19683640.88148693</v>
      </c>
      <c r="R123" s="6">
        <v>19699211.333274852</v>
      </c>
      <c r="S123" s="6">
        <v>19705846.838391908</v>
      </c>
      <c r="T123" s="6">
        <v>19708902.696989302</v>
      </c>
      <c r="U123" s="6">
        <v>19710296.248141207</v>
      </c>
      <c r="V123" s="6">
        <v>19711031.909065876</v>
      </c>
      <c r="W123" s="1" t="s">
        <v>10</v>
      </c>
      <c r="X123" s="1" t="s">
        <v>10</v>
      </c>
      <c r="Y123" s="1" t="s">
        <v>10</v>
      </c>
      <c r="Z123" s="1" t="s">
        <v>10</v>
      </c>
      <c r="AA123" s="1" t="s">
        <v>10</v>
      </c>
    </row>
    <row r="124" spans="3:27" x14ac:dyDescent="0.25">
      <c r="C124" s="7" t="s">
        <v>22</v>
      </c>
      <c r="D124" s="1">
        <v>5184519</v>
      </c>
      <c r="E124" s="1">
        <v>7275135</v>
      </c>
      <c r="F124" s="1">
        <v>7974797</v>
      </c>
      <c r="G124" s="1">
        <v>11597296</v>
      </c>
      <c r="H124" s="1">
        <v>14585912</v>
      </c>
      <c r="I124" s="1">
        <v>16285147</v>
      </c>
      <c r="J124" s="1">
        <v>18338971</v>
      </c>
      <c r="K124" s="1">
        <v>19214501</v>
      </c>
      <c r="L124" s="1">
        <v>19700684</v>
      </c>
      <c r="M124" s="1">
        <v>19926910</v>
      </c>
      <c r="N124" s="1">
        <v>20049671</v>
      </c>
      <c r="O124" s="6">
        <v>20321044.693592474</v>
      </c>
      <c r="P124" s="6">
        <v>20372890.985065077</v>
      </c>
      <c r="Q124" s="6">
        <v>20413090.189308412</v>
      </c>
      <c r="R124" s="6">
        <v>20424976.140072867</v>
      </c>
      <c r="S124" s="6">
        <v>20432952.720556766</v>
      </c>
      <c r="T124" s="6">
        <v>20435579.733834587</v>
      </c>
      <c r="U124" s="6">
        <v>20436694.227069344</v>
      </c>
      <c r="V124" s="1" t="s">
        <v>10</v>
      </c>
      <c r="W124" s="1" t="s">
        <v>10</v>
      </c>
      <c r="X124" s="1" t="s">
        <v>10</v>
      </c>
      <c r="Y124" s="1" t="s">
        <v>10</v>
      </c>
      <c r="Z124" s="1" t="s">
        <v>10</v>
      </c>
      <c r="AA124" s="1" t="s">
        <v>10</v>
      </c>
    </row>
    <row r="125" spans="3:27" x14ac:dyDescent="0.25">
      <c r="C125" s="7" t="s">
        <v>23</v>
      </c>
      <c r="D125" s="1">
        <v>3419011</v>
      </c>
      <c r="E125" s="1">
        <v>4773306</v>
      </c>
      <c r="F125" s="1">
        <v>8697825</v>
      </c>
      <c r="G125" s="1">
        <v>12220494</v>
      </c>
      <c r="H125" s="1">
        <v>14462971</v>
      </c>
      <c r="I125" s="1">
        <v>16656668</v>
      </c>
      <c r="J125" s="1">
        <v>19017438</v>
      </c>
      <c r="K125" s="1">
        <v>19939378</v>
      </c>
      <c r="L125" s="1">
        <v>20384099</v>
      </c>
      <c r="M125" s="1">
        <v>20688336</v>
      </c>
      <c r="N125" s="6">
        <v>20898106.779323835</v>
      </c>
      <c r="O125" s="6">
        <v>21111691.658187851</v>
      </c>
      <c r="P125" s="6">
        <v>21152841.95796442</v>
      </c>
      <c r="Q125" s="6">
        <v>21178474.555380639</v>
      </c>
      <c r="R125" s="6">
        <v>21190675.627089337</v>
      </c>
      <c r="S125" s="6">
        <v>21197868.140018951</v>
      </c>
      <c r="T125" s="6">
        <v>21200593.496546071</v>
      </c>
      <c r="U125" s="1" t="s">
        <v>10</v>
      </c>
      <c r="V125" s="1" t="s">
        <v>10</v>
      </c>
      <c r="W125" s="1" t="s">
        <v>10</v>
      </c>
      <c r="X125" s="1" t="s">
        <v>10</v>
      </c>
      <c r="Y125" s="1" t="s">
        <v>10</v>
      </c>
      <c r="Z125" s="1" t="s">
        <v>10</v>
      </c>
      <c r="AA125" s="1" t="s">
        <v>10</v>
      </c>
    </row>
    <row r="126" spans="3:27" x14ac:dyDescent="0.25">
      <c r="C126" s="7" t="s">
        <v>24</v>
      </c>
      <c r="D126" s="1">
        <v>5498188</v>
      </c>
      <c r="E126" s="1">
        <v>10669557</v>
      </c>
      <c r="F126" s="1">
        <v>14420577</v>
      </c>
      <c r="G126" s="1">
        <v>17838126</v>
      </c>
      <c r="H126" s="1">
        <v>20243242</v>
      </c>
      <c r="I126" s="1">
        <v>22179116</v>
      </c>
      <c r="J126" s="1">
        <v>24155749</v>
      </c>
      <c r="K126" s="1">
        <v>25145296</v>
      </c>
      <c r="L126" s="1">
        <v>25647723</v>
      </c>
      <c r="M126" s="6">
        <v>26098747.921675768</v>
      </c>
      <c r="N126" s="6">
        <v>26335749.516929939</v>
      </c>
      <c r="O126" s="6">
        <v>26408644.013982724</v>
      </c>
      <c r="P126" s="6">
        <v>26457448.898615569</v>
      </c>
      <c r="Q126" s="6">
        <v>26487647.169072233</v>
      </c>
      <c r="R126" s="6">
        <v>26503070.158301111</v>
      </c>
      <c r="S126" s="6">
        <v>26509530.255591664</v>
      </c>
      <c r="T126" s="1" t="s">
        <v>10</v>
      </c>
      <c r="U126" s="1" t="s">
        <v>10</v>
      </c>
      <c r="V126" s="1" t="s">
        <v>10</v>
      </c>
      <c r="W126" s="1" t="s">
        <v>10</v>
      </c>
      <c r="X126" s="1" t="s">
        <v>10</v>
      </c>
      <c r="Y126" s="1" t="s">
        <v>10</v>
      </c>
      <c r="Z126" s="1" t="s">
        <v>10</v>
      </c>
      <c r="AA126" s="1" t="s">
        <v>10</v>
      </c>
    </row>
    <row r="127" spans="3:27" x14ac:dyDescent="0.25">
      <c r="C127" s="7" t="s">
        <v>25</v>
      </c>
      <c r="D127" s="1">
        <v>6382667</v>
      </c>
      <c r="E127" s="1">
        <v>10460689</v>
      </c>
      <c r="F127" s="1">
        <v>15242265</v>
      </c>
      <c r="G127" s="1">
        <v>19075882</v>
      </c>
      <c r="H127" s="1">
        <v>21908553</v>
      </c>
      <c r="I127" s="1">
        <v>23938666</v>
      </c>
      <c r="J127" s="1">
        <v>25653115</v>
      </c>
      <c r="K127" s="1">
        <v>26811464</v>
      </c>
      <c r="L127" s="6">
        <v>28221240.847572174</v>
      </c>
      <c r="M127" s="6">
        <v>29142397.83352071</v>
      </c>
      <c r="N127" s="6">
        <v>29351843.385160837</v>
      </c>
      <c r="O127" s="6">
        <v>29651827.971327163</v>
      </c>
      <c r="P127" s="6">
        <v>29731358.128840461</v>
      </c>
      <c r="Q127" s="6">
        <v>29798205.269866269</v>
      </c>
      <c r="R127" s="6">
        <v>29821776.69759728</v>
      </c>
      <c r="S127" s="1" t="s">
        <v>10</v>
      </c>
      <c r="T127" s="1" t="s">
        <v>10</v>
      </c>
      <c r="U127" s="1" t="s">
        <v>10</v>
      </c>
      <c r="V127" s="1" t="s">
        <v>10</v>
      </c>
      <c r="W127" s="1" t="s">
        <v>10</v>
      </c>
      <c r="X127" s="1" t="s">
        <v>10</v>
      </c>
      <c r="Y127" s="1" t="s">
        <v>10</v>
      </c>
      <c r="Z127" s="1" t="s">
        <v>10</v>
      </c>
      <c r="AA127" s="1" t="s">
        <v>10</v>
      </c>
    </row>
    <row r="128" spans="3:27" x14ac:dyDescent="0.25">
      <c r="C128" s="7" t="s">
        <v>26</v>
      </c>
      <c r="D128" s="1">
        <v>3022770</v>
      </c>
      <c r="E128" s="1">
        <v>7899209</v>
      </c>
      <c r="F128" s="1">
        <v>11259161</v>
      </c>
      <c r="G128" s="1">
        <v>14497513</v>
      </c>
      <c r="H128" s="1">
        <v>17221120</v>
      </c>
      <c r="I128" s="1">
        <v>19234288</v>
      </c>
      <c r="J128" s="1">
        <v>21399003</v>
      </c>
      <c r="K128" s="6">
        <v>22420623.520398337</v>
      </c>
      <c r="L128" s="6">
        <v>23161318.556421932</v>
      </c>
      <c r="M128" s="6">
        <v>23450348.822668999</v>
      </c>
      <c r="N128" s="6">
        <v>23594816.192262162</v>
      </c>
      <c r="O128" s="6">
        <v>23660553.903288014</v>
      </c>
      <c r="P128" s="6">
        <v>23709000.202297911</v>
      </c>
      <c r="Q128" s="6">
        <v>23738895.621809669</v>
      </c>
      <c r="R128" s="1" t="s">
        <v>10</v>
      </c>
      <c r="S128" s="1" t="s">
        <v>10</v>
      </c>
      <c r="T128" s="1" t="s">
        <v>10</v>
      </c>
      <c r="U128" s="1" t="s">
        <v>10</v>
      </c>
      <c r="V128" s="1" t="s">
        <v>10</v>
      </c>
      <c r="W128" s="1" t="s">
        <v>10</v>
      </c>
      <c r="X128" s="1" t="s">
        <v>10</v>
      </c>
      <c r="Y128" s="1" t="s">
        <v>10</v>
      </c>
      <c r="Z128" s="1" t="s">
        <v>10</v>
      </c>
      <c r="AA128" s="1" t="s">
        <v>10</v>
      </c>
    </row>
    <row r="129" spans="3:27" x14ac:dyDescent="0.25">
      <c r="C129" s="7" t="s">
        <v>27</v>
      </c>
      <c r="D129" s="1">
        <v>6936281</v>
      </c>
      <c r="E129" s="1">
        <v>21936281</v>
      </c>
      <c r="F129" s="1">
        <v>25150070</v>
      </c>
      <c r="G129" s="1">
        <v>28898330</v>
      </c>
      <c r="H129" s="1">
        <v>31903741</v>
      </c>
      <c r="I129" s="1">
        <v>33589263</v>
      </c>
      <c r="J129" s="6">
        <v>35791519.415994368</v>
      </c>
      <c r="K129" s="6">
        <v>37793088.939950541</v>
      </c>
      <c r="L129" s="6">
        <v>39020724.054758981</v>
      </c>
      <c r="M129" s="6">
        <v>39236436.954245813</v>
      </c>
      <c r="N129" s="6">
        <v>39592741.332454041</v>
      </c>
      <c r="O129" s="6">
        <v>40000570.458180428</v>
      </c>
      <c r="P129" s="6">
        <v>40080069.31377361</v>
      </c>
      <c r="Q129" s="1" t="s">
        <v>10</v>
      </c>
      <c r="R129" s="1" t="s">
        <v>10</v>
      </c>
      <c r="S129" s="1" t="s">
        <v>10</v>
      </c>
      <c r="T129" s="1" t="s">
        <v>10</v>
      </c>
      <c r="U129" s="1" t="s">
        <v>10</v>
      </c>
      <c r="V129" s="1" t="s">
        <v>10</v>
      </c>
      <c r="W129" s="1" t="s">
        <v>10</v>
      </c>
      <c r="X129" s="1" t="s">
        <v>10</v>
      </c>
      <c r="Y129" s="1" t="s">
        <v>10</v>
      </c>
      <c r="Z129" s="1" t="s">
        <v>10</v>
      </c>
      <c r="AA129" s="1" t="s">
        <v>10</v>
      </c>
    </row>
    <row r="130" spans="3:27" x14ac:dyDescent="0.25">
      <c r="C130" s="7" t="s">
        <v>28</v>
      </c>
      <c r="D130" s="1">
        <v>6691248</v>
      </c>
      <c r="E130" s="1">
        <v>11756013</v>
      </c>
      <c r="F130" s="1">
        <v>15391294</v>
      </c>
      <c r="G130" s="1">
        <v>18736499</v>
      </c>
      <c r="H130" s="1">
        <v>21705785</v>
      </c>
      <c r="I130" s="6">
        <v>25137870.705052555</v>
      </c>
      <c r="J130" s="6">
        <v>26253225.565145329</v>
      </c>
      <c r="K130" s="6">
        <v>34924860.866050549</v>
      </c>
      <c r="L130" s="6">
        <v>36209483.438978292</v>
      </c>
      <c r="M130" s="6">
        <v>36787595.329640098</v>
      </c>
      <c r="N130" s="6">
        <v>37320253.399395227</v>
      </c>
      <c r="O130" s="6">
        <v>37580911.744190052</v>
      </c>
      <c r="P130" s="1" t="s">
        <v>10</v>
      </c>
      <c r="Q130" s="1" t="s">
        <v>10</v>
      </c>
      <c r="R130" s="1" t="s">
        <v>10</v>
      </c>
      <c r="S130" s="1" t="s">
        <v>10</v>
      </c>
      <c r="T130" s="1" t="s">
        <v>10</v>
      </c>
      <c r="U130" s="1" t="s">
        <v>10</v>
      </c>
      <c r="V130" s="1" t="s">
        <v>10</v>
      </c>
      <c r="W130" s="1" t="s">
        <v>10</v>
      </c>
      <c r="X130" s="1" t="s">
        <v>10</v>
      </c>
      <c r="Y130" s="1" t="s">
        <v>10</v>
      </c>
      <c r="Z130" s="1" t="s">
        <v>10</v>
      </c>
      <c r="AA130" s="1" t="s">
        <v>10</v>
      </c>
    </row>
    <row r="131" spans="3:27" x14ac:dyDescent="0.25">
      <c r="C131" s="7" t="s">
        <v>29</v>
      </c>
      <c r="D131" s="1">
        <v>4191817</v>
      </c>
      <c r="E131" s="1">
        <v>9775450</v>
      </c>
      <c r="F131" s="1">
        <v>14374440</v>
      </c>
      <c r="G131" s="1">
        <v>17306094</v>
      </c>
      <c r="H131" s="6">
        <v>21275681.091986191</v>
      </c>
      <c r="I131" s="6">
        <v>24237832.499925278</v>
      </c>
      <c r="J131" s="6">
        <v>25973707.326520227</v>
      </c>
      <c r="K131" s="6">
        <v>26811701.60519572</v>
      </c>
      <c r="L131" s="6">
        <v>27490115.971591122</v>
      </c>
      <c r="M131" s="6">
        <v>27642085.797039248</v>
      </c>
      <c r="N131" s="6">
        <v>27982946.776782334</v>
      </c>
      <c r="O131" s="1" t="s">
        <v>10</v>
      </c>
      <c r="P131" s="1" t="s">
        <v>10</v>
      </c>
      <c r="Q131" s="1" t="s">
        <v>10</v>
      </c>
      <c r="R131" s="1" t="s">
        <v>10</v>
      </c>
      <c r="S131" s="1" t="s">
        <v>10</v>
      </c>
      <c r="T131" s="1" t="s">
        <v>10</v>
      </c>
      <c r="U131" s="1" t="s">
        <v>10</v>
      </c>
      <c r="V131" s="1" t="s">
        <v>10</v>
      </c>
      <c r="W131" s="1" t="s">
        <v>10</v>
      </c>
      <c r="X131" s="1" t="s">
        <v>10</v>
      </c>
      <c r="Y131" s="1" t="s">
        <v>10</v>
      </c>
      <c r="Z131" s="1" t="s">
        <v>10</v>
      </c>
      <c r="AA131" s="1" t="s">
        <v>10</v>
      </c>
    </row>
    <row r="132" spans="3:27" x14ac:dyDescent="0.25">
      <c r="C132" s="7" t="s">
        <v>30</v>
      </c>
      <c r="D132" s="1">
        <v>5916671</v>
      </c>
      <c r="E132" s="1">
        <v>11716355</v>
      </c>
      <c r="F132" s="1">
        <v>15374462</v>
      </c>
      <c r="G132" s="6">
        <v>16390213.741698958</v>
      </c>
      <c r="H132" s="6">
        <v>17971207.696592305</v>
      </c>
      <c r="I132" s="6">
        <v>19689805.623171106</v>
      </c>
      <c r="J132" s="6">
        <v>22173012.888306864</v>
      </c>
      <c r="K132" s="6">
        <v>22978560.925680678</v>
      </c>
      <c r="L132" s="6">
        <v>23724974.861968145</v>
      </c>
      <c r="M132" s="6">
        <v>24640789.133049667</v>
      </c>
      <c r="N132" s="1" t="s">
        <v>10</v>
      </c>
      <c r="O132" s="1" t="s">
        <v>10</v>
      </c>
      <c r="P132" s="1" t="s">
        <v>10</v>
      </c>
      <c r="Q132" s="1" t="s">
        <v>10</v>
      </c>
      <c r="R132" s="1" t="s">
        <v>10</v>
      </c>
      <c r="S132" s="1" t="s">
        <v>10</v>
      </c>
      <c r="T132" s="1" t="s">
        <v>10</v>
      </c>
      <c r="U132" s="1" t="s">
        <v>10</v>
      </c>
      <c r="V132" s="1" t="s">
        <v>10</v>
      </c>
      <c r="W132" s="1" t="s">
        <v>10</v>
      </c>
      <c r="X132" s="1" t="s">
        <v>10</v>
      </c>
      <c r="Y132" s="1" t="s">
        <v>10</v>
      </c>
      <c r="Z132" s="1" t="s">
        <v>10</v>
      </c>
      <c r="AA132" s="1" t="s">
        <v>10</v>
      </c>
    </row>
    <row r="133" spans="3:27" x14ac:dyDescent="0.25">
      <c r="C133" s="7" t="s">
        <v>31</v>
      </c>
      <c r="D133" s="1">
        <v>4926500</v>
      </c>
      <c r="E133" s="1">
        <v>9321834</v>
      </c>
      <c r="F133" s="6">
        <v>10218330.49389434</v>
      </c>
      <c r="G133" s="6">
        <v>12788366.213192735</v>
      </c>
      <c r="H133" s="6">
        <v>13312403.956044367</v>
      </c>
      <c r="I133" s="6">
        <v>14024370.28484544</v>
      </c>
      <c r="J133" s="6">
        <v>14646624.641249582</v>
      </c>
      <c r="K133" s="6">
        <v>15356673.446023054</v>
      </c>
      <c r="L133" s="6">
        <v>16164144.559123395</v>
      </c>
      <c r="M133" s="1" t="s">
        <v>10</v>
      </c>
      <c r="N133" s="1" t="s">
        <v>10</v>
      </c>
      <c r="O133" s="1" t="s">
        <v>10</v>
      </c>
      <c r="P133" s="1" t="s">
        <v>10</v>
      </c>
      <c r="Q133" s="1" t="s">
        <v>10</v>
      </c>
      <c r="R133" s="1" t="s">
        <v>10</v>
      </c>
      <c r="S133" s="1" t="s">
        <v>10</v>
      </c>
      <c r="T133" s="1" t="s">
        <v>10</v>
      </c>
      <c r="U133" s="1" t="s">
        <v>10</v>
      </c>
      <c r="V133" s="1" t="s">
        <v>10</v>
      </c>
      <c r="W133" s="1" t="s">
        <v>10</v>
      </c>
      <c r="X133" s="1" t="s">
        <v>10</v>
      </c>
      <c r="Y133" s="1" t="s">
        <v>10</v>
      </c>
      <c r="Z133" s="1" t="s">
        <v>10</v>
      </c>
      <c r="AA133" s="1" t="s">
        <v>10</v>
      </c>
    </row>
    <row r="134" spans="3:27" x14ac:dyDescent="0.25">
      <c r="C134" s="7" t="s">
        <v>32</v>
      </c>
      <c r="D134" s="1">
        <v>5149958</v>
      </c>
      <c r="E134" s="6">
        <v>9993796.2158816699</v>
      </c>
      <c r="F134" s="6">
        <v>12235686.410649884</v>
      </c>
      <c r="G134" s="6">
        <v>13674328.215469556</v>
      </c>
      <c r="H134" s="6">
        <v>15841381.480308346</v>
      </c>
      <c r="I134" s="6">
        <v>16394109.410252141</v>
      </c>
      <c r="J134" s="6">
        <v>16848529.133357372</v>
      </c>
      <c r="K134" s="6">
        <v>17392116.186231982</v>
      </c>
      <c r="L134" s="1" t="s">
        <v>10</v>
      </c>
      <c r="M134" s="1" t="s">
        <v>10</v>
      </c>
      <c r="N134" s="1" t="s">
        <v>10</v>
      </c>
      <c r="O134" s="1" t="s">
        <v>10</v>
      </c>
      <c r="P134" s="1" t="s">
        <v>10</v>
      </c>
      <c r="Q134" s="1" t="s">
        <v>10</v>
      </c>
      <c r="R134" s="1" t="s">
        <v>10</v>
      </c>
      <c r="S134" s="1" t="s">
        <v>10</v>
      </c>
      <c r="T134" s="1" t="s">
        <v>10</v>
      </c>
      <c r="U134" s="1" t="s">
        <v>10</v>
      </c>
      <c r="V134" s="1" t="s">
        <v>10</v>
      </c>
      <c r="W134" s="1" t="s">
        <v>10</v>
      </c>
      <c r="X134" s="1" t="s">
        <v>10</v>
      </c>
      <c r="Y134" s="1" t="s">
        <v>10</v>
      </c>
      <c r="Z134" s="1" t="s">
        <v>10</v>
      </c>
      <c r="AA134" s="1" t="s">
        <v>10</v>
      </c>
    </row>
  </sheetData>
  <mergeCells count="4">
    <mergeCell ref="C13:AA13"/>
    <mergeCell ref="F77:I77"/>
    <mergeCell ref="J77:M77"/>
    <mergeCell ref="C41:AA41"/>
  </mergeCells>
  <conditionalFormatting sqref="D44:D6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:E6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4:F6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4:G6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4:H6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4:I6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4:J6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2:J66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4:K6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4:L6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4:M6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4:N6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4:O6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4:P6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4:Q6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:R6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4:S6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4:T6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4:U6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4:V6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4:W6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4:X6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4:Y4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4:Z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4:AA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0718-36FE-470E-AF0B-9B882F1AE2F6}">
  <dimension ref="A1:AC33"/>
  <sheetViews>
    <sheetView showGridLines="0" zoomScaleNormal="100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C18" sqref="C18"/>
    </sheetView>
  </sheetViews>
  <sheetFormatPr baseColWidth="10" defaultColWidth="8.7109375" defaultRowHeight="15" x14ac:dyDescent="0.25"/>
  <cols>
    <col min="1" max="2" width="10" style="28" customWidth="1"/>
    <col min="3" max="26" width="12" style="28" customWidth="1"/>
    <col min="27" max="27" width="12.7109375" style="28" bestFit="1" customWidth="1"/>
    <col min="28" max="29" width="12" style="28" customWidth="1"/>
    <col min="30" max="16384" width="8.7109375" style="28"/>
  </cols>
  <sheetData>
    <row r="1" spans="1:29" ht="25.5" customHeight="1" x14ac:dyDescent="0.25">
      <c r="A1" s="155" t="s">
        <v>51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</row>
    <row r="2" spans="1:29" ht="15.75" customHeight="1" x14ac:dyDescent="0.25">
      <c r="A2" s="156" t="s">
        <v>52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</row>
    <row r="3" spans="1:29" ht="31.5" customHeight="1" x14ac:dyDescent="0.25">
      <c r="A3" s="29" t="s">
        <v>53</v>
      </c>
      <c r="B3" s="29" t="s">
        <v>54</v>
      </c>
      <c r="C3" s="30" t="s">
        <v>55</v>
      </c>
      <c r="D3" s="30" t="s">
        <v>56</v>
      </c>
      <c r="E3" s="30" t="s">
        <v>57</v>
      </c>
      <c r="F3" s="30" t="s">
        <v>58</v>
      </c>
      <c r="G3" s="30" t="s">
        <v>59</v>
      </c>
      <c r="H3" s="30" t="s">
        <v>60</v>
      </c>
      <c r="I3" s="30" t="s">
        <v>61</v>
      </c>
      <c r="J3" s="30" t="s">
        <v>62</v>
      </c>
      <c r="K3" s="30" t="s">
        <v>63</v>
      </c>
      <c r="L3" s="30" t="s">
        <v>64</v>
      </c>
      <c r="M3" s="30" t="s">
        <v>65</v>
      </c>
      <c r="N3" s="30" t="s">
        <v>66</v>
      </c>
      <c r="O3" s="30" t="s">
        <v>67</v>
      </c>
      <c r="P3" s="30" t="s">
        <v>68</v>
      </c>
      <c r="Q3" s="30" t="s">
        <v>69</v>
      </c>
      <c r="R3" s="30" t="s">
        <v>70</v>
      </c>
      <c r="S3" s="30" t="s">
        <v>71</v>
      </c>
      <c r="T3" s="30" t="s">
        <v>72</v>
      </c>
      <c r="U3" s="30" t="s">
        <v>73</v>
      </c>
      <c r="V3" s="30" t="s">
        <v>74</v>
      </c>
      <c r="W3" s="30" t="s">
        <v>75</v>
      </c>
      <c r="X3" s="30" t="s">
        <v>76</v>
      </c>
      <c r="Y3" s="30" t="s">
        <v>77</v>
      </c>
      <c r="Z3" s="30" t="s">
        <v>78</v>
      </c>
      <c r="AA3" s="31" t="s">
        <v>79</v>
      </c>
      <c r="AB3" s="32" t="s">
        <v>80</v>
      </c>
      <c r="AC3" s="33" t="s">
        <v>81</v>
      </c>
    </row>
    <row r="4" spans="1:29" ht="15" customHeight="1" x14ac:dyDescent="0.25">
      <c r="A4" s="40" t="s">
        <v>215</v>
      </c>
      <c r="B4" s="41" t="s">
        <v>8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>
        <f>IF(Triangulo1!S16=0,"-",Triangulo1!S16)</f>
        <v>14721902</v>
      </c>
      <c r="S4" s="42">
        <f>IF(Triangulo1!T16=0,"-",Triangulo1!T16)</f>
        <v>14723975</v>
      </c>
      <c r="T4" s="42">
        <f>IF(Triangulo1!U16=0,"-",Triangulo1!U16)</f>
        <v>14724778</v>
      </c>
      <c r="U4" s="42">
        <f>IF(Triangulo1!V16=0,"-",Triangulo1!V16)</f>
        <v>14725216</v>
      </c>
      <c r="V4" s="42">
        <f>IF(Triangulo1!W16=0,"-",Triangulo1!W16)</f>
        <v>14725343</v>
      </c>
      <c r="W4" s="42">
        <f>IF(Triangulo1!X16=0,"-",Triangulo1!X16)</f>
        <v>14725356</v>
      </c>
      <c r="X4" s="42">
        <f>IF(Triangulo1!Y16=0,"-",Triangulo1!Y16)</f>
        <v>14725361</v>
      </c>
      <c r="Y4" s="42">
        <f>IF(Triangulo1!Z16=0,"-",Triangulo1!Z16)</f>
        <v>14725369</v>
      </c>
      <c r="Z4" s="37">
        <f>IF(Triangulo1!AA16=0,"-",Triangulo1!AA16)</f>
        <v>14725385</v>
      </c>
      <c r="AA4" s="43">
        <f>+Z4</f>
        <v>14725385</v>
      </c>
      <c r="AB4" s="39">
        <f>+Z4</f>
        <v>14725385</v>
      </c>
      <c r="AC4" s="38">
        <f>AA4-AB4</f>
        <v>0</v>
      </c>
    </row>
    <row r="5" spans="1:29" ht="15" customHeight="1" x14ac:dyDescent="0.25">
      <c r="A5" s="34" t="s">
        <v>82</v>
      </c>
      <c r="B5" s="35" t="s">
        <v>9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>
        <f>IF(Triangulo1!R17=0,"-",Triangulo1!R17)</f>
        <v>17727251</v>
      </c>
      <c r="R5" s="36">
        <f>IF(Triangulo1!S17=0,"-",Triangulo1!S17)</f>
        <v>17731572</v>
      </c>
      <c r="S5" s="36">
        <f>IF(Triangulo1!T17=0,"-",Triangulo1!T17)</f>
        <v>17733454</v>
      </c>
      <c r="T5" s="36">
        <f>IF(Triangulo1!U17=0,"-",Triangulo1!U17)</f>
        <v>17734435</v>
      </c>
      <c r="U5" s="36">
        <f>IF(Triangulo1!V17=0,"-",Triangulo1!V17)</f>
        <v>17734974</v>
      </c>
      <c r="V5" s="36">
        <f>IF(Triangulo1!W17=0,"-",Triangulo1!W17)</f>
        <v>17735197</v>
      </c>
      <c r="W5" s="36">
        <f>IF(Triangulo1!X17=0,"-",Triangulo1!X17)</f>
        <v>17735258</v>
      </c>
      <c r="X5" s="36">
        <f>IF(Triangulo1!Y17=0,"-",Triangulo1!Y17)</f>
        <v>17735268</v>
      </c>
      <c r="Y5" s="37">
        <f>IF(Triangulo1!Z17=0,"-",Triangulo1!Z17)</f>
        <v>17735279</v>
      </c>
      <c r="Z5" s="136">
        <f>+Y5*Y$30</f>
        <v>17735298.270448435</v>
      </c>
      <c r="AA5" s="43">
        <f t="shared" ref="AA5:AA27" si="0">+Z5</f>
        <v>17735298.270448435</v>
      </c>
      <c r="AB5" s="39">
        <f>+Y5</f>
        <v>17735279</v>
      </c>
      <c r="AC5" s="38">
        <f t="shared" ref="AC5:AC27" si="1">AA5-AB5</f>
        <v>19.270448435097933</v>
      </c>
    </row>
    <row r="6" spans="1:29" ht="15" customHeight="1" x14ac:dyDescent="0.25">
      <c r="A6" s="40" t="s">
        <v>83</v>
      </c>
      <c r="B6" s="41" t="s">
        <v>11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>
        <f>IF(Triangulo1!Q18=0,"-",Triangulo1!Q18)</f>
        <v>11864201</v>
      </c>
      <c r="Q6" s="42">
        <f>IF(Triangulo1!R18=0,"-",Triangulo1!R18)</f>
        <v>11873586</v>
      </c>
      <c r="R6" s="42">
        <f>IF(Triangulo1!S18=0,"-",Triangulo1!S18)</f>
        <v>11878223</v>
      </c>
      <c r="S6" s="42">
        <f>IF(Triangulo1!T18=0,"-",Triangulo1!T18)</f>
        <v>11880065</v>
      </c>
      <c r="T6" s="42">
        <f>IF(Triangulo1!U18=0,"-",Triangulo1!U18)</f>
        <v>11880905</v>
      </c>
      <c r="U6" s="42">
        <f>IF(Triangulo1!V18=0,"-",Triangulo1!V18)</f>
        <v>11881492</v>
      </c>
      <c r="V6" s="42">
        <f>IF(Triangulo1!W18=0,"-",Triangulo1!W18)</f>
        <v>11881607</v>
      </c>
      <c r="W6" s="42">
        <f>IF(Triangulo1!X18=0,"-",Triangulo1!X18)</f>
        <v>11881725</v>
      </c>
      <c r="X6" s="37">
        <f>IF(Triangulo1!Y18=0,"-",Triangulo1!Y18)</f>
        <v>11881761</v>
      </c>
      <c r="Y6" s="43">
        <f>+X6*X$30</f>
        <v>11881767.954685289</v>
      </c>
      <c r="Z6" s="136">
        <f t="shared" ref="Z6" si="2">+Y6*Y$30</f>
        <v>11881780.864941547</v>
      </c>
      <c r="AA6" s="43">
        <f t="shared" si="0"/>
        <v>11881780.864941547</v>
      </c>
      <c r="AB6" s="39">
        <f>+X6</f>
        <v>11881761</v>
      </c>
      <c r="AC6" s="38">
        <f t="shared" si="1"/>
        <v>19.864941546693444</v>
      </c>
    </row>
    <row r="7" spans="1:29" ht="15" customHeight="1" x14ac:dyDescent="0.25">
      <c r="A7" s="34" t="s">
        <v>84</v>
      </c>
      <c r="B7" s="35" t="s">
        <v>12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>
        <f>IF(Triangulo1!P19=0,"-",Triangulo1!P19)</f>
        <v>19426010</v>
      </c>
      <c r="P7" s="36">
        <f>IF(Triangulo1!Q19=0,"-",Triangulo1!Q19)</f>
        <v>19444545</v>
      </c>
      <c r="Q7" s="36">
        <f>IF(Triangulo1!R19=0,"-",Triangulo1!R19)</f>
        <v>19453256</v>
      </c>
      <c r="R7" s="36">
        <f>IF(Triangulo1!S19=0,"-",Triangulo1!S19)</f>
        <v>19457999</v>
      </c>
      <c r="S7" s="36">
        <f>IF(Triangulo1!T19=0,"-",Triangulo1!T19)</f>
        <v>19459976</v>
      </c>
      <c r="T7" s="36">
        <f>IF(Triangulo1!U19=0,"-",Triangulo1!U19)</f>
        <v>19461146</v>
      </c>
      <c r="U7" s="36">
        <f>IF(Triangulo1!V19=0,"-",Triangulo1!V19)</f>
        <v>19461559</v>
      </c>
      <c r="V7" s="36">
        <f>IF(Triangulo1!W19=0,"-",Triangulo1!W19)</f>
        <v>19461649</v>
      </c>
      <c r="W7" s="37">
        <f>IF(Triangulo1!X19=0,"-",Triangulo1!X19)</f>
        <v>19461650</v>
      </c>
      <c r="X7" s="43">
        <f>+W7*W$30</f>
        <v>19461672.383667</v>
      </c>
      <c r="Y7" s="43">
        <f t="shared" ref="Y7:Z7" si="3">+X7*X$30</f>
        <v>19461683.775059793</v>
      </c>
      <c r="Z7" s="136">
        <f t="shared" si="3"/>
        <v>19461704.92135096</v>
      </c>
      <c r="AA7" s="43">
        <f t="shared" si="0"/>
        <v>19461704.92135096</v>
      </c>
      <c r="AB7" s="39">
        <f>+W7</f>
        <v>19461650</v>
      </c>
      <c r="AC7" s="38">
        <f t="shared" si="1"/>
        <v>54.921350959688425</v>
      </c>
    </row>
    <row r="8" spans="1:29" ht="15" customHeight="1" x14ac:dyDescent="0.25">
      <c r="A8" s="40" t="s">
        <v>85</v>
      </c>
      <c r="B8" s="41" t="s">
        <v>13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>
        <f>IF(Triangulo1!O20=0,"-",Triangulo1!O20)</f>
        <v>11754449</v>
      </c>
      <c r="O8" s="42">
        <f>IF(Triangulo1!P20=0,"-",Triangulo1!P20)</f>
        <v>11785976</v>
      </c>
      <c r="P8" s="42">
        <f>IF(Triangulo1!Q20=0,"-",Triangulo1!Q20)</f>
        <v>11801623</v>
      </c>
      <c r="Q8" s="42">
        <f>IF(Triangulo1!R20=0,"-",Triangulo1!R20)</f>
        <v>11808422</v>
      </c>
      <c r="R8" s="42">
        <f>IF(Triangulo1!S20=0,"-",Triangulo1!S20)</f>
        <v>11812430</v>
      </c>
      <c r="S8" s="42">
        <f>IF(Triangulo1!T20=0,"-",Triangulo1!T20)</f>
        <v>11814677</v>
      </c>
      <c r="T8" s="42">
        <f>IF(Triangulo1!U20=0,"-",Triangulo1!U20)</f>
        <v>11815553</v>
      </c>
      <c r="U8" s="42">
        <f>IF(Triangulo1!V20=0,"-",Triangulo1!V20)</f>
        <v>11815994</v>
      </c>
      <c r="V8" s="37">
        <f>IF(Triangulo1!W20=0,"-",Triangulo1!W20)</f>
        <v>11816173</v>
      </c>
      <c r="W8" s="43">
        <f>+V8*V$30</f>
        <v>11816208.74272272</v>
      </c>
      <c r="X8" s="43">
        <f t="shared" ref="X8:Z8" si="4">+W8*W$30</f>
        <v>11816222.333044285</v>
      </c>
      <c r="Y8" s="43">
        <f t="shared" si="4"/>
        <v>11816229.249368189</v>
      </c>
      <c r="Z8" s="136">
        <f t="shared" si="4"/>
        <v>11816242.088412698</v>
      </c>
      <c r="AA8" s="43">
        <f t="shared" si="0"/>
        <v>11816242.088412698</v>
      </c>
      <c r="AB8" s="39">
        <f>+V8</f>
        <v>11816173</v>
      </c>
      <c r="AC8" s="38">
        <f t="shared" si="1"/>
        <v>69.088412698358297</v>
      </c>
    </row>
    <row r="9" spans="1:29" ht="15" customHeight="1" x14ac:dyDescent="0.25">
      <c r="A9" s="34" t="s">
        <v>86</v>
      </c>
      <c r="B9" s="35" t="s">
        <v>14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>
        <f>IF(Triangulo1!N21=0,"-",Triangulo1!N21)</f>
        <v>12930641</v>
      </c>
      <c r="N9" s="36">
        <f>IF(Triangulo1!O21=0,"-",Triangulo1!O21)</f>
        <v>12990612</v>
      </c>
      <c r="O9" s="36">
        <f>IF(Triangulo1!P21=0,"-",Triangulo1!P21)</f>
        <v>13017211</v>
      </c>
      <c r="P9" s="36">
        <f>IF(Triangulo1!Q21=0,"-",Triangulo1!Q21)</f>
        <v>13032985</v>
      </c>
      <c r="Q9" s="36">
        <f>IF(Triangulo1!R21=0,"-",Triangulo1!R21)</f>
        <v>13041104</v>
      </c>
      <c r="R9" s="36">
        <f>IF(Triangulo1!S21=0,"-",Triangulo1!S21)</f>
        <v>13045224</v>
      </c>
      <c r="S9" s="36">
        <f>IF(Triangulo1!T21=0,"-",Triangulo1!T21)</f>
        <v>13046906</v>
      </c>
      <c r="T9" s="36">
        <f>IF(Triangulo1!U21=0,"-",Triangulo1!U21)</f>
        <v>13047997</v>
      </c>
      <c r="U9" s="37">
        <f>IF(Triangulo1!V21=0,"-",Triangulo1!V21)</f>
        <v>13048471</v>
      </c>
      <c r="V9" s="43">
        <f>+U9*U$30</f>
        <v>13048597.655310834</v>
      </c>
      <c r="W9" s="43">
        <f t="shared" ref="W9:Z9" si="5">+V9*V$30</f>
        <v>13048637.125992913</v>
      </c>
      <c r="X9" s="43">
        <f t="shared" si="5"/>
        <v>13048652.133782499</v>
      </c>
      <c r="Y9" s="43">
        <f t="shared" si="5"/>
        <v>13048659.771477705</v>
      </c>
      <c r="Z9" s="136">
        <f t="shared" si="5"/>
        <v>13048673.949632177</v>
      </c>
      <c r="AA9" s="43">
        <f t="shared" si="0"/>
        <v>13048673.949632177</v>
      </c>
      <c r="AB9" s="39">
        <f>+U9</f>
        <v>13048471</v>
      </c>
      <c r="AC9" s="38">
        <f t="shared" si="1"/>
        <v>202.94963217712939</v>
      </c>
    </row>
    <row r="10" spans="1:29" ht="15" customHeight="1" x14ac:dyDescent="0.25">
      <c r="A10" s="40" t="s">
        <v>87</v>
      </c>
      <c r="B10" s="41" t="s">
        <v>15</v>
      </c>
      <c r="C10" s="42"/>
      <c r="D10" s="42"/>
      <c r="E10" s="42"/>
      <c r="F10" s="42"/>
      <c r="G10" s="42"/>
      <c r="H10" s="42"/>
      <c r="I10" s="42"/>
      <c r="J10" s="42"/>
      <c r="K10" s="42"/>
      <c r="L10" s="42">
        <f>IF(Triangulo1!M22=0,"-",Triangulo1!M22)</f>
        <v>10574369</v>
      </c>
      <c r="M10" s="42">
        <f>IF(Triangulo1!N22=0,"-",Triangulo1!N22)</f>
        <v>10704764</v>
      </c>
      <c r="N10" s="42">
        <f>IF(Triangulo1!O22=0,"-",Triangulo1!O22)</f>
        <v>10779530</v>
      </c>
      <c r="O10" s="42">
        <f>IF(Triangulo1!P22=0,"-",Triangulo1!P22)</f>
        <v>10810916</v>
      </c>
      <c r="P10" s="42">
        <f>IF(Triangulo1!Q22=0,"-",Triangulo1!Q22)</f>
        <v>10825407</v>
      </c>
      <c r="Q10" s="42">
        <f>IF(Triangulo1!R22=0,"-",Triangulo1!R22)</f>
        <v>10831969</v>
      </c>
      <c r="R10" s="42">
        <f>IF(Triangulo1!S22=0,"-",Triangulo1!S22)</f>
        <v>10836654</v>
      </c>
      <c r="S10" s="42">
        <f>IF(Triangulo1!T22=0,"-",Triangulo1!T22)</f>
        <v>10839043</v>
      </c>
      <c r="T10" s="37">
        <f>IF(Triangulo1!U22=0,"-",Triangulo1!U22)</f>
        <v>10840140</v>
      </c>
      <c r="U10" s="43">
        <f>+T10*T$30</f>
        <v>10840493.57526245</v>
      </c>
      <c r="V10" s="43">
        <f t="shared" ref="V10:Z10" si="6">+U10*U$30</f>
        <v>10840598.798785064</v>
      </c>
      <c r="W10" s="43">
        <f t="shared" si="6"/>
        <v>10840631.590494951</v>
      </c>
      <c r="X10" s="43">
        <f t="shared" si="6"/>
        <v>10840644.05876396</v>
      </c>
      <c r="Y10" s="43">
        <f t="shared" si="6"/>
        <v>10840650.404058043</v>
      </c>
      <c r="Z10" s="136">
        <f t="shared" si="6"/>
        <v>10840662.183077399</v>
      </c>
      <c r="AA10" s="43">
        <f t="shared" si="0"/>
        <v>10840662.183077399</v>
      </c>
      <c r="AB10" s="39">
        <f>+T10</f>
        <v>10840140</v>
      </c>
      <c r="AC10" s="38">
        <f t="shared" si="1"/>
        <v>522.1830773986876</v>
      </c>
    </row>
    <row r="11" spans="1:29" ht="15" customHeight="1" x14ac:dyDescent="0.25">
      <c r="A11" s="34" t="s">
        <v>88</v>
      </c>
      <c r="B11" s="35" t="s">
        <v>16</v>
      </c>
      <c r="C11" s="36"/>
      <c r="D11" s="36"/>
      <c r="E11" s="36"/>
      <c r="F11" s="36"/>
      <c r="G11" s="36"/>
      <c r="H11" s="36"/>
      <c r="I11" s="36"/>
      <c r="J11" s="36"/>
      <c r="K11" s="36">
        <f>IF(Triangulo1!L23=0,"-",Triangulo1!L23)</f>
        <v>13586619</v>
      </c>
      <c r="L11" s="36">
        <f>IF(Triangulo1!M23=0,"-",Triangulo1!M23)</f>
        <v>13861205</v>
      </c>
      <c r="M11" s="36">
        <f>IF(Triangulo1!N23=0,"-",Triangulo1!N23)</f>
        <v>13987078</v>
      </c>
      <c r="N11" s="36">
        <f>IF(Triangulo1!O23=0,"-",Triangulo1!O23)</f>
        <v>14043493</v>
      </c>
      <c r="O11" s="36">
        <f>IF(Triangulo1!P23=0,"-",Triangulo1!P23)</f>
        <v>14079323</v>
      </c>
      <c r="P11" s="36">
        <f>IF(Triangulo1!Q23=0,"-",Triangulo1!Q23)</f>
        <v>14095393</v>
      </c>
      <c r="Q11" s="36">
        <f>IF(Triangulo1!R23=0,"-",Triangulo1!R23)</f>
        <v>14104571</v>
      </c>
      <c r="R11" s="36">
        <f>IF(Triangulo1!S23=0,"-",Triangulo1!S23)</f>
        <v>14109322</v>
      </c>
      <c r="S11" s="37">
        <f>IF(Triangulo1!T23=0,"-",Triangulo1!T23)</f>
        <v>14111136</v>
      </c>
      <c r="T11" s="43">
        <f>+S11*S$30</f>
        <v>14112108.623342341</v>
      </c>
      <c r="U11" s="43">
        <f t="shared" ref="U11:Y11" si="7">+T11*T$30</f>
        <v>14112568.92113464</v>
      </c>
      <c r="V11" s="43">
        <f t="shared" si="7"/>
        <v>14112705.905138617</v>
      </c>
      <c r="W11" s="43">
        <f t="shared" si="7"/>
        <v>14112748.594640031</v>
      </c>
      <c r="X11" s="43">
        <f t="shared" si="7"/>
        <v>14112764.826309236</v>
      </c>
      <c r="Y11" s="43">
        <f t="shared" si="7"/>
        <v>14112773.086855624</v>
      </c>
      <c r="Z11" s="136">
        <f>+Y11*Y$30</f>
        <v>14112788.421233281</v>
      </c>
      <c r="AA11" s="43">
        <f t="shared" si="0"/>
        <v>14112788.421233281</v>
      </c>
      <c r="AB11" s="39">
        <f>+S11</f>
        <v>14111136</v>
      </c>
      <c r="AC11" s="38">
        <f t="shared" si="1"/>
        <v>1652.4212332814932</v>
      </c>
    </row>
    <row r="12" spans="1:29" ht="15" customHeight="1" x14ac:dyDescent="0.25">
      <c r="A12" s="40" t="s">
        <v>89</v>
      </c>
      <c r="B12" s="41" t="s">
        <v>17</v>
      </c>
      <c r="C12" s="42"/>
      <c r="D12" s="42"/>
      <c r="E12" s="42"/>
      <c r="F12" s="42"/>
      <c r="G12" s="42"/>
      <c r="H12" s="42"/>
      <c r="I12" s="42"/>
      <c r="J12" s="42">
        <f>IF(Triangulo1!K24=0,"-",Triangulo1!K24)</f>
        <v>14684360</v>
      </c>
      <c r="K12" s="42">
        <f>IF(Triangulo1!L24=0,"-",Triangulo1!L24)</f>
        <v>15224487</v>
      </c>
      <c r="L12" s="42">
        <f>IF(Triangulo1!M24=0,"-",Triangulo1!M24)</f>
        <v>15505624</v>
      </c>
      <c r="M12" s="42">
        <f>IF(Triangulo1!N24=0,"-",Triangulo1!N24)</f>
        <v>15616491</v>
      </c>
      <c r="N12" s="42">
        <f>IF(Triangulo1!O24=0,"-",Triangulo1!O24)</f>
        <v>15669883</v>
      </c>
      <c r="O12" s="42">
        <f>IF(Triangulo1!P24=0,"-",Triangulo1!P24)</f>
        <v>15701026</v>
      </c>
      <c r="P12" s="42">
        <f>IF(Triangulo1!Q24=0,"-",Triangulo1!Q24)</f>
        <v>15717007</v>
      </c>
      <c r="Q12" s="42">
        <f>IF(Triangulo1!R24=0,"-",Triangulo1!R24)</f>
        <v>15725357</v>
      </c>
      <c r="R12" s="37">
        <f>IF(Triangulo1!S24=0,"-",Triangulo1!S24)</f>
        <v>15729334</v>
      </c>
      <c r="S12" s="43">
        <f>+R12*R30</f>
        <v>15731536.513082536</v>
      </c>
      <c r="T12" s="43">
        <f t="shared" ref="T12:Z12" si="8">+S12*S30</f>
        <v>15732620.824056756</v>
      </c>
      <c r="U12" s="43">
        <f t="shared" si="8"/>
        <v>15733133.978456687</v>
      </c>
      <c r="V12" s="43">
        <f t="shared" si="8"/>
        <v>15733286.692516014</v>
      </c>
      <c r="W12" s="43">
        <f t="shared" si="8"/>
        <v>15733334.284109648</v>
      </c>
      <c r="X12" s="43">
        <f t="shared" si="8"/>
        <v>15733352.379683014</v>
      </c>
      <c r="Y12" s="136">
        <f t="shared" si="8"/>
        <v>15733361.588798931</v>
      </c>
      <c r="Z12" s="43">
        <f t="shared" si="8"/>
        <v>15733378.684043568</v>
      </c>
      <c r="AA12" s="43">
        <f t="shared" si="0"/>
        <v>15733378.684043568</v>
      </c>
      <c r="AB12" s="39">
        <f>+R12</f>
        <v>15729334</v>
      </c>
      <c r="AC12" s="38">
        <f t="shared" si="1"/>
        <v>4044.6840435676277</v>
      </c>
    </row>
    <row r="13" spans="1:29" ht="15" customHeight="1" x14ac:dyDescent="0.25">
      <c r="A13" s="34" t="s">
        <v>90</v>
      </c>
      <c r="B13" s="35" t="s">
        <v>18</v>
      </c>
      <c r="C13" s="36"/>
      <c r="D13" s="36"/>
      <c r="E13" s="36"/>
      <c r="F13" s="36"/>
      <c r="G13" s="36"/>
      <c r="H13" s="36"/>
      <c r="I13" s="36">
        <f>IF(Triangulo1!J25=0,"-",Triangulo1!J25)</f>
        <v>12264947</v>
      </c>
      <c r="J13" s="36">
        <f>IF(Triangulo1!K25=0,"-",Triangulo1!K25)</f>
        <v>13331758</v>
      </c>
      <c r="K13" s="36">
        <f>IF(Triangulo1!L25=0,"-",Triangulo1!L25)</f>
        <v>13881470</v>
      </c>
      <c r="L13" s="36">
        <f>IF(Triangulo1!M25=0,"-",Triangulo1!M25)</f>
        <v>14105853</v>
      </c>
      <c r="M13" s="36">
        <f>IF(Triangulo1!N25=0,"-",Triangulo1!N25)</f>
        <v>14231236</v>
      </c>
      <c r="N13" s="36">
        <f>IF(Triangulo1!O25=0,"-",Triangulo1!O25)</f>
        <v>14285043</v>
      </c>
      <c r="O13" s="36">
        <f>IF(Triangulo1!P25=0,"-",Triangulo1!P25)</f>
        <v>14317196</v>
      </c>
      <c r="P13" s="36">
        <f>IF(Triangulo1!Q25=0,"-",Triangulo1!Q25)</f>
        <v>14335249</v>
      </c>
      <c r="Q13" s="37">
        <f>IF(Triangulo1!R25=0,"-",Triangulo1!R25)</f>
        <v>14343596</v>
      </c>
      <c r="R13" s="43">
        <f>+Q13*Q30</f>
        <v>14348008.296368761</v>
      </c>
      <c r="S13" s="43">
        <f t="shared" ref="S13:Z13" si="9">+R13*R30</f>
        <v>14350017.388170173</v>
      </c>
      <c r="T13" s="43">
        <f t="shared" si="9"/>
        <v>14351006.476637235</v>
      </c>
      <c r="U13" s="43">
        <f t="shared" si="9"/>
        <v>14351474.56661406</v>
      </c>
      <c r="V13" s="43">
        <f t="shared" si="9"/>
        <v>14351613.869561674</v>
      </c>
      <c r="W13" s="43">
        <f t="shared" si="9"/>
        <v>14351657.281735407</v>
      </c>
      <c r="X13" s="136">
        <f t="shared" si="9"/>
        <v>14351673.7881836</v>
      </c>
      <c r="Y13" s="43">
        <f t="shared" si="9"/>
        <v>14351682.188569246</v>
      </c>
      <c r="Z13" s="43">
        <f t="shared" si="9"/>
        <v>14351697.782536028</v>
      </c>
      <c r="AA13" s="43">
        <f t="shared" si="0"/>
        <v>14351697.782536028</v>
      </c>
      <c r="AB13" s="39">
        <f>+Q13</f>
        <v>14343596</v>
      </c>
      <c r="AC13" s="38">
        <f t="shared" si="1"/>
        <v>8101.782536027953</v>
      </c>
    </row>
    <row r="14" spans="1:29" ht="15" customHeight="1" x14ac:dyDescent="0.25">
      <c r="A14" s="40" t="s">
        <v>91</v>
      </c>
      <c r="B14" s="41" t="s">
        <v>19</v>
      </c>
      <c r="C14" s="42"/>
      <c r="D14" s="42"/>
      <c r="E14" s="42"/>
      <c r="F14" s="42"/>
      <c r="G14" s="42"/>
      <c r="H14" s="42">
        <f>IF(Triangulo1!I26=0,"-",Triangulo1!I26)</f>
        <v>11346897</v>
      </c>
      <c r="I14" s="42">
        <f>IF(Triangulo1!J26=0,"-",Triangulo1!J26)</f>
        <v>13064544</v>
      </c>
      <c r="J14" s="42">
        <f>IF(Triangulo1!K26=0,"-",Triangulo1!K26)</f>
        <v>14121948</v>
      </c>
      <c r="K14" s="42">
        <f>IF(Triangulo1!L26=0,"-",Triangulo1!L26)</f>
        <v>14605429</v>
      </c>
      <c r="L14" s="42">
        <f>IF(Triangulo1!M26=0,"-",Triangulo1!M26)</f>
        <v>14862271</v>
      </c>
      <c r="M14" s="42">
        <f>IF(Triangulo1!N26=0,"-",Triangulo1!N26)</f>
        <v>15012968</v>
      </c>
      <c r="N14" s="42">
        <f>IF(Triangulo1!O26=0,"-",Triangulo1!O26)</f>
        <v>15074585</v>
      </c>
      <c r="O14" s="42">
        <f>IF(Triangulo1!P26=0,"-",Triangulo1!P26)</f>
        <v>15104696</v>
      </c>
      <c r="P14" s="37">
        <f>IF(Triangulo1!Q26=0,"-",Triangulo1!Q26)</f>
        <v>15119935</v>
      </c>
      <c r="Q14" s="43">
        <f>+P14*P30</f>
        <v>15128841.109058823</v>
      </c>
      <c r="R14" s="43">
        <f t="shared" ref="R14:Z14" si="10">+Q14*Q30</f>
        <v>15133494.958113765</v>
      </c>
      <c r="S14" s="43">
        <f t="shared" si="10"/>
        <v>15135614.038338633</v>
      </c>
      <c r="T14" s="43">
        <f t="shared" si="10"/>
        <v>15136657.274794888</v>
      </c>
      <c r="U14" s="43">
        <f t="shared" si="10"/>
        <v>15137150.990518903</v>
      </c>
      <c r="V14" s="43">
        <f t="shared" si="10"/>
        <v>15137297.91965442</v>
      </c>
      <c r="W14" s="136">
        <f t="shared" si="10"/>
        <v>15137343.708442573</v>
      </c>
      <c r="X14" s="43">
        <f t="shared" si="10"/>
        <v>15137361.118541963</v>
      </c>
      <c r="Y14" s="43">
        <f t="shared" si="10"/>
        <v>15137369.978809619</v>
      </c>
      <c r="Z14" s="43">
        <f t="shared" si="10"/>
        <v>15137386.426473489</v>
      </c>
      <c r="AA14" s="43">
        <f t="shared" si="0"/>
        <v>15137386.426473489</v>
      </c>
      <c r="AB14" s="39">
        <f>+P14</f>
        <v>15119935</v>
      </c>
      <c r="AC14" s="38">
        <f t="shared" si="1"/>
        <v>17451.426473489031</v>
      </c>
    </row>
    <row r="15" spans="1:29" ht="15" customHeight="1" x14ac:dyDescent="0.25">
      <c r="A15" s="34" t="s">
        <v>92</v>
      </c>
      <c r="B15" s="35" t="s">
        <v>20</v>
      </c>
      <c r="C15" s="36"/>
      <c r="D15" s="36"/>
      <c r="E15" s="36"/>
      <c r="F15" s="36"/>
      <c r="G15" s="36">
        <f>IF(Triangulo1!H27=0,"-",Triangulo1!H27)</f>
        <v>13369514</v>
      </c>
      <c r="H15" s="36">
        <f>IF(Triangulo1!I27=0,"-",Triangulo1!I27)</f>
        <v>15030308</v>
      </c>
      <c r="I15" s="36">
        <f>IF(Triangulo1!J27=0,"-",Triangulo1!J27)</f>
        <v>16697100</v>
      </c>
      <c r="J15" s="36">
        <f>IF(Triangulo1!K27=0,"-",Triangulo1!K27)</f>
        <v>17828453</v>
      </c>
      <c r="K15" s="36">
        <f>IF(Triangulo1!L27=0,"-",Triangulo1!L27)</f>
        <v>18294564</v>
      </c>
      <c r="L15" s="36">
        <f>IF(Triangulo1!M27=0,"-",Triangulo1!M27)</f>
        <v>18522862</v>
      </c>
      <c r="M15" s="36">
        <f>IF(Triangulo1!N27=0,"-",Triangulo1!N27)</f>
        <v>18641988</v>
      </c>
      <c r="N15" s="36">
        <f>IF(Triangulo1!O27=0,"-",Triangulo1!O27)</f>
        <v>18693587</v>
      </c>
      <c r="O15" s="37">
        <f>IF(Triangulo1!P27=0,"-",Triangulo1!P27)</f>
        <v>18730024</v>
      </c>
      <c r="P15" s="43">
        <f>+O15*O30</f>
        <v>18751303.059209164</v>
      </c>
      <c r="Q15" s="43">
        <f t="shared" ref="Q15:Z15" si="11">+P15*P30</f>
        <v>18762348.156297237</v>
      </c>
      <c r="R15" s="43">
        <f t="shared" si="11"/>
        <v>18768119.724364232</v>
      </c>
      <c r="S15" s="43">
        <f t="shared" si="11"/>
        <v>18770747.745946553</v>
      </c>
      <c r="T15" s="43">
        <f t="shared" si="11"/>
        <v>18772041.53741812</v>
      </c>
      <c r="U15" s="43">
        <f t="shared" si="11"/>
        <v>18772653.829280891</v>
      </c>
      <c r="V15" s="136">
        <f t="shared" si="11"/>
        <v>18772836.046515837</v>
      </c>
      <c r="W15" s="43">
        <f t="shared" si="11"/>
        <v>18772892.83243743</v>
      </c>
      <c r="X15" s="43">
        <f t="shared" si="11"/>
        <v>18772914.42393567</v>
      </c>
      <c r="Y15" s="43">
        <f t="shared" si="11"/>
        <v>18772925.412181586</v>
      </c>
      <c r="Z15" s="43">
        <f t="shared" si="11"/>
        <v>18772945.810095321</v>
      </c>
      <c r="AA15" s="43">
        <f t="shared" si="0"/>
        <v>18772945.810095321</v>
      </c>
      <c r="AB15" s="39">
        <f>+O15</f>
        <v>18730024</v>
      </c>
      <c r="AC15" s="38">
        <f t="shared" si="1"/>
        <v>42921.810095321387</v>
      </c>
    </row>
    <row r="16" spans="1:29" ht="15" customHeight="1" x14ac:dyDescent="0.25">
      <c r="A16" s="40" t="s">
        <v>93</v>
      </c>
      <c r="B16" s="41" t="s">
        <v>21</v>
      </c>
      <c r="C16" s="42"/>
      <c r="D16" s="42"/>
      <c r="E16" s="42"/>
      <c r="F16" s="42">
        <f>IF(Triangulo1!G28=0,"-",Triangulo1!G28)</f>
        <v>10805763</v>
      </c>
      <c r="G16" s="42">
        <f>IF(Triangulo1!H28=0,"-",Triangulo1!H28)</f>
        <v>13284336</v>
      </c>
      <c r="H16" s="42">
        <f>IF(Triangulo1!I28=0,"-",Triangulo1!I28)</f>
        <v>15384835</v>
      </c>
      <c r="I16" s="42">
        <f>IF(Triangulo1!J28=0,"-",Triangulo1!J28)</f>
        <v>17438864</v>
      </c>
      <c r="J16" s="42">
        <f>IF(Triangulo1!K28=0,"-",Triangulo1!K28)</f>
        <v>18514044</v>
      </c>
      <c r="K16" s="42">
        <f>IF(Triangulo1!L28=0,"-",Triangulo1!L28)</f>
        <v>19125680</v>
      </c>
      <c r="L16" s="42">
        <f>IF(Triangulo1!M28=0,"-",Triangulo1!M28)</f>
        <v>19431036</v>
      </c>
      <c r="M16" s="42">
        <f>IF(Triangulo1!N28=0,"-",Triangulo1!N28)</f>
        <v>19572822</v>
      </c>
      <c r="N16" s="37">
        <f>IF(Triangulo1!O28=0,"-",Triangulo1!O28)</f>
        <v>19627354</v>
      </c>
      <c r="O16" s="43">
        <f>+N16*N30</f>
        <v>19671564.201265659</v>
      </c>
      <c r="P16" s="43">
        <f t="shared" ref="P16:Z16" si="12">+O16*O30</f>
        <v>19693912.938212052</v>
      </c>
      <c r="Q16" s="43">
        <f t="shared" si="12"/>
        <v>19705513.261654098</v>
      </c>
      <c r="R16" s="43">
        <f t="shared" si="12"/>
        <v>19711574.960868783</v>
      </c>
      <c r="S16" s="43">
        <f t="shared" si="12"/>
        <v>19714335.090555694</v>
      </c>
      <c r="T16" s="43">
        <f t="shared" si="12"/>
        <v>19715693.919673905</v>
      </c>
      <c r="U16" s="136">
        <f t="shared" si="12"/>
        <v>19716336.990856752</v>
      </c>
      <c r="V16" s="43">
        <f t="shared" si="12"/>
        <v>19716528.367975961</v>
      </c>
      <c r="W16" s="43">
        <f t="shared" si="12"/>
        <v>19716588.008470938</v>
      </c>
      <c r="X16" s="43">
        <f t="shared" si="12"/>
        <v>19716610.685352925</v>
      </c>
      <c r="Y16" s="43">
        <f t="shared" si="12"/>
        <v>19716622.22596734</v>
      </c>
      <c r="Z16" s="43">
        <f t="shared" si="12"/>
        <v>19716643.649264485</v>
      </c>
      <c r="AA16" s="43">
        <f t="shared" si="0"/>
        <v>19716643.649264485</v>
      </c>
      <c r="AB16" s="39">
        <f>+N16</f>
        <v>19627354</v>
      </c>
      <c r="AC16" s="38">
        <f t="shared" si="1"/>
        <v>89289.649264484644</v>
      </c>
    </row>
    <row r="17" spans="1:29" ht="15" customHeight="1" x14ac:dyDescent="0.25">
      <c r="A17" s="34" t="s">
        <v>94</v>
      </c>
      <c r="B17" s="35" t="s">
        <v>22</v>
      </c>
      <c r="C17" s="36"/>
      <c r="D17" s="36"/>
      <c r="E17" s="36">
        <f>IF(Triangulo1!F29=0,"-",Triangulo1!F29)</f>
        <v>7974797</v>
      </c>
      <c r="F17" s="36">
        <f>IF(Triangulo1!G29=0,"-",Triangulo1!G29)</f>
        <v>11597296</v>
      </c>
      <c r="G17" s="36">
        <f>IF(Triangulo1!H29=0,"-",Triangulo1!H29)</f>
        <v>14585912</v>
      </c>
      <c r="H17" s="36">
        <f>IF(Triangulo1!I29=0,"-",Triangulo1!I29)</f>
        <v>16285147</v>
      </c>
      <c r="I17" s="36">
        <f>IF(Triangulo1!J29=0,"-",Triangulo1!J29)</f>
        <v>18338971</v>
      </c>
      <c r="J17" s="36">
        <f>IF(Triangulo1!K29=0,"-",Triangulo1!K29)</f>
        <v>19214501</v>
      </c>
      <c r="K17" s="36">
        <f>IF(Triangulo1!L29=0,"-",Triangulo1!L29)</f>
        <v>19700684</v>
      </c>
      <c r="L17" s="36">
        <f>IF(Triangulo1!M29=0,"-",Triangulo1!M29)</f>
        <v>19926910</v>
      </c>
      <c r="M17" s="37">
        <f>IF(Triangulo1!N29=0,"-",Triangulo1!N29)</f>
        <v>20049671</v>
      </c>
      <c r="N17" s="43">
        <f>+M17*M30</f>
        <v>20127096.744689539</v>
      </c>
      <c r="O17" s="43">
        <f t="shared" ref="O17:Z17" si="13">+N17*N30</f>
        <v>20172432.605956223</v>
      </c>
      <c r="P17" s="43">
        <f t="shared" si="13"/>
        <v>20195350.376259934</v>
      </c>
      <c r="Q17" s="43">
        <f t="shared" si="13"/>
        <v>20207246.061851975</v>
      </c>
      <c r="R17" s="43">
        <f t="shared" si="13"/>
        <v>20213462.101290159</v>
      </c>
      <c r="S17" s="43">
        <f t="shared" si="13"/>
        <v>20216292.508141551</v>
      </c>
      <c r="T17" s="136">
        <f t="shared" si="13"/>
        <v>20217685.935147643</v>
      </c>
      <c r="U17" s="43">
        <f t="shared" si="13"/>
        <v>20218345.379915942</v>
      </c>
      <c r="V17" s="43">
        <f t="shared" si="13"/>
        <v>20218541.629792165</v>
      </c>
      <c r="W17" s="43">
        <f t="shared" si="13"/>
        <v>20218602.788826253</v>
      </c>
      <c r="X17" s="43">
        <f t="shared" si="13"/>
        <v>20218626.043096676</v>
      </c>
      <c r="Y17" s="43">
        <f t="shared" si="13"/>
        <v>20218637.877552956</v>
      </c>
      <c r="Z17" s="43">
        <f t="shared" si="13"/>
        <v>20218659.846320331</v>
      </c>
      <c r="AA17" s="43">
        <f t="shared" si="0"/>
        <v>20218659.846320331</v>
      </c>
      <c r="AB17" s="39">
        <f>+M17</f>
        <v>20049671</v>
      </c>
      <c r="AC17" s="38">
        <f t="shared" si="1"/>
        <v>168988.8463203311</v>
      </c>
    </row>
    <row r="18" spans="1:29" ht="15" customHeight="1" x14ac:dyDescent="0.25">
      <c r="A18" s="40" t="s">
        <v>95</v>
      </c>
      <c r="B18" s="41" t="s">
        <v>23</v>
      </c>
      <c r="C18" s="42"/>
      <c r="D18" s="42">
        <f>IF(Triangulo1!E30=0,"-",Triangulo1!E30)</f>
        <v>4773306</v>
      </c>
      <c r="E18" s="42">
        <f>IF(Triangulo1!F30=0,"-",Triangulo1!F30)</f>
        <v>8697825</v>
      </c>
      <c r="F18" s="42">
        <f>IF(Triangulo1!G30=0,"-",Triangulo1!G30)</f>
        <v>12220494</v>
      </c>
      <c r="G18" s="42">
        <f>IF(Triangulo1!H30=0,"-",Triangulo1!H30)</f>
        <v>14462971</v>
      </c>
      <c r="H18" s="42">
        <f>IF(Triangulo1!I30=0,"-",Triangulo1!I30)</f>
        <v>16656668</v>
      </c>
      <c r="I18" s="42">
        <f>IF(Triangulo1!J30=0,"-",Triangulo1!J30)</f>
        <v>19017438</v>
      </c>
      <c r="J18" s="42">
        <f>IF(Triangulo1!K30=0,"-",Triangulo1!K30)</f>
        <v>19939378</v>
      </c>
      <c r="K18" s="42">
        <f>IF(Triangulo1!L30=0,"-",Triangulo1!L30)</f>
        <v>20384099</v>
      </c>
      <c r="L18" s="37">
        <f>IF(Triangulo1!M30=0,"-",Triangulo1!M30)</f>
        <v>20688336</v>
      </c>
      <c r="M18" s="43">
        <f>+L18*L30</f>
        <v>20855893.237920396</v>
      </c>
      <c r="N18" s="43">
        <f t="shared" ref="N18:Y18" si="14">+M18*M30</f>
        <v>20936432.368218921</v>
      </c>
      <c r="O18" s="43">
        <f t="shared" si="14"/>
        <v>20983591.240921974</v>
      </c>
      <c r="P18" s="43">
        <f t="shared" si="14"/>
        <v>21007430.563308131</v>
      </c>
      <c r="Q18" s="43">
        <f t="shared" si="14"/>
        <v>21019804.589231025</v>
      </c>
      <c r="R18" s="43">
        <f t="shared" si="14"/>
        <v>21026270.583355591</v>
      </c>
      <c r="S18" s="136">
        <f t="shared" si="14"/>
        <v>21029214.804391064</v>
      </c>
      <c r="T18" s="43">
        <f t="shared" si="14"/>
        <v>21030664.262832247</v>
      </c>
      <c r="U18" s="43">
        <f t="shared" si="14"/>
        <v>21031350.224695858</v>
      </c>
      <c r="V18" s="43">
        <f t="shared" si="14"/>
        <v>21031554.366023984</v>
      </c>
      <c r="W18" s="43">
        <f t="shared" si="14"/>
        <v>21031617.984338991</v>
      </c>
      <c r="X18" s="43">
        <f t="shared" si="14"/>
        <v>21031642.173692588</v>
      </c>
      <c r="Y18" s="43">
        <f t="shared" si="14"/>
        <v>21031654.484027091</v>
      </c>
      <c r="Z18" s="43">
        <f>+Y18*Y30</f>
        <v>21031677.336185958</v>
      </c>
      <c r="AA18" s="43">
        <f t="shared" si="0"/>
        <v>21031677.336185958</v>
      </c>
      <c r="AB18" s="39">
        <f>+L18</f>
        <v>20688336</v>
      </c>
      <c r="AC18" s="38">
        <f t="shared" si="1"/>
        <v>343341.33618595824</v>
      </c>
    </row>
    <row r="19" spans="1:29" ht="15" customHeight="1" x14ac:dyDescent="0.25">
      <c r="A19" s="34" t="s">
        <v>96</v>
      </c>
      <c r="B19" s="35" t="s">
        <v>24</v>
      </c>
      <c r="C19" s="36">
        <f>IF(Triangulo1!D31=0,"-",Triangulo1!D31)</f>
        <v>5498188</v>
      </c>
      <c r="D19" s="36">
        <f>IF(Triangulo1!E31=0,"-",Triangulo1!E31)</f>
        <v>10669557</v>
      </c>
      <c r="E19" s="36">
        <f>IF(Triangulo1!F31=0,"-",Triangulo1!F31)</f>
        <v>14420577</v>
      </c>
      <c r="F19" s="36">
        <f>IF(Triangulo1!G31=0,"-",Triangulo1!G31)</f>
        <v>17838126</v>
      </c>
      <c r="G19" s="36">
        <f>IF(Triangulo1!H31=0,"-",Triangulo1!H31)</f>
        <v>20243242</v>
      </c>
      <c r="H19" s="36">
        <f>IF(Triangulo1!I31=0,"-",Triangulo1!I31)</f>
        <v>22179116</v>
      </c>
      <c r="I19" s="36">
        <f>IF(Triangulo1!J31=0,"-",Triangulo1!J31)</f>
        <v>24155749</v>
      </c>
      <c r="J19" s="36">
        <f>IF(Triangulo1!K31=0,"-",Triangulo1!K31)</f>
        <v>25145296</v>
      </c>
      <c r="K19" s="37">
        <f>IF(Triangulo1!L31=0,"-",Triangulo1!L31)</f>
        <v>25647723</v>
      </c>
      <c r="L19" s="43">
        <f>+K19*K30</f>
        <v>26047473.156398524</v>
      </c>
      <c r="M19" s="43">
        <f t="shared" ref="M19:Z19" si="15">+L19*L30</f>
        <v>26258434.669054341</v>
      </c>
      <c r="N19" s="43">
        <f t="shared" si="15"/>
        <v>26359836.774786308</v>
      </c>
      <c r="O19" s="43">
        <f t="shared" si="15"/>
        <v>26419211.751624409</v>
      </c>
      <c r="P19" s="43">
        <f t="shared" si="15"/>
        <v>26449226.447340883</v>
      </c>
      <c r="Q19" s="43">
        <f t="shared" si="15"/>
        <v>26464805.859240573</v>
      </c>
      <c r="R19" s="136">
        <f t="shared" si="15"/>
        <v>26472946.814046655</v>
      </c>
      <c r="S19" s="43">
        <f t="shared" si="15"/>
        <v>26476653.71045379</v>
      </c>
      <c r="T19" s="43">
        <f t="shared" si="15"/>
        <v>26478478.638753388</v>
      </c>
      <c r="U19" s="43">
        <f t="shared" si="15"/>
        <v>26479342.293192718</v>
      </c>
      <c r="V19" s="43">
        <f t="shared" si="15"/>
        <v>26479599.315592416</v>
      </c>
      <c r="W19" s="43">
        <f t="shared" si="15"/>
        <v>26479679.413689837</v>
      </c>
      <c r="X19" s="43">
        <f t="shared" si="15"/>
        <v>26479709.869089365</v>
      </c>
      <c r="Y19" s="43">
        <f t="shared" si="15"/>
        <v>26479725.36831113</v>
      </c>
      <c r="Z19" s="43">
        <f t="shared" si="15"/>
        <v>26479754.140127029</v>
      </c>
      <c r="AA19" s="43">
        <f t="shared" si="0"/>
        <v>26479754.140127029</v>
      </c>
      <c r="AB19" s="39">
        <f>+K19</f>
        <v>25647723</v>
      </c>
      <c r="AC19" s="38">
        <f t="shared" si="1"/>
        <v>832031.14012702927</v>
      </c>
    </row>
    <row r="20" spans="1:29" ht="15" customHeight="1" x14ac:dyDescent="0.25">
      <c r="A20" s="40" t="s">
        <v>97</v>
      </c>
      <c r="B20" s="41" t="s">
        <v>25</v>
      </c>
      <c r="C20" s="42">
        <f>IF(Triangulo1!D32=0,"-",Triangulo1!D32)</f>
        <v>6382667</v>
      </c>
      <c r="D20" s="42">
        <f>IF(Triangulo1!E32=0,"-",Triangulo1!E32)</f>
        <v>10460689</v>
      </c>
      <c r="E20" s="42">
        <f>IF(Triangulo1!F32=0,"-",Triangulo1!F32)</f>
        <v>15242265</v>
      </c>
      <c r="F20" s="42">
        <f>IF(Triangulo1!G32=0,"-",Triangulo1!G32)</f>
        <v>19075882</v>
      </c>
      <c r="G20" s="42">
        <f>IF(Triangulo1!H32=0,"-",Triangulo1!H32)</f>
        <v>21908553</v>
      </c>
      <c r="H20" s="42">
        <f>IF(Triangulo1!I32=0,"-",Triangulo1!I32)</f>
        <v>23938666</v>
      </c>
      <c r="I20" s="42">
        <f>IF(Triangulo1!J32=0,"-",Triangulo1!J32)</f>
        <v>25653115</v>
      </c>
      <c r="J20" s="37">
        <f>IF(Triangulo1!K32=0,"-",Triangulo1!K32)</f>
        <v>26811464</v>
      </c>
      <c r="K20" s="43">
        <f>+J20*J30</f>
        <v>27578440.4034633</v>
      </c>
      <c r="L20" s="43">
        <f t="shared" ref="L20:Z20" si="16">+K20*K30</f>
        <v>28008283.078562051</v>
      </c>
      <c r="M20" s="43">
        <f t="shared" si="16"/>
        <v>28235125.418687254</v>
      </c>
      <c r="N20" s="43">
        <f t="shared" si="16"/>
        <v>28344160.904204421</v>
      </c>
      <c r="O20" s="43">
        <f t="shared" si="16"/>
        <v>28408005.529327147</v>
      </c>
      <c r="P20" s="43">
        <f t="shared" si="16"/>
        <v>28440279.680800352</v>
      </c>
      <c r="Q20" s="136">
        <f t="shared" si="16"/>
        <v>28457031.884596244</v>
      </c>
      <c r="R20" s="43">
        <f t="shared" si="16"/>
        <v>28465785.676772915</v>
      </c>
      <c r="S20" s="43">
        <f t="shared" si="16"/>
        <v>28469771.622100148</v>
      </c>
      <c r="T20" s="43">
        <f t="shared" si="16"/>
        <v>28471733.927929442</v>
      </c>
      <c r="U20" s="43">
        <f t="shared" si="16"/>
        <v>28472662.596820798</v>
      </c>
      <c r="V20" s="43">
        <f t="shared" si="16"/>
        <v>28472938.967433989</v>
      </c>
      <c r="W20" s="43">
        <f t="shared" si="16"/>
        <v>28473025.09518132</v>
      </c>
      <c r="X20" s="43">
        <f t="shared" si="16"/>
        <v>28473057.843212046</v>
      </c>
      <c r="Y20" s="43">
        <f t="shared" si="16"/>
        <v>28473074.509189125</v>
      </c>
      <c r="Z20" s="43">
        <f t="shared" si="16"/>
        <v>28473105.446898881</v>
      </c>
      <c r="AA20" s="43">
        <f t="shared" si="0"/>
        <v>28473105.446898881</v>
      </c>
      <c r="AB20" s="39">
        <f>+J20</f>
        <v>26811464</v>
      </c>
      <c r="AC20" s="38">
        <f t="shared" si="1"/>
        <v>1661641.4468988813</v>
      </c>
    </row>
    <row r="21" spans="1:29" ht="15" customHeight="1" x14ac:dyDescent="0.25">
      <c r="A21" s="34" t="s">
        <v>98</v>
      </c>
      <c r="B21" s="35" t="s">
        <v>26</v>
      </c>
      <c r="C21" s="36">
        <f>IF(Triangulo1!D33=0,"-",Triangulo1!D33)</f>
        <v>3022770</v>
      </c>
      <c r="D21" s="36">
        <f>IF(Triangulo1!E33=0,"-",Triangulo1!E33)</f>
        <v>7899209</v>
      </c>
      <c r="E21" s="36">
        <f>IF(Triangulo1!F33=0,"-",Triangulo1!F33)</f>
        <v>11259161</v>
      </c>
      <c r="F21" s="36">
        <f>IF(Triangulo1!G33=0,"-",Triangulo1!G33)</f>
        <v>14497513</v>
      </c>
      <c r="G21" s="36">
        <f>IF(Triangulo1!H33=0,"-",Triangulo1!H33)</f>
        <v>17221120</v>
      </c>
      <c r="H21" s="36">
        <f>IF(Triangulo1!I33=0,"-",Triangulo1!I33)</f>
        <v>19234288</v>
      </c>
      <c r="I21" s="37">
        <f>IF(Triangulo1!J33=0,"-",Triangulo1!J33)</f>
        <v>21399003</v>
      </c>
      <c r="J21" s="43">
        <f>+I21*I30</f>
        <v>22606802.966145858</v>
      </c>
      <c r="K21" s="43">
        <f t="shared" ref="K21:Z21" si="17">+J21*J30</f>
        <v>23253499.634137508</v>
      </c>
      <c r="L21" s="43">
        <f t="shared" si="17"/>
        <v>23615932.982141126</v>
      </c>
      <c r="M21" s="43">
        <f t="shared" si="17"/>
        <v>23807201.168301713</v>
      </c>
      <c r="N21" s="43">
        <f t="shared" si="17"/>
        <v>23899137.3541588</v>
      </c>
      <c r="O21" s="43">
        <f t="shared" si="17"/>
        <v>23952969.657407772</v>
      </c>
      <c r="P21" s="136">
        <f t="shared" si="17"/>
        <v>23980182.471421</v>
      </c>
      <c r="Q21" s="43">
        <f t="shared" si="17"/>
        <v>23994307.540102907</v>
      </c>
      <c r="R21" s="43">
        <f t="shared" si="17"/>
        <v>24001688.534104001</v>
      </c>
      <c r="S21" s="43">
        <f t="shared" si="17"/>
        <v>24005049.390514027</v>
      </c>
      <c r="T21" s="43">
        <f t="shared" si="17"/>
        <v>24006703.961157475</v>
      </c>
      <c r="U21" s="43">
        <f t="shared" si="17"/>
        <v>24007486.99317123</v>
      </c>
      <c r="V21" s="43">
        <f t="shared" si="17"/>
        <v>24007720.0224455</v>
      </c>
      <c r="W21" s="43">
        <f t="shared" si="17"/>
        <v>24007792.643359218</v>
      </c>
      <c r="X21" s="43">
        <f t="shared" si="17"/>
        <v>24007820.255737197</v>
      </c>
      <c r="Y21" s="43">
        <f t="shared" si="17"/>
        <v>24007834.308101516</v>
      </c>
      <c r="Z21" s="43">
        <f t="shared" si="17"/>
        <v>24007860.39405895</v>
      </c>
      <c r="AA21" s="43">
        <f t="shared" si="0"/>
        <v>24007860.39405895</v>
      </c>
      <c r="AB21" s="39">
        <f>+I21</f>
        <v>21399003</v>
      </c>
      <c r="AC21" s="38">
        <f t="shared" si="1"/>
        <v>2608857.3940589502</v>
      </c>
    </row>
    <row r="22" spans="1:29" ht="15" customHeight="1" x14ac:dyDescent="0.25">
      <c r="A22" s="40" t="s">
        <v>99</v>
      </c>
      <c r="B22" s="41" t="s">
        <v>27</v>
      </c>
      <c r="C22" s="42">
        <f>IF(Triangulo1!D34=0,"-",Triangulo1!D34)</f>
        <v>6936281</v>
      </c>
      <c r="D22" s="42">
        <f>IF(Triangulo1!E34=0,"-",Triangulo1!E34)</f>
        <v>21936281</v>
      </c>
      <c r="E22" s="42">
        <f>IF(Triangulo1!F34=0,"-",Triangulo1!F34)</f>
        <v>25150070</v>
      </c>
      <c r="F22" s="42">
        <f>IF(Triangulo1!G34=0,"-",Triangulo1!G34)</f>
        <v>28898330</v>
      </c>
      <c r="G22" s="42">
        <f>IF(Triangulo1!H34=0,"-",Triangulo1!H34)</f>
        <v>31903741</v>
      </c>
      <c r="H22" s="37">
        <f>IF(Triangulo1!I34=0,"-",Triangulo1!I34)</f>
        <v>33589263</v>
      </c>
      <c r="I22" s="43">
        <f>H30*H22</f>
        <v>37356679.454397894</v>
      </c>
      <c r="J22" s="43">
        <f t="shared" ref="J22:Z22" si="18">I30*I22</f>
        <v>39465160.685058191</v>
      </c>
      <c r="K22" s="43">
        <f t="shared" si="18"/>
        <v>40594112.353058383</v>
      </c>
      <c r="L22" s="43">
        <f t="shared" si="18"/>
        <v>41226819.699515387</v>
      </c>
      <c r="M22" s="43">
        <f t="shared" si="18"/>
        <v>41560720.50415685</v>
      </c>
      <c r="N22" s="43">
        <f t="shared" si="18"/>
        <v>41721215.393817045</v>
      </c>
      <c r="O22" s="136">
        <f t="shared" si="18"/>
        <v>41815191.552274697</v>
      </c>
      <c r="P22" s="43">
        <f t="shared" si="18"/>
        <v>41862697.521134287</v>
      </c>
      <c r="Q22" s="43">
        <f t="shared" si="18"/>
        <v>41887355.943913206</v>
      </c>
      <c r="R22" s="43">
        <f t="shared" si="18"/>
        <v>41900241.096878216</v>
      </c>
      <c r="S22" s="43">
        <f t="shared" si="18"/>
        <v>41906108.213005148</v>
      </c>
      <c r="T22" s="43">
        <f t="shared" si="18"/>
        <v>41908996.630991809</v>
      </c>
      <c r="U22" s="43">
        <f t="shared" si="18"/>
        <v>41910363.586075671</v>
      </c>
      <c r="V22" s="43">
        <f t="shared" si="18"/>
        <v>41910770.390070342</v>
      </c>
      <c r="W22" s="43">
        <f t="shared" si="18"/>
        <v>41910897.165892348</v>
      </c>
      <c r="X22" s="43">
        <f t="shared" si="18"/>
        <v>41910945.369388238</v>
      </c>
      <c r="Y22" s="43">
        <f t="shared" si="18"/>
        <v>41910969.900889516</v>
      </c>
      <c r="Z22" s="43">
        <f t="shared" si="18"/>
        <v>41911015.439681679</v>
      </c>
      <c r="AA22" s="43">
        <f t="shared" si="0"/>
        <v>41911015.439681679</v>
      </c>
      <c r="AB22" s="39">
        <f>+H22</f>
        <v>33589263</v>
      </c>
      <c r="AC22" s="38">
        <f t="shared" si="1"/>
        <v>8321752.439681679</v>
      </c>
    </row>
    <row r="23" spans="1:29" ht="15" customHeight="1" x14ac:dyDescent="0.25">
      <c r="A23" s="34" t="s">
        <v>100</v>
      </c>
      <c r="B23" s="35" t="s">
        <v>28</v>
      </c>
      <c r="C23" s="36">
        <f>IF(Triangulo1!D35=0,"-",Triangulo1!D35)</f>
        <v>6691248</v>
      </c>
      <c r="D23" s="36">
        <f>IF(Triangulo1!E35=0,"-",Triangulo1!E35)</f>
        <v>11756013</v>
      </c>
      <c r="E23" s="36">
        <f>IF(Triangulo1!F35=0,"-",Triangulo1!F35)</f>
        <v>15391294</v>
      </c>
      <c r="F23" s="36">
        <f>IF(Triangulo1!G35=0,"-",Triangulo1!G35)</f>
        <v>18736499</v>
      </c>
      <c r="G23" s="37">
        <f>IF(Triangulo1!H35=0,"-",Triangulo1!H35)</f>
        <v>21705785</v>
      </c>
      <c r="H23" s="43">
        <f>G30*G23</f>
        <v>23968066.776447374</v>
      </c>
      <c r="I23" s="43">
        <f t="shared" ref="I23:Z23" si="19">H30*H23</f>
        <v>26656357.054018971</v>
      </c>
      <c r="J23" s="43">
        <f t="shared" si="19"/>
        <v>28160891.968445402</v>
      </c>
      <c r="K23" s="43">
        <f t="shared" si="19"/>
        <v>28966470.494119227</v>
      </c>
      <c r="L23" s="43">
        <f t="shared" si="19"/>
        <v>29417947.263044771</v>
      </c>
      <c r="M23" s="43">
        <f t="shared" si="19"/>
        <v>29656206.637248848</v>
      </c>
      <c r="N23" s="136">
        <f t="shared" si="19"/>
        <v>29770729.907159656</v>
      </c>
      <c r="O23" s="43">
        <f t="shared" si="19"/>
        <v>29837787.848898571</v>
      </c>
      <c r="P23" s="43">
        <f t="shared" si="19"/>
        <v>29871686.366823971</v>
      </c>
      <c r="Q23" s="43">
        <f t="shared" si="19"/>
        <v>29889281.713401448</v>
      </c>
      <c r="R23" s="43">
        <f t="shared" si="19"/>
        <v>29898476.086219039</v>
      </c>
      <c r="S23" s="43">
        <f t="shared" si="19"/>
        <v>29902662.645213068</v>
      </c>
      <c r="T23" s="43">
        <f t="shared" si="19"/>
        <v>29904723.714406002</v>
      </c>
      <c r="U23" s="43">
        <f t="shared" si="19"/>
        <v>29905699.123444613</v>
      </c>
      <c r="V23" s="43">
        <f t="shared" si="19"/>
        <v>29905989.403862771</v>
      </c>
      <c r="W23" s="43">
        <f t="shared" si="19"/>
        <v>29906079.866442062</v>
      </c>
      <c r="X23" s="43">
        <f t="shared" si="19"/>
        <v>29906114.262689706</v>
      </c>
      <c r="Y23" s="43">
        <f t="shared" si="19"/>
        <v>29906131.767469756</v>
      </c>
      <c r="Z23" s="43">
        <f t="shared" si="19"/>
        <v>29906164.262282506</v>
      </c>
      <c r="AA23" s="43">
        <f t="shared" si="0"/>
        <v>29906164.262282506</v>
      </c>
      <c r="AB23" s="39">
        <f>+G23</f>
        <v>21705785</v>
      </c>
      <c r="AC23" s="38">
        <f t="shared" si="1"/>
        <v>8200379.2622825056</v>
      </c>
    </row>
    <row r="24" spans="1:29" ht="15" customHeight="1" x14ac:dyDescent="0.25">
      <c r="A24" s="40" t="s">
        <v>101</v>
      </c>
      <c r="B24" s="41" t="s">
        <v>29</v>
      </c>
      <c r="C24" s="42">
        <f>IF(Triangulo1!D36=0,"-",Triangulo1!D36)</f>
        <v>4191817</v>
      </c>
      <c r="D24" s="42">
        <f>IF(Triangulo1!E36=0,"-",Triangulo1!E36)</f>
        <v>9775450</v>
      </c>
      <c r="E24" s="42">
        <f>IF(Triangulo1!F36=0,"-",Triangulo1!F36)</f>
        <v>14374440</v>
      </c>
      <c r="F24" s="37">
        <f>IF(Triangulo1!G36=0,"-",Triangulo1!G36)</f>
        <v>17306094</v>
      </c>
      <c r="G24" s="43">
        <f>F30*F24</f>
        <v>20108546.137211155</v>
      </c>
      <c r="H24" s="43">
        <f t="shared" ref="H24:Z24" si="20">G30*G24</f>
        <v>22204355.962889612</v>
      </c>
      <c r="I24" s="43">
        <f t="shared" si="20"/>
        <v>24694826.087640438</v>
      </c>
      <c r="J24" s="43">
        <f t="shared" si="20"/>
        <v>26088648.506032076</v>
      </c>
      <c r="K24" s="43">
        <f t="shared" si="20"/>
        <v>26834947.842852127</v>
      </c>
      <c r="L24" s="43">
        <f t="shared" si="20"/>
        <v>27253202.305329219</v>
      </c>
      <c r="M24" s="136">
        <f t="shared" si="20"/>
        <v>27473929.158507105</v>
      </c>
      <c r="N24" s="43">
        <f t="shared" si="20"/>
        <v>27580025.13507675</v>
      </c>
      <c r="O24" s="43">
        <f t="shared" si="20"/>
        <v>27642148.560482621</v>
      </c>
      <c r="P24" s="43">
        <f t="shared" si="20"/>
        <v>27673552.626803465</v>
      </c>
      <c r="Q24" s="43">
        <f t="shared" si="20"/>
        <v>27689853.204665698</v>
      </c>
      <c r="R24" s="43">
        <f t="shared" si="20"/>
        <v>27698371.001649555</v>
      </c>
      <c r="S24" s="43">
        <f t="shared" si="20"/>
        <v>27702249.489098296</v>
      </c>
      <c r="T24" s="43">
        <f t="shared" si="20"/>
        <v>27704158.89274152</v>
      </c>
      <c r="U24" s="43">
        <f t="shared" si="20"/>
        <v>27705062.525466874</v>
      </c>
      <c r="V24" s="43">
        <f t="shared" si="20"/>
        <v>27705331.445350733</v>
      </c>
      <c r="W24" s="43">
        <f t="shared" si="20"/>
        <v>27705415.251163304</v>
      </c>
      <c r="X24" s="43">
        <f t="shared" si="20"/>
        <v>27705447.116333473</v>
      </c>
      <c r="Y24" s="43">
        <f t="shared" si="20"/>
        <v>27705463.333009224</v>
      </c>
      <c r="Z24" s="43">
        <f t="shared" si="20"/>
        <v>27705493.436663222</v>
      </c>
      <c r="AA24" s="43">
        <f t="shared" si="0"/>
        <v>27705493.436663222</v>
      </c>
      <c r="AB24" s="39">
        <f>+F24</f>
        <v>17306094</v>
      </c>
      <c r="AC24" s="38">
        <f t="shared" si="1"/>
        <v>10399399.436663222</v>
      </c>
    </row>
    <row r="25" spans="1:29" ht="15" customHeight="1" x14ac:dyDescent="0.25">
      <c r="A25" s="34" t="s">
        <v>102</v>
      </c>
      <c r="B25" s="35" t="s">
        <v>30</v>
      </c>
      <c r="C25" s="36">
        <f>IF(Triangulo1!D37=0,"-",Triangulo1!D37)</f>
        <v>5916671</v>
      </c>
      <c r="D25" s="36">
        <f>IF(Triangulo1!E37=0,"-",Triangulo1!E37)</f>
        <v>11716355</v>
      </c>
      <c r="E25" s="37">
        <f>IF(Triangulo1!F37=0,"-",Triangulo1!F37)</f>
        <v>15374462</v>
      </c>
      <c r="F25" s="43">
        <f>E25*E30</f>
        <v>19154152.688939691</v>
      </c>
      <c r="G25" s="43">
        <f t="shared" ref="G25:Z25" si="21">F25*F30</f>
        <v>22255869.12128935</v>
      </c>
      <c r="H25" s="43">
        <f t="shared" si="21"/>
        <v>24575483.322392453</v>
      </c>
      <c r="I25" s="43">
        <f t="shared" si="21"/>
        <v>27331902.248391584</v>
      </c>
      <c r="J25" s="43">
        <f t="shared" si="21"/>
        <v>28874566.203824893</v>
      </c>
      <c r="K25" s="43">
        <f t="shared" si="21"/>
        <v>29700560.298685681</v>
      </c>
      <c r="L25" s="136">
        <f t="shared" si="21"/>
        <v>30163478.727137335</v>
      </c>
      <c r="M25" s="43">
        <f t="shared" si="21"/>
        <v>30407776.247324061</v>
      </c>
      <c r="N25" s="43">
        <f t="shared" si="21"/>
        <v>30525201.850981198</v>
      </c>
      <c r="O25" s="43">
        <f t="shared" si="21"/>
        <v>30593959.224874116</v>
      </c>
      <c r="P25" s="43">
        <f t="shared" si="21"/>
        <v>30628716.824212421</v>
      </c>
      <c r="Q25" s="43">
        <f t="shared" si="21"/>
        <v>30646758.085128438</v>
      </c>
      <c r="R25" s="43">
        <f t="shared" si="21"/>
        <v>30656185.468569335</v>
      </c>
      <c r="S25" s="43">
        <f t="shared" si="21"/>
        <v>30660478.126450155</v>
      </c>
      <c r="T25" s="43">
        <f t="shared" si="21"/>
        <v>30662591.428789042</v>
      </c>
      <c r="U25" s="43">
        <f t="shared" si="21"/>
        <v>30663591.557367805</v>
      </c>
      <c r="V25" s="43">
        <f t="shared" si="21"/>
        <v>30663889.19428787</v>
      </c>
      <c r="W25" s="43">
        <f t="shared" si="21"/>
        <v>30663981.949437018</v>
      </c>
      <c r="X25" s="43">
        <f t="shared" si="21"/>
        <v>30664017.217379909</v>
      </c>
      <c r="Y25" s="43">
        <f t="shared" si="21"/>
        <v>30664035.165779091</v>
      </c>
      <c r="Z25" s="43">
        <f t="shared" si="21"/>
        <v>30664068.484099515</v>
      </c>
      <c r="AA25" s="43">
        <f t="shared" si="0"/>
        <v>30664068.484099515</v>
      </c>
      <c r="AB25" s="39">
        <f>+E25</f>
        <v>15374462</v>
      </c>
      <c r="AC25" s="38">
        <f t="shared" si="1"/>
        <v>15289606.484099515</v>
      </c>
    </row>
    <row r="26" spans="1:29" ht="15" customHeight="1" x14ac:dyDescent="0.25">
      <c r="A26" s="40" t="s">
        <v>103</v>
      </c>
      <c r="B26" s="41" t="s">
        <v>31</v>
      </c>
      <c r="C26" s="42">
        <f>IF(Triangulo1!D38=0,"-",Triangulo1!D38)</f>
        <v>4926500</v>
      </c>
      <c r="D26" s="37">
        <f>IF(Triangulo1!E38=0,"-",Triangulo1!E38)</f>
        <v>9321834</v>
      </c>
      <c r="E26" s="43">
        <f>D26*D30</f>
        <v>12561202.757265465</v>
      </c>
      <c r="F26" s="43">
        <f t="shared" ref="F26:Z26" si="22">E26*E30</f>
        <v>15649275.764536865</v>
      </c>
      <c r="G26" s="43">
        <f t="shared" si="22"/>
        <v>18183432.016787261</v>
      </c>
      <c r="H26" s="43">
        <f t="shared" si="22"/>
        <v>20078597.148333877</v>
      </c>
      <c r="I26" s="43">
        <f t="shared" si="22"/>
        <v>22330639.334489007</v>
      </c>
      <c r="J26" s="43">
        <f t="shared" si="22"/>
        <v>23591022.607121434</v>
      </c>
      <c r="K26" s="136">
        <f t="shared" si="22"/>
        <v>24265874.143510174</v>
      </c>
      <c r="L26" s="43">
        <f t="shared" si="22"/>
        <v>24644086.547941361</v>
      </c>
      <c r="M26" s="43">
        <f t="shared" si="22"/>
        <v>24843681.869336192</v>
      </c>
      <c r="N26" s="43">
        <f t="shared" si="22"/>
        <v>24939620.629107531</v>
      </c>
      <c r="O26" s="43">
        <f t="shared" si="22"/>
        <v>24995796.599006582</v>
      </c>
      <c r="P26" s="43">
        <f t="shared" si="22"/>
        <v>25024194.161968086</v>
      </c>
      <c r="Q26" s="43">
        <f t="shared" si="22"/>
        <v>25038934.185805202</v>
      </c>
      <c r="R26" s="43">
        <f t="shared" si="22"/>
        <v>25046636.521982662</v>
      </c>
      <c r="S26" s="43">
        <f t="shared" si="22"/>
        <v>25050143.698104244</v>
      </c>
      <c r="T26" s="43">
        <f t="shared" si="22"/>
        <v>25051870.30285738</v>
      </c>
      <c r="U26" s="43">
        <f t="shared" si="22"/>
        <v>25052687.425294653</v>
      </c>
      <c r="V26" s="43">
        <f t="shared" si="22"/>
        <v>25052930.599833116</v>
      </c>
      <c r="W26" s="43">
        <f t="shared" si="22"/>
        <v>25053006.382402629</v>
      </c>
      <c r="X26" s="43">
        <f t="shared" si="22"/>
        <v>25053035.196925145</v>
      </c>
      <c r="Y26" s="43">
        <f t="shared" si="22"/>
        <v>25053049.861079331</v>
      </c>
      <c r="Z26" s="43">
        <f t="shared" si="22"/>
        <v>25053077.082726397</v>
      </c>
      <c r="AA26" s="43">
        <f t="shared" si="0"/>
        <v>25053077.082726397</v>
      </c>
      <c r="AB26" s="39">
        <f>+D26</f>
        <v>9321834</v>
      </c>
      <c r="AC26" s="38">
        <f t="shared" si="1"/>
        <v>15731243.082726397</v>
      </c>
    </row>
    <row r="27" spans="1:29" ht="15" customHeight="1" x14ac:dyDescent="0.25">
      <c r="A27" s="34" t="s">
        <v>104</v>
      </c>
      <c r="B27" s="35" t="s">
        <v>32</v>
      </c>
      <c r="C27" s="49">
        <f>IF(Triangulo1!D39=0,"-",Triangulo1!D39)</f>
        <v>5149958</v>
      </c>
      <c r="D27" s="50">
        <f>C27*C30</f>
        <v>11056827.563792637</v>
      </c>
      <c r="E27" s="50">
        <f t="shared" ref="E27:Z27" si="23">D27*D30</f>
        <v>14899112.436557105</v>
      </c>
      <c r="F27" s="50">
        <f t="shared" si="23"/>
        <v>18561942.17004114</v>
      </c>
      <c r="G27" s="50">
        <f t="shared" si="23"/>
        <v>21567759.340872504</v>
      </c>
      <c r="H27" s="50">
        <f t="shared" si="23"/>
        <v>23815655.41630394</v>
      </c>
      <c r="I27" s="50">
        <f t="shared" si="23"/>
        <v>26486851.03282145</v>
      </c>
      <c r="J27" s="136">
        <f t="shared" si="23"/>
        <v>27981818.708687101</v>
      </c>
      <c r="K27" s="50">
        <f t="shared" si="23"/>
        <v>28782274.613502704</v>
      </c>
      <c r="L27" s="50">
        <f t="shared" si="23"/>
        <v>29230880.471350316</v>
      </c>
      <c r="M27" s="50">
        <f t="shared" si="23"/>
        <v>29467624.769865226</v>
      </c>
      <c r="N27" s="50">
        <f t="shared" si="23"/>
        <v>29581419.793835383</v>
      </c>
      <c r="O27" s="50">
        <f t="shared" si="23"/>
        <v>29648051.318533484</v>
      </c>
      <c r="P27" s="50">
        <f t="shared" si="23"/>
        <v>29681734.278013054</v>
      </c>
      <c r="Q27" s="50">
        <f t="shared" si="23"/>
        <v>29699217.736938968</v>
      </c>
      <c r="R27" s="50">
        <f t="shared" si="23"/>
        <v>29708353.64334457</v>
      </c>
      <c r="S27" s="50">
        <f t="shared" si="23"/>
        <v>29712513.580285326</v>
      </c>
      <c r="T27" s="50">
        <f t="shared" si="23"/>
        <v>29714561.543274827</v>
      </c>
      <c r="U27" s="50">
        <f t="shared" si="23"/>
        <v>29715530.749751516</v>
      </c>
      <c r="V27" s="50">
        <f t="shared" si="23"/>
        <v>29715819.184295587</v>
      </c>
      <c r="W27" s="50">
        <f t="shared" si="23"/>
        <v>29715909.071629286</v>
      </c>
      <c r="X27" s="50">
        <f t="shared" si="23"/>
        <v>29715943.249153454</v>
      </c>
      <c r="Y27" s="50">
        <f t="shared" si="23"/>
        <v>29715960.642621759</v>
      </c>
      <c r="Z27" s="50">
        <f t="shared" si="23"/>
        <v>29715992.930802129</v>
      </c>
      <c r="AA27" s="43">
        <f t="shared" si="0"/>
        <v>29715992.930802129</v>
      </c>
      <c r="AB27" s="39">
        <f>+C27</f>
        <v>5149958</v>
      </c>
      <c r="AC27" s="38">
        <f t="shared" si="1"/>
        <v>24566034.930802129</v>
      </c>
    </row>
    <row r="28" spans="1:29" ht="15" customHeight="1" x14ac:dyDescent="0.25">
      <c r="A28" s="44" t="s">
        <v>105</v>
      </c>
      <c r="B28" s="48"/>
      <c r="C28" s="53">
        <f>SUM(D19:D26)</f>
        <v>93535388</v>
      </c>
      <c r="D28" s="53">
        <f>SUM(E18:E25)</f>
        <v>119910094</v>
      </c>
      <c r="E28" s="53">
        <f>SUM(F17:F24)</f>
        <v>140170234</v>
      </c>
      <c r="F28" s="53">
        <f>SUM(G16:G23)</f>
        <v>155315660</v>
      </c>
      <c r="G28" s="53">
        <f>SUM(H15:H22)</f>
        <v>162298291</v>
      </c>
      <c r="H28" s="53">
        <f>SUM(I14:I21)</f>
        <v>155764784</v>
      </c>
      <c r="I28" s="53">
        <f>SUM(J13:J20)</f>
        <v>154906842</v>
      </c>
      <c r="J28" s="53">
        <f>SUM(K12:K19)</f>
        <v>146864136</v>
      </c>
      <c r="K28" s="53">
        <f>SUM(L11:L18)</f>
        <v>136904097</v>
      </c>
      <c r="L28" s="53">
        <f>SUM(M10:M17)</f>
        <v>127817018</v>
      </c>
      <c r="M28" s="53">
        <f>SUM(N9:N16)</f>
        <v>121164087</v>
      </c>
      <c r="N28" s="53">
        <f>SUM(O8:O15)</f>
        <v>113546368</v>
      </c>
      <c r="O28" s="53">
        <f>SUM(P7:P14)</f>
        <v>114372144</v>
      </c>
      <c r="P28" s="53">
        <f>SUM(Q6:Q13)</f>
        <v>111181861</v>
      </c>
      <c r="Q28" s="53">
        <f>SUM(R5:R12)</f>
        <v>114600758</v>
      </c>
      <c r="R28" s="53">
        <f>SUM(S4:S11)</f>
        <v>113609232</v>
      </c>
      <c r="S28" s="53">
        <f>SUM(T4:T10)</f>
        <v>99504954</v>
      </c>
      <c r="T28" s="53">
        <f>SUM(U4:U9)</f>
        <v>88667706</v>
      </c>
      <c r="U28" s="53">
        <f>SUM(V4:V8)</f>
        <v>75619969</v>
      </c>
      <c r="V28" s="53">
        <f>SUM(W4:W7)</f>
        <v>63803989</v>
      </c>
      <c r="W28" s="53">
        <f>SUM(X4:X6)</f>
        <v>44342390</v>
      </c>
      <c r="X28" s="53">
        <f>SUM(Y4:Y5)</f>
        <v>32460648</v>
      </c>
      <c r="Y28" s="53">
        <f>SUM(Z4)</f>
        <v>14725385</v>
      </c>
      <c r="Z28" s="53"/>
      <c r="AA28" s="43"/>
      <c r="AB28" s="39"/>
      <c r="AC28" s="38"/>
    </row>
    <row r="29" spans="1:29" ht="15" customHeight="1" x14ac:dyDescent="0.25">
      <c r="A29" s="46" t="s">
        <v>106</v>
      </c>
      <c r="B29" s="47"/>
      <c r="C29" s="51">
        <f>SUM(C19:C26)</f>
        <v>43566142</v>
      </c>
      <c r="D29" s="51">
        <f>SUM(D18:D25)</f>
        <v>88986860</v>
      </c>
      <c r="E29" s="51">
        <f>SUM(E17:E24)</f>
        <v>112510429</v>
      </c>
      <c r="F29" s="51">
        <f>SUM(F16:F23)</f>
        <v>133669903</v>
      </c>
      <c r="G29" s="51">
        <f>SUM(G15:G22)</f>
        <v>146979389</v>
      </c>
      <c r="H29" s="51">
        <f>SUM(H14:H21)</f>
        <v>140055925</v>
      </c>
      <c r="I29" s="51">
        <f>SUM(I13:I20)</f>
        <v>146630728</v>
      </c>
      <c r="J29" s="51">
        <f>SUM(J12:J19)</f>
        <v>142779738</v>
      </c>
      <c r="K29" s="51">
        <f>SUM(K11:K18)</f>
        <v>134803032</v>
      </c>
      <c r="L29" s="51">
        <f>SUM(L10:L17)</f>
        <v>126790130</v>
      </c>
      <c r="M29" s="51">
        <f>SUM(M9:M16)</f>
        <v>120697988</v>
      </c>
      <c r="N29" s="51">
        <f>SUM(N8:N15)</f>
        <v>113291182</v>
      </c>
      <c r="O29" s="51">
        <f>SUM(O7:O14)</f>
        <v>114242354</v>
      </c>
      <c r="P29" s="51">
        <f>SUM(P6:P13)</f>
        <v>111116410</v>
      </c>
      <c r="Q29" s="51">
        <f>SUM(Q5:Q12)</f>
        <v>114565516</v>
      </c>
      <c r="R29" s="51">
        <f>SUM(R4:R11)</f>
        <v>113593326</v>
      </c>
      <c r="S29" s="51">
        <f>SUM(S4:S10)</f>
        <v>99498096</v>
      </c>
      <c r="T29" s="51">
        <f>SUM(T4:T9)</f>
        <v>88664814</v>
      </c>
      <c r="U29" s="51">
        <f>SUM(U4:U8)</f>
        <v>75619235</v>
      </c>
      <c r="V29" s="51">
        <f>SUM(V4:V7)</f>
        <v>63803796</v>
      </c>
      <c r="W29" s="51">
        <f>SUM(W4:W6)</f>
        <v>44342339</v>
      </c>
      <c r="X29" s="51">
        <f>SUM(X4:X5)</f>
        <v>32460629</v>
      </c>
      <c r="Y29" s="51">
        <f>SUM(Y4)</f>
        <v>14725369</v>
      </c>
      <c r="Z29" s="51"/>
      <c r="AA29" s="43"/>
      <c r="AB29" s="39"/>
      <c r="AC29" s="38"/>
    </row>
    <row r="30" spans="1:29" ht="15" customHeight="1" x14ac:dyDescent="0.25">
      <c r="A30" s="46" t="s">
        <v>50</v>
      </c>
      <c r="B30" s="47"/>
      <c r="C30" s="52">
        <f>C28/C29</f>
        <v>2.1469743178085405</v>
      </c>
      <c r="D30" s="52">
        <f t="shared" ref="D30:Y30" si="24">D28/D29</f>
        <v>1.3475033729698969</v>
      </c>
      <c r="E30" s="52">
        <f t="shared" si="24"/>
        <v>1.245842143220341</v>
      </c>
      <c r="F30" s="52">
        <f t="shared" si="24"/>
        <v>1.1619344109197116</v>
      </c>
      <c r="G30" s="52">
        <f t="shared" si="24"/>
        <v>1.1042248311428209</v>
      </c>
      <c r="H30" s="52">
        <f t="shared" si="24"/>
        <v>1.1121613312682059</v>
      </c>
      <c r="I30" s="52">
        <f>I28/I29</f>
        <v>1.0564418803131088</v>
      </c>
      <c r="J30" s="52">
        <f t="shared" si="24"/>
        <v>1.0286062858582918</v>
      </c>
      <c r="K30" s="52">
        <f t="shared" si="24"/>
        <v>1.0155861850347698</v>
      </c>
      <c r="L30" s="52">
        <f t="shared" si="24"/>
        <v>1.0080991162324702</v>
      </c>
      <c r="M30" s="52">
        <f t="shared" si="24"/>
        <v>1.0038616965180895</v>
      </c>
      <c r="N30" s="52">
        <f t="shared" si="24"/>
        <v>1.0022524789263829</v>
      </c>
      <c r="O30" s="52">
        <f t="shared" si="24"/>
        <v>1.0011360935367282</v>
      </c>
      <c r="P30" s="52">
        <f t="shared" si="24"/>
        <v>1.0005890309091159</v>
      </c>
      <c r="Q30" s="52">
        <f t="shared" si="24"/>
        <v>1.0003076143784837</v>
      </c>
      <c r="R30" s="52">
        <f t="shared" si="24"/>
        <v>1.0001400258321513</v>
      </c>
      <c r="S30" s="52">
        <f t="shared" si="24"/>
        <v>1.0000689259420603</v>
      </c>
      <c r="T30" s="52">
        <f t="shared" si="24"/>
        <v>1.0000326172228817</v>
      </c>
      <c r="U30" s="52">
        <f t="shared" si="24"/>
        <v>1.0000097065250659</v>
      </c>
      <c r="V30" s="52">
        <f t="shared" si="24"/>
        <v>1.0000030248983931</v>
      </c>
      <c r="W30" s="52">
        <f t="shared" si="24"/>
        <v>1.0000011501423054</v>
      </c>
      <c r="X30" s="52">
        <f t="shared" si="24"/>
        <v>1.0000005853244556</v>
      </c>
      <c r="Y30" s="52">
        <f t="shared" si="24"/>
        <v>1.0000010865602078</v>
      </c>
      <c r="Z30" s="52">
        <v>1</v>
      </c>
      <c r="AA30" s="43"/>
      <c r="AB30" s="39"/>
      <c r="AC30" s="38"/>
    </row>
    <row r="31" spans="1:29" ht="15" customHeight="1" x14ac:dyDescent="0.25">
      <c r="A31" s="157" t="s">
        <v>151</v>
      </c>
      <c r="B31" s="157"/>
      <c r="C31" s="81">
        <f>+C30*D31</f>
        <v>5.7701427721938954</v>
      </c>
      <c r="D31" s="81">
        <f t="shared" ref="D31:X31" si="25">+D30*E31</f>
        <v>2.6875695365017664</v>
      </c>
      <c r="E31" s="81">
        <f t="shared" si="25"/>
        <v>1.9944807489263381</v>
      </c>
      <c r="F31" s="81">
        <f t="shared" si="25"/>
        <v>1.6009096816799462</v>
      </c>
      <c r="G31" s="81">
        <f t="shared" si="25"/>
        <v>1.3777969450209933</v>
      </c>
      <c r="H31" s="81">
        <f t="shared" si="25"/>
        <v>1.2477503730784953</v>
      </c>
      <c r="I31" s="81">
        <f t="shared" si="25"/>
        <v>1.1219149038886977</v>
      </c>
      <c r="J31" s="81">
        <f t="shared" si="25"/>
        <v>1.0619750360106739</v>
      </c>
      <c r="K31" s="81">
        <f t="shared" si="25"/>
        <v>1.0324407410407166</v>
      </c>
      <c r="L31" s="81">
        <f t="shared" si="25"/>
        <v>1.0165958894028966</v>
      </c>
      <c r="M31" s="81">
        <f t="shared" si="25"/>
        <v>1.0084285096907744</v>
      </c>
      <c r="N31" s="81">
        <f t="shared" si="25"/>
        <v>1.0045492453676885</v>
      </c>
      <c r="O31" s="81">
        <f t="shared" si="25"/>
        <v>1.0022916046501236</v>
      </c>
      <c r="P31" s="81">
        <f t="shared" si="25"/>
        <v>1.0011541998344233</v>
      </c>
      <c r="Q31" s="81">
        <f t="shared" si="25"/>
        <v>1.0005648362193156</v>
      </c>
      <c r="R31" s="81">
        <f t="shared" si="25"/>
        <v>1.0002571427400277</v>
      </c>
      <c r="S31" s="81">
        <f>+S30*T31</f>
        <v>1.0001171005107798</v>
      </c>
      <c r="T31" s="81">
        <f>+T30*U31</f>
        <v>1.0000481712484708</v>
      </c>
      <c r="U31" s="81">
        <f t="shared" si="25"/>
        <v>1.0000155535182764</v>
      </c>
      <c r="V31" s="81">
        <f t="shared" si="25"/>
        <v>1.000005846936457</v>
      </c>
      <c r="W31" s="81">
        <f t="shared" si="25"/>
        <v>1.0000028220295276</v>
      </c>
      <c r="X31" s="81">
        <f t="shared" si="25"/>
        <v>1.0000016718852993</v>
      </c>
      <c r="Y31" s="81">
        <f>+Y30*Z31</f>
        <v>1.0000010865602078</v>
      </c>
      <c r="Z31" s="81">
        <v>1</v>
      </c>
      <c r="AA31" s="43"/>
      <c r="AB31" s="39"/>
      <c r="AC31" s="38"/>
    </row>
    <row r="32" spans="1:29" ht="15" customHeight="1" x14ac:dyDescent="0.25">
      <c r="A32" s="157" t="s">
        <v>152</v>
      </c>
      <c r="B32" s="157"/>
      <c r="C32" s="64">
        <f>1/C31</f>
        <v>0.17330593704179437</v>
      </c>
      <c r="D32" s="64">
        <f t="shared" ref="D32:Y32" si="26">1/D31</f>
        <v>0.3720833959524763</v>
      </c>
      <c r="E32" s="64">
        <f t="shared" si="26"/>
        <v>0.50138363107205552</v>
      </c>
      <c r="F32" s="64">
        <f t="shared" si="26"/>
        <v>0.62464485751040633</v>
      </c>
      <c r="G32" s="64">
        <f t="shared" si="26"/>
        <v>0.72579635454538127</v>
      </c>
      <c r="H32" s="64">
        <f t="shared" si="26"/>
        <v>0.80144235704194855</v>
      </c>
      <c r="I32" s="64">
        <f t="shared" si="26"/>
        <v>0.89133319874250228</v>
      </c>
      <c r="J32" s="64">
        <f t="shared" si="26"/>
        <v>0.94164172046502703</v>
      </c>
      <c r="K32" s="64">
        <f t="shared" si="26"/>
        <v>0.96857859269674329</v>
      </c>
      <c r="L32" s="64">
        <f t="shared" si="26"/>
        <v>0.98367503786323174</v>
      </c>
      <c r="M32" s="64">
        <f t="shared" si="26"/>
        <v>0.99164193632986553</v>
      </c>
      <c r="N32" s="64">
        <f t="shared" si="26"/>
        <v>0.99547135654258201</v>
      </c>
      <c r="O32" s="64">
        <f t="shared" si="26"/>
        <v>0.99771363479501207</v>
      </c>
      <c r="P32" s="64">
        <f t="shared" si="26"/>
        <v>0.99884713080700838</v>
      </c>
      <c r="Q32" s="64">
        <f t="shared" si="26"/>
        <v>0.9994354826405355</v>
      </c>
      <c r="R32" s="64">
        <f t="shared" si="26"/>
        <v>0.99974292336536252</v>
      </c>
      <c r="S32" s="64">
        <f t="shared" si="26"/>
        <v>0.99988291320014422</v>
      </c>
      <c r="T32" s="64">
        <f t="shared" si="26"/>
        <v>0.99995183107188657</v>
      </c>
      <c r="U32" s="64">
        <f t="shared" si="26"/>
        <v>0.99998444672363174</v>
      </c>
      <c r="V32" s="64">
        <f t="shared" si="26"/>
        <v>0.99999415309772943</v>
      </c>
      <c r="W32" s="64">
        <f t="shared" si="26"/>
        <v>0.99999717797843624</v>
      </c>
      <c r="X32" s="64">
        <f t="shared" si="26"/>
        <v>0.99999832811749589</v>
      </c>
      <c r="Y32" s="64">
        <f t="shared" si="26"/>
        <v>0.9999989134409728</v>
      </c>
      <c r="Z32" s="64">
        <v>1</v>
      </c>
      <c r="AA32" s="43"/>
      <c r="AB32" s="39"/>
      <c r="AC32" s="38"/>
    </row>
    <row r="33" spans="1:29" ht="19.5" customHeight="1" x14ac:dyDescent="0.25">
      <c r="A33" s="158" t="s">
        <v>150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60"/>
      <c r="AA33" s="45">
        <f>+SUM(AA4:AA27)</f>
        <v>502501456.85135591</v>
      </c>
      <c r="AB33" s="45">
        <f>+SUM(AB4:AB27)</f>
        <v>414213831</v>
      </c>
      <c r="AC33" s="45">
        <f>SUM(AC4:AC28)</f>
        <v>88287625.851355985</v>
      </c>
    </row>
  </sheetData>
  <mergeCells count="5">
    <mergeCell ref="A1:AC1"/>
    <mergeCell ref="A2:AC2"/>
    <mergeCell ref="A32:B32"/>
    <mergeCell ref="A33:Z33"/>
    <mergeCell ref="A31:B31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3A77-52F0-482A-B04A-8093320D136B}">
  <dimension ref="A3:K32"/>
  <sheetViews>
    <sheetView topLeftCell="A13" workbookViewId="0">
      <selection activeCell="B8" sqref="B8:B31"/>
    </sheetView>
  </sheetViews>
  <sheetFormatPr baseColWidth="10" defaultRowHeight="15" x14ac:dyDescent="0.25"/>
  <cols>
    <col min="1" max="1" width="12" bestFit="1" customWidth="1"/>
    <col min="3" max="4" width="12.42578125" bestFit="1" customWidth="1"/>
    <col min="7" max="7" width="12.42578125" bestFit="1" customWidth="1"/>
    <col min="8" max="8" width="12.28515625" customWidth="1"/>
    <col min="9" max="9" width="12.42578125" bestFit="1" customWidth="1"/>
    <col min="10" max="10" width="20.42578125" customWidth="1"/>
    <col min="11" max="11" width="15.42578125" bestFit="1" customWidth="1"/>
    <col min="13" max="13" width="27.42578125" customWidth="1"/>
  </cols>
  <sheetData>
    <row r="3" spans="1:11" ht="15.75" thickBot="1" x14ac:dyDescent="0.3"/>
    <row r="4" spans="1:11" ht="15.75" thickBot="1" x14ac:dyDescent="0.3">
      <c r="A4" s="56" t="s">
        <v>138</v>
      </c>
      <c r="B4" s="57">
        <v>0.55000000000000004</v>
      </c>
    </row>
    <row r="7" spans="1:11" ht="33.75" x14ac:dyDescent="0.25">
      <c r="A7" s="54" t="s">
        <v>53</v>
      </c>
      <c r="B7" s="54" t="s">
        <v>54</v>
      </c>
      <c r="C7" s="54" t="s">
        <v>107</v>
      </c>
      <c r="D7" s="54" t="s">
        <v>108</v>
      </c>
      <c r="E7" s="54" t="s">
        <v>109</v>
      </c>
      <c r="F7" s="54" t="s">
        <v>110</v>
      </c>
      <c r="G7" s="54" t="s">
        <v>111</v>
      </c>
      <c r="H7" s="54" t="s">
        <v>112</v>
      </c>
      <c r="I7" s="54" t="s">
        <v>113</v>
      </c>
    </row>
    <row r="8" spans="1:11" x14ac:dyDescent="0.25">
      <c r="A8" s="59" t="s">
        <v>114</v>
      </c>
      <c r="B8" s="61" t="s">
        <v>8</v>
      </c>
      <c r="C8" s="62">
        <f>+Triangulo1!E79</f>
        <v>14725385</v>
      </c>
      <c r="D8" s="63">
        <f>+Triangulo1!D79</f>
        <v>30470484.27272727</v>
      </c>
      <c r="E8" s="64">
        <v>1</v>
      </c>
      <c r="F8" s="65">
        <f>1-E8</f>
        <v>0</v>
      </c>
      <c r="G8" s="66">
        <f>+$B$4*D8</f>
        <v>16758766.35</v>
      </c>
      <c r="H8" s="67">
        <f>+G8*F8</f>
        <v>0</v>
      </c>
      <c r="I8" s="68">
        <f>+H8+C8</f>
        <v>14725385</v>
      </c>
    </row>
    <row r="9" spans="1:11" x14ac:dyDescent="0.25">
      <c r="A9" s="60" t="s">
        <v>115</v>
      </c>
      <c r="B9" s="69" t="s">
        <v>9</v>
      </c>
      <c r="C9" s="62">
        <f>+Triangulo1!E80</f>
        <v>17735279</v>
      </c>
      <c r="D9" s="63">
        <f>+Triangulo1!D80</f>
        <v>35502399.818181813</v>
      </c>
      <c r="E9" s="64">
        <f>+'1_CL'!Y32</f>
        <v>0.9999989134409728</v>
      </c>
      <c r="F9" s="65">
        <f>1-E9</f>
        <v>1.0865590271968983E-6</v>
      </c>
      <c r="G9" s="66">
        <f t="shared" ref="G9:G31" si="0">+$B$4*D9</f>
        <v>19526319.899999999</v>
      </c>
      <c r="H9" s="67">
        <f>+G9*F9</f>
        <v>21.216499155279436</v>
      </c>
      <c r="I9" s="68">
        <f>+H9+C9</f>
        <v>17735300.216499154</v>
      </c>
      <c r="J9" s="55" t="s">
        <v>10</v>
      </c>
      <c r="K9" s="55"/>
    </row>
    <row r="10" spans="1:11" x14ac:dyDescent="0.25">
      <c r="A10" s="59" t="s">
        <v>116</v>
      </c>
      <c r="B10" s="61" t="s">
        <v>11</v>
      </c>
      <c r="C10" s="62">
        <f>+Triangulo1!E81</f>
        <v>11881761</v>
      </c>
      <c r="D10" s="63">
        <f>+Triangulo1!D81</f>
        <v>15118898.818181816</v>
      </c>
      <c r="E10" s="64">
        <f>+'1_CL'!X32</f>
        <v>0.99999832811749589</v>
      </c>
      <c r="F10" s="65">
        <f t="shared" ref="F10:F31" si="1">1-E10</f>
        <v>1.6718825041062146E-6</v>
      </c>
      <c r="G10" s="66">
        <f t="shared" si="0"/>
        <v>8315394.3499999996</v>
      </c>
      <c r="H10" s="67">
        <f>+G10*F10</f>
        <v>13.902362328508669</v>
      </c>
      <c r="I10" s="68">
        <f>+H10+C10</f>
        <v>11881774.902362328</v>
      </c>
    </row>
    <row r="11" spans="1:11" x14ac:dyDescent="0.25">
      <c r="A11" s="60" t="s">
        <v>117</v>
      </c>
      <c r="B11" s="69" t="s">
        <v>12</v>
      </c>
      <c r="C11" s="62">
        <f>+Triangulo1!E82</f>
        <v>19461650</v>
      </c>
      <c r="D11" s="63">
        <f>+Triangulo1!D82</f>
        <v>47069939.18181818</v>
      </c>
      <c r="E11" s="64">
        <f>+'1_CL'!W32</f>
        <v>0.99999717797843624</v>
      </c>
      <c r="F11" s="65">
        <f t="shared" si="1"/>
        <v>2.8220215637642099E-6</v>
      </c>
      <c r="G11" s="66">
        <f t="shared" si="0"/>
        <v>25888466.550000001</v>
      </c>
      <c r="H11" s="67">
        <f t="shared" ref="H11:H31" si="2">+G11*F11</f>
        <v>73.057810856888437</v>
      </c>
      <c r="I11" s="68">
        <f t="shared" ref="I11:I31" si="3">+H11+C11</f>
        <v>19461723.057810858</v>
      </c>
    </row>
    <row r="12" spans="1:11" x14ac:dyDescent="0.25">
      <c r="A12" s="59" t="s">
        <v>118</v>
      </c>
      <c r="B12" s="61" t="s">
        <v>13</v>
      </c>
      <c r="C12" s="62">
        <f>+Triangulo1!E83</f>
        <v>11816173</v>
      </c>
      <c r="D12" s="63">
        <f>+Triangulo1!D83</f>
        <v>10724970.895859487</v>
      </c>
      <c r="E12" s="64">
        <f>+'1_CL'!V32</f>
        <v>0.99999415309772943</v>
      </c>
      <c r="F12" s="65">
        <f t="shared" si="1"/>
        <v>5.846902270567611E-6</v>
      </c>
      <c r="G12" s="66">
        <f t="shared" si="0"/>
        <v>5898733.992722719</v>
      </c>
      <c r="H12" s="67">
        <f t="shared" si="2"/>
        <v>34.489321175524815</v>
      </c>
      <c r="I12" s="68">
        <f>+H12+C12</f>
        <v>11816207.489321176</v>
      </c>
    </row>
    <row r="13" spans="1:11" x14ac:dyDescent="0.25">
      <c r="A13" s="60" t="s">
        <v>119</v>
      </c>
      <c r="B13" s="69" t="s">
        <v>14</v>
      </c>
      <c r="C13" s="62">
        <f>+Triangulo1!E84</f>
        <v>13048471</v>
      </c>
      <c r="D13" s="63">
        <f>+Triangulo1!D84</f>
        <v>19800248.774532568</v>
      </c>
      <c r="E13" s="64">
        <f>+'1_CL'!U32</f>
        <v>0.99998444672363174</v>
      </c>
      <c r="F13" s="65">
        <f t="shared" si="1"/>
        <v>1.5553276368263091E-5</v>
      </c>
      <c r="G13" s="66">
        <f t="shared" si="0"/>
        <v>10890136.825992914</v>
      </c>
      <c r="H13" s="67">
        <f t="shared" si="2"/>
        <v>169.37730774286723</v>
      </c>
      <c r="I13" s="68">
        <f>+H13+C13</f>
        <v>13048640.377307743</v>
      </c>
    </row>
    <row r="14" spans="1:11" x14ac:dyDescent="0.25">
      <c r="A14" s="59" t="s">
        <v>120</v>
      </c>
      <c r="B14" s="61" t="s">
        <v>15</v>
      </c>
      <c r="C14" s="62">
        <f>+Triangulo1!E85</f>
        <v>10840140</v>
      </c>
      <c r="D14" s="63">
        <f>+Triangulo1!D85</f>
        <v>28289118.255445365</v>
      </c>
      <c r="E14" s="64">
        <f>+'1_CL'!T32</f>
        <v>0.99995183107188657</v>
      </c>
      <c r="F14" s="65">
        <f t="shared" si="1"/>
        <v>4.8168928113434539E-5</v>
      </c>
      <c r="G14" s="66">
        <f t="shared" si="0"/>
        <v>15559015.040494952</v>
      </c>
      <c r="H14" s="67">
        <f t="shared" si="2"/>
        <v>749.46107700144819</v>
      </c>
      <c r="I14" s="68">
        <f>+H14+C14</f>
        <v>10840889.461077001</v>
      </c>
    </row>
    <row r="15" spans="1:11" x14ac:dyDescent="0.25">
      <c r="A15" s="60" t="s">
        <v>121</v>
      </c>
      <c r="B15" s="69" t="s">
        <v>16</v>
      </c>
      <c r="C15" s="62">
        <f>+Triangulo1!E86</f>
        <v>14111136</v>
      </c>
      <c r="D15" s="63">
        <f>+Triangulo1!D86</f>
        <v>30704505.89934551</v>
      </c>
      <c r="E15" s="64">
        <f>+'1_CL'!S32</f>
        <v>0.99988291320014422</v>
      </c>
      <c r="F15" s="65">
        <f t="shared" si="1"/>
        <v>1.1708679985578119E-4</v>
      </c>
      <c r="G15" s="66">
        <f t="shared" si="0"/>
        <v>16887478.24464003</v>
      </c>
      <c r="H15" s="67">
        <f t="shared" si="2"/>
        <v>1977.3007852990263</v>
      </c>
      <c r="I15" s="68">
        <f t="shared" si="3"/>
        <v>14113113.300785299</v>
      </c>
    </row>
    <row r="16" spans="1:11" x14ac:dyDescent="0.25">
      <c r="A16" s="59" t="s">
        <v>122</v>
      </c>
      <c r="B16" s="61" t="s">
        <v>17</v>
      </c>
      <c r="C16" s="62">
        <f>+Triangulo1!E87</f>
        <v>15729334</v>
      </c>
      <c r="D16" s="63">
        <f>+Triangulo1!D87</f>
        <v>18880428.334744815</v>
      </c>
      <c r="E16" s="64">
        <f>+'1_CL'!R32</f>
        <v>0.99974292336536252</v>
      </c>
      <c r="F16" s="65">
        <f t="shared" si="1"/>
        <v>2.5707663463747643E-4</v>
      </c>
      <c r="G16" s="66">
        <f t="shared" si="0"/>
        <v>10384235.584109649</v>
      </c>
      <c r="H16" s="67">
        <f t="shared" si="2"/>
        <v>2669.544337245638</v>
      </c>
      <c r="I16" s="68">
        <f t="shared" si="3"/>
        <v>15732003.544337247</v>
      </c>
    </row>
    <row r="17" spans="1:9" x14ac:dyDescent="0.25">
      <c r="A17" s="60" t="s">
        <v>123</v>
      </c>
      <c r="B17" s="69" t="s">
        <v>18</v>
      </c>
      <c r="C17" s="62">
        <f>+Triangulo1!E88</f>
        <v>14343596</v>
      </c>
      <c r="D17" s="63">
        <f>+Triangulo1!D88</f>
        <v>17119243.330428012</v>
      </c>
      <c r="E17" s="64">
        <f>+'1_CL'!Q32</f>
        <v>0.9994354826405355</v>
      </c>
      <c r="F17" s="65">
        <f t="shared" si="1"/>
        <v>5.6451735946450032E-4</v>
      </c>
      <c r="G17" s="66">
        <f t="shared" si="0"/>
        <v>9415583.8317354079</v>
      </c>
      <c r="H17" s="67">
        <f t="shared" si="2"/>
        <v>5315.2605225079142</v>
      </c>
      <c r="I17" s="68">
        <f t="shared" si="3"/>
        <v>14348911.260522507</v>
      </c>
    </row>
    <row r="18" spans="1:9" x14ac:dyDescent="0.25">
      <c r="A18" s="59" t="s">
        <v>124</v>
      </c>
      <c r="B18" s="61" t="s">
        <v>19</v>
      </c>
      <c r="C18" s="62">
        <f>+Triangulo1!E89</f>
        <v>15119935</v>
      </c>
      <c r="D18" s="63">
        <f>+Triangulo1!D89</f>
        <v>41471482.106259212</v>
      </c>
      <c r="E18" s="64">
        <f>+'1_CL'!P32</f>
        <v>0.99884713080700838</v>
      </c>
      <c r="F18" s="65">
        <f t="shared" si="1"/>
        <v>1.1528691929916235E-3</v>
      </c>
      <c r="G18" s="66">
        <f t="shared" si="0"/>
        <v>22809315.158442568</v>
      </c>
      <c r="H18" s="67">
        <f t="shared" si="2"/>
        <v>26296.156759405287</v>
      </c>
      <c r="I18" s="68">
        <f t="shared" si="3"/>
        <v>15146231.156759406</v>
      </c>
    </row>
    <row r="19" spans="1:9" x14ac:dyDescent="0.25">
      <c r="A19" s="60" t="s">
        <v>125</v>
      </c>
      <c r="B19" s="69" t="s">
        <v>20</v>
      </c>
      <c r="C19" s="62">
        <f>+Triangulo1!E90</f>
        <v>18730024</v>
      </c>
      <c r="D19" s="63">
        <f>+Triangulo1!D90</f>
        <v>35368087.422613502</v>
      </c>
      <c r="E19" s="64">
        <f>+'1_CL'!O32</f>
        <v>0.99771363479501207</v>
      </c>
      <c r="F19" s="65">
        <f t="shared" si="1"/>
        <v>2.2863652049879279E-3</v>
      </c>
      <c r="G19" s="66">
        <f t="shared" si="0"/>
        <v>19452448.082437426</v>
      </c>
      <c r="H19" s="67">
        <f t="shared" si="2"/>
        <v>44475.400447519074</v>
      </c>
      <c r="I19" s="68">
        <f t="shared" si="3"/>
        <v>18774499.400447518</v>
      </c>
    </row>
    <row r="20" spans="1:9" x14ac:dyDescent="0.25">
      <c r="A20" s="59" t="s">
        <v>126</v>
      </c>
      <c r="B20" s="61" t="s">
        <v>21</v>
      </c>
      <c r="C20" s="62">
        <f>+Triangulo1!E91</f>
        <v>19627354</v>
      </c>
      <c r="D20" s="63">
        <f>+Triangulo1!D91</f>
        <v>26145159.833583504</v>
      </c>
      <c r="E20" s="64">
        <f>+'1_CL'!N32</f>
        <v>0.99547135654258201</v>
      </c>
      <c r="F20" s="65">
        <f t="shared" si="1"/>
        <v>4.5286434574179912E-3</v>
      </c>
      <c r="G20" s="66">
        <f t="shared" si="0"/>
        <v>14379837.908470929</v>
      </c>
      <c r="H20" s="67">
        <f t="shared" si="2"/>
        <v>65121.158862928081</v>
      </c>
      <c r="I20" s="68">
        <f t="shared" si="3"/>
        <v>19692475.15886293</v>
      </c>
    </row>
    <row r="21" spans="1:9" x14ac:dyDescent="0.25">
      <c r="A21" s="60" t="s">
        <v>127</v>
      </c>
      <c r="B21" s="69" t="s">
        <v>22</v>
      </c>
      <c r="C21" s="62">
        <f>+Triangulo1!E92</f>
        <v>20049671</v>
      </c>
      <c r="D21" s="63">
        <f>+Triangulo1!D92</f>
        <v>46483438.979684092</v>
      </c>
      <c r="E21" s="64">
        <f>+'1_CL'!M32</f>
        <v>0.99164193632986553</v>
      </c>
      <c r="F21" s="65">
        <f t="shared" si="1"/>
        <v>8.3580636701344746E-3</v>
      </c>
      <c r="G21" s="66">
        <f t="shared" si="0"/>
        <v>25565891.438826252</v>
      </c>
      <c r="H21" s="67">
        <f t="shared" si="2"/>
        <v>213681.34842945568</v>
      </c>
      <c r="I21" s="68">
        <f t="shared" si="3"/>
        <v>20263352.348429456</v>
      </c>
    </row>
    <row r="22" spans="1:9" x14ac:dyDescent="0.25">
      <c r="A22" s="59" t="s">
        <v>128</v>
      </c>
      <c r="B22" s="61" t="s">
        <v>23</v>
      </c>
      <c r="C22" s="62">
        <f>+Triangulo1!E93</f>
        <v>20688336</v>
      </c>
      <c r="D22" s="63">
        <f>+Triangulo1!D93</f>
        <v>28927094.426070891</v>
      </c>
      <c r="E22" s="64">
        <f>+'1_CL'!L32</f>
        <v>0.98367503786323174</v>
      </c>
      <c r="F22" s="65">
        <f t="shared" si="1"/>
        <v>1.6324962136768262E-2</v>
      </c>
      <c r="G22" s="66">
        <f t="shared" si="0"/>
        <v>15909901.934338991</v>
      </c>
      <c r="H22" s="67">
        <f t="shared" si="2"/>
        <v>259728.54667778016</v>
      </c>
      <c r="I22" s="68">
        <f t="shared" si="3"/>
        <v>20948064.546677779</v>
      </c>
    </row>
    <row r="23" spans="1:9" x14ac:dyDescent="0.25">
      <c r="A23" s="60" t="s">
        <v>129</v>
      </c>
      <c r="B23" s="69" t="s">
        <v>24</v>
      </c>
      <c r="C23" s="62">
        <f>+Triangulo1!E94</f>
        <v>25647723</v>
      </c>
      <c r="D23" s="63">
        <f>+Triangulo1!D94</f>
        <v>62474506.661254242</v>
      </c>
      <c r="E23" s="64">
        <f>+'1_CL'!K32</f>
        <v>0.96857859269674329</v>
      </c>
      <c r="F23" s="65">
        <f t="shared" si="1"/>
        <v>3.142140730325671E-2</v>
      </c>
      <c r="G23" s="66">
        <f t="shared" si="0"/>
        <v>34360978.663689837</v>
      </c>
      <c r="H23" s="67">
        <f t="shared" si="2"/>
        <v>1079670.3059303118</v>
      </c>
      <c r="I23" s="68">
        <f t="shared" si="3"/>
        <v>26727393.305930313</v>
      </c>
    </row>
    <row r="24" spans="1:9" x14ac:dyDescent="0.25">
      <c r="A24" s="59" t="s">
        <v>130</v>
      </c>
      <c r="B24" s="61" t="s">
        <v>25</v>
      </c>
      <c r="C24" s="62">
        <f>+Triangulo1!E95</f>
        <v>26811464</v>
      </c>
      <c r="D24" s="63">
        <f>+Triangulo1!D95</f>
        <v>40231086.53669332</v>
      </c>
      <c r="E24" s="64">
        <f>+'1_CL'!J32</f>
        <v>0.94164172046502703</v>
      </c>
      <c r="F24" s="65">
        <f t="shared" si="1"/>
        <v>5.8358279534972968E-2</v>
      </c>
      <c r="G24" s="66">
        <f t="shared" si="0"/>
        <v>22127097.595181327</v>
      </c>
      <c r="H24" s="67">
        <f t="shared" si="2"/>
        <v>1291299.3467572201</v>
      </c>
      <c r="I24" s="68">
        <f t="shared" si="3"/>
        <v>28102763.346757218</v>
      </c>
    </row>
    <row r="25" spans="1:9" x14ac:dyDescent="0.25">
      <c r="A25" s="60" t="s">
        <v>131</v>
      </c>
      <c r="B25" s="69" t="s">
        <v>26</v>
      </c>
      <c r="C25" s="62">
        <f>+Triangulo1!E96</f>
        <v>21399003</v>
      </c>
      <c r="D25" s="63">
        <f>+Triangulo1!D96</f>
        <v>50080346.078834943</v>
      </c>
      <c r="E25" s="64">
        <f>+'1_CL'!I32</f>
        <v>0.89133319874250228</v>
      </c>
      <c r="F25" s="65">
        <f t="shared" si="1"/>
        <v>0.10866680125749772</v>
      </c>
      <c r="G25" s="66">
        <f t="shared" si="0"/>
        <v>27544190.343359221</v>
      </c>
      <c r="H25" s="67">
        <f t="shared" si="2"/>
        <v>2993139.0578405047</v>
      </c>
      <c r="I25" s="68">
        <f t="shared" si="3"/>
        <v>24392142.057840504</v>
      </c>
    </row>
    <row r="26" spans="1:9" x14ac:dyDescent="0.25">
      <c r="A26" s="59" t="s">
        <v>132</v>
      </c>
      <c r="B26" s="61" t="s">
        <v>27</v>
      </c>
      <c r="C26" s="62">
        <f>+Triangulo1!E97</f>
        <v>33589263</v>
      </c>
      <c r="D26" s="63">
        <f>+Triangulo1!D97</f>
        <v>68225324.210713387</v>
      </c>
      <c r="E26" s="64">
        <f>+'1_CL'!H32</f>
        <v>0.80144235704194855</v>
      </c>
      <c r="F26" s="65">
        <f t="shared" si="1"/>
        <v>0.19855764295805145</v>
      </c>
      <c r="G26" s="66">
        <f t="shared" si="0"/>
        <v>37523928.315892369</v>
      </c>
      <c r="H26" s="67">
        <f t="shared" si="2"/>
        <v>7450662.7609304739</v>
      </c>
      <c r="I26" s="68">
        <f t="shared" si="3"/>
        <v>41039925.760930471</v>
      </c>
    </row>
    <row r="27" spans="1:9" x14ac:dyDescent="0.25">
      <c r="A27" s="60" t="s">
        <v>133</v>
      </c>
      <c r="B27" s="69" t="s">
        <v>28</v>
      </c>
      <c r="C27" s="62">
        <f>+Triangulo1!E98</f>
        <v>21705785</v>
      </c>
      <c r="D27" s="63">
        <f>+Triangulo1!D98</f>
        <v>46727119.66625829</v>
      </c>
      <c r="E27" s="64">
        <f>+'1_CL'!G32</f>
        <v>0.72579635454538127</v>
      </c>
      <c r="F27" s="65">
        <f t="shared" si="1"/>
        <v>0.27420364545461873</v>
      </c>
      <c r="G27" s="66">
        <f t="shared" si="0"/>
        <v>25699915.816442061</v>
      </c>
      <c r="H27" s="67">
        <f t="shared" si="2"/>
        <v>7047010.6047452269</v>
      </c>
      <c r="I27" s="68">
        <f t="shared" si="3"/>
        <v>28752795.604745228</v>
      </c>
    </row>
    <row r="28" spans="1:9" x14ac:dyDescent="0.25">
      <c r="A28" s="59" t="s">
        <v>134</v>
      </c>
      <c r="B28" s="61" t="s">
        <v>29</v>
      </c>
      <c r="C28" s="62">
        <f>+Triangulo1!E99</f>
        <v>17306094</v>
      </c>
      <c r="D28" s="63">
        <f>+Triangulo1!D99</f>
        <v>63421725.274842381</v>
      </c>
      <c r="E28" s="64">
        <f>+'1_CL'!F32</f>
        <v>0.62464485751040633</v>
      </c>
      <c r="F28" s="65">
        <f t="shared" si="1"/>
        <v>0.37535514248959367</v>
      </c>
      <c r="G28" s="66">
        <f t="shared" si="0"/>
        <v>34881948.90116331</v>
      </c>
      <c r="H28" s="67">
        <f t="shared" si="2"/>
        <v>13093118.90011088</v>
      </c>
      <c r="I28" s="68">
        <f t="shared" si="3"/>
        <v>30399212.900110878</v>
      </c>
    </row>
    <row r="29" spans="1:9" x14ac:dyDescent="0.25">
      <c r="A29" s="60" t="s">
        <v>135</v>
      </c>
      <c r="B29" s="69" t="s">
        <v>30</v>
      </c>
      <c r="C29" s="62">
        <f>+Triangulo1!E100</f>
        <v>15374462</v>
      </c>
      <c r="D29" s="63">
        <f>+Triangulo1!D100</f>
        <v>44130894.45352187</v>
      </c>
      <c r="E29" s="64">
        <f>+'1_CL'!E32</f>
        <v>0.50138363107205552</v>
      </c>
      <c r="F29" s="65">
        <f t="shared" si="1"/>
        <v>0.49861636892794448</v>
      </c>
      <c r="G29" s="66">
        <f t="shared" si="0"/>
        <v>24271991.94943703</v>
      </c>
      <c r="H29" s="67">
        <f t="shared" si="2"/>
        <v>12102412.492476592</v>
      </c>
      <c r="I29" s="68">
        <f t="shared" si="3"/>
        <v>27476874.49247659</v>
      </c>
    </row>
    <row r="30" spans="1:9" x14ac:dyDescent="0.25">
      <c r="A30" s="59" t="s">
        <v>136</v>
      </c>
      <c r="B30" s="61" t="s">
        <v>31</v>
      </c>
      <c r="C30" s="62">
        <f>+Triangulo1!E101</f>
        <v>9321834</v>
      </c>
      <c r="D30" s="63">
        <f>+Triangulo1!D101</f>
        <v>35850380.695277527</v>
      </c>
      <c r="E30" s="64">
        <f>+'1_CL'!D32</f>
        <v>0.3720833959524763</v>
      </c>
      <c r="F30" s="65">
        <f t="shared" si="1"/>
        <v>0.6279166040475237</v>
      </c>
      <c r="G30" s="66">
        <f t="shared" si="0"/>
        <v>19717709.38240264</v>
      </c>
      <c r="H30" s="67">
        <f t="shared" si="2"/>
        <v>12381077.114994261</v>
      </c>
      <c r="I30" s="68">
        <f t="shared" si="3"/>
        <v>21702911.114994261</v>
      </c>
    </row>
    <row r="31" spans="1:9" x14ac:dyDescent="0.25">
      <c r="A31" s="60" t="s">
        <v>137</v>
      </c>
      <c r="B31" s="69" t="s">
        <v>32</v>
      </c>
      <c r="C31" s="62">
        <f>+Triangulo1!E102</f>
        <v>5149958</v>
      </c>
      <c r="D31" s="63">
        <f>+Triangulo1!D102</f>
        <v>55736822.584780522</v>
      </c>
      <c r="E31" s="64">
        <f>+'1_CL'!C32</f>
        <v>0.17330593704179437</v>
      </c>
      <c r="F31" s="65">
        <f t="shared" si="1"/>
        <v>0.82669406295820558</v>
      </c>
      <c r="G31" s="66">
        <f t="shared" si="0"/>
        <v>30655252.421629291</v>
      </c>
      <c r="H31" s="67">
        <f t="shared" si="2"/>
        <v>25342515.175446089</v>
      </c>
      <c r="I31" s="68">
        <f t="shared" si="3"/>
        <v>30492473.175446089</v>
      </c>
    </row>
    <row r="32" spans="1:9" x14ac:dyDescent="0.25">
      <c r="A32" s="161" t="s">
        <v>139</v>
      </c>
      <c r="B32" s="161"/>
      <c r="C32" s="161"/>
      <c r="D32" s="161"/>
      <c r="E32" s="161"/>
      <c r="F32" s="161"/>
      <c r="G32" s="161"/>
      <c r="H32" s="70">
        <f>SUM(H8:H31)</f>
        <v>83401231.980431959</v>
      </c>
      <c r="I32" s="70">
        <f>SUM(I8:I31)</f>
        <v>497615062.98043203</v>
      </c>
    </row>
  </sheetData>
  <mergeCells count="1">
    <mergeCell ref="A32:G32"/>
  </mergeCells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C2CE-9081-4FC9-BA68-CA1C7391CF8D}">
  <dimension ref="A1:I32"/>
  <sheetViews>
    <sheetView topLeftCell="A16" workbookViewId="0">
      <selection activeCell="G34" sqref="G34"/>
    </sheetView>
  </sheetViews>
  <sheetFormatPr baseColWidth="10" defaultRowHeight="15" x14ac:dyDescent="0.25"/>
  <cols>
    <col min="2" max="2" width="7.28515625" bestFit="1" customWidth="1"/>
  </cols>
  <sheetData>
    <row r="1" spans="1:9" x14ac:dyDescent="0.25">
      <c r="A1" s="162" t="s">
        <v>140</v>
      </c>
      <c r="B1" s="162"/>
      <c r="C1" s="162"/>
      <c r="D1" s="162"/>
      <c r="E1" s="162"/>
      <c r="F1" s="162"/>
      <c r="G1" s="162"/>
      <c r="H1" s="162"/>
      <c r="I1" s="162"/>
    </row>
    <row r="2" spans="1:9" x14ac:dyDescent="0.25">
      <c r="A2" s="163" t="s">
        <v>141</v>
      </c>
      <c r="B2" s="163"/>
      <c r="C2" s="163"/>
      <c r="D2" s="163"/>
      <c r="E2" s="163"/>
      <c r="F2" s="163"/>
      <c r="G2" s="163"/>
      <c r="H2" s="163"/>
      <c r="I2" s="163"/>
    </row>
    <row r="3" spans="1:9" ht="15.75" thickBot="1" x14ac:dyDescent="0.3"/>
    <row r="4" spans="1:9" ht="15.75" thickBot="1" x14ac:dyDescent="0.3">
      <c r="A4" s="71" t="s">
        <v>142</v>
      </c>
      <c r="B4" s="72">
        <f>SUM(C8:C31)/SUM(G8:G31)</f>
        <v>0.55426931609784902</v>
      </c>
      <c r="C4" s="73" t="s">
        <v>143</v>
      </c>
    </row>
    <row r="7" spans="1:9" ht="33.75" x14ac:dyDescent="0.25">
      <c r="A7" s="74" t="s">
        <v>53</v>
      </c>
      <c r="B7" s="74" t="s">
        <v>54</v>
      </c>
      <c r="C7" s="74" t="s">
        <v>144</v>
      </c>
      <c r="D7" s="74" t="s">
        <v>108</v>
      </c>
      <c r="E7" s="74" t="s">
        <v>145</v>
      </c>
      <c r="F7" s="74" t="s">
        <v>146</v>
      </c>
      <c r="G7" s="74" t="s">
        <v>147</v>
      </c>
      <c r="H7" s="74" t="s">
        <v>148</v>
      </c>
      <c r="I7" s="74" t="s">
        <v>149</v>
      </c>
    </row>
    <row r="8" spans="1:9" x14ac:dyDescent="0.25">
      <c r="A8" s="75" t="str">
        <f>+'1_BF'!A8</f>
        <v>AO001</v>
      </c>
      <c r="B8" s="76" t="str">
        <f>+'1_BF'!B8</f>
        <v>1Q19</v>
      </c>
      <c r="C8" s="62">
        <f>+'1_BF'!C8</f>
        <v>14725385</v>
      </c>
      <c r="D8" s="77">
        <f>+'1_BF'!D8</f>
        <v>30470484.27272727</v>
      </c>
      <c r="E8" s="64">
        <f>+'1_BF'!E8</f>
        <v>1</v>
      </c>
      <c r="F8" s="65">
        <f>1-E8</f>
        <v>0</v>
      </c>
      <c r="G8" s="77">
        <f>D8*E8</f>
        <v>30470484.27272727</v>
      </c>
      <c r="H8" s="67">
        <f>D8*F8*$B$4</f>
        <v>0</v>
      </c>
      <c r="I8" s="68">
        <f>C8+H8</f>
        <v>14725385</v>
      </c>
    </row>
    <row r="9" spans="1:9" x14ac:dyDescent="0.25">
      <c r="A9" s="78" t="str">
        <f>+'1_BF'!A9</f>
        <v>AO002</v>
      </c>
      <c r="B9" s="69" t="str">
        <f>+'1_BF'!B9</f>
        <v>2Q19</v>
      </c>
      <c r="C9" s="62">
        <f>+'1_BF'!C9</f>
        <v>17735279</v>
      </c>
      <c r="D9" s="77">
        <f>+'1_BF'!D9</f>
        <v>35502399.818181813</v>
      </c>
      <c r="E9" s="64">
        <f>+'1_BF'!E9</f>
        <v>0.9999989134409728</v>
      </c>
      <c r="F9" s="65">
        <f t="shared" ref="F9:F31" si="0">1-E9</f>
        <v>1.0865590271968983E-6</v>
      </c>
      <c r="G9" s="77">
        <f t="shared" ref="G9:G31" si="1">D9*E9</f>
        <v>35502361.2427288</v>
      </c>
      <c r="H9" s="67">
        <f t="shared" ref="H9:H31" si="2">D9*F9*$B$4</f>
        <v>21.381189957795133</v>
      </c>
      <c r="I9" s="68">
        <f t="shared" ref="I9:I31" si="3">C9+H9</f>
        <v>17735300.381189957</v>
      </c>
    </row>
    <row r="10" spans="1:9" x14ac:dyDescent="0.25">
      <c r="A10" s="75" t="str">
        <f>+'1_BF'!A10</f>
        <v>AO003</v>
      </c>
      <c r="B10" s="76" t="str">
        <f>+'1_BF'!B10</f>
        <v>3Q19</v>
      </c>
      <c r="C10" s="62">
        <f>+'1_BF'!C10</f>
        <v>11881761</v>
      </c>
      <c r="D10" s="77">
        <f>+'1_BF'!D10</f>
        <v>15118898.818181816</v>
      </c>
      <c r="E10" s="64">
        <f>+'1_BF'!E10</f>
        <v>0.99999832811749589</v>
      </c>
      <c r="F10" s="65">
        <f t="shared" si="0"/>
        <v>1.6718825041062146E-6</v>
      </c>
      <c r="G10" s="77">
        <f t="shared" si="1"/>
        <v>15118873.541159401</v>
      </c>
      <c r="H10" s="67">
        <f t="shared" si="2"/>
        <v>14.010277927212726</v>
      </c>
      <c r="I10" s="68">
        <f t="shared" si="3"/>
        <v>11881775.010277927</v>
      </c>
    </row>
    <row r="11" spans="1:9" x14ac:dyDescent="0.25">
      <c r="A11" s="78" t="str">
        <f>+'1_BF'!A11</f>
        <v>AO004</v>
      </c>
      <c r="B11" s="69" t="str">
        <f>+'1_BF'!B11</f>
        <v>4Q19</v>
      </c>
      <c r="C11" s="62">
        <f>+'1_BF'!C11</f>
        <v>19461650</v>
      </c>
      <c r="D11" s="77">
        <f>+'1_BF'!D11</f>
        <v>47069939.18181818</v>
      </c>
      <c r="E11" s="64">
        <f>+'1_BF'!E11</f>
        <v>0.99999717797843624</v>
      </c>
      <c r="F11" s="65">
        <f t="shared" si="0"/>
        <v>2.8220215637642099E-6</v>
      </c>
      <c r="G11" s="77">
        <f t="shared" si="1"/>
        <v>47069806.3494348</v>
      </c>
      <c r="H11" s="67">
        <f t="shared" si="2"/>
        <v>73.624914289551938</v>
      </c>
      <c r="I11" s="68">
        <f t="shared" si="3"/>
        <v>19461723.624914289</v>
      </c>
    </row>
    <row r="12" spans="1:9" x14ac:dyDescent="0.25">
      <c r="A12" s="75" t="str">
        <f>+'1_BF'!A12</f>
        <v>AO005</v>
      </c>
      <c r="B12" s="76" t="str">
        <f>+'1_BF'!B12</f>
        <v>1Q20</v>
      </c>
      <c r="C12" s="62">
        <f>+'1_BF'!C12</f>
        <v>11816173</v>
      </c>
      <c r="D12" s="77">
        <f>+'1_BF'!D12</f>
        <v>10724970.895859487</v>
      </c>
      <c r="E12" s="64">
        <f>+'1_BF'!E12</f>
        <v>0.99999415309772943</v>
      </c>
      <c r="F12" s="65">
        <f t="shared" si="0"/>
        <v>5.846902270567611E-6</v>
      </c>
      <c r="G12" s="77">
        <f t="shared" si="1"/>
        <v>10724908.188002804</v>
      </c>
      <c r="H12" s="67">
        <f t="shared" si="2"/>
        <v>34.757040837522176</v>
      </c>
      <c r="I12" s="68">
        <f t="shared" si="3"/>
        <v>11816207.757040838</v>
      </c>
    </row>
    <row r="13" spans="1:9" x14ac:dyDescent="0.25">
      <c r="A13" s="78" t="str">
        <f>+'1_BF'!A13</f>
        <v>AO006</v>
      </c>
      <c r="B13" s="69" t="str">
        <f>+'1_BF'!B13</f>
        <v>2Q20</v>
      </c>
      <c r="C13" s="62">
        <f>+'1_BF'!C13</f>
        <v>13048471</v>
      </c>
      <c r="D13" s="77">
        <f>+'1_BF'!D13</f>
        <v>19800248.774532568</v>
      </c>
      <c r="E13" s="64">
        <f>+'1_BF'!E13</f>
        <v>0.99998444672363174</v>
      </c>
      <c r="F13" s="65">
        <f t="shared" si="0"/>
        <v>1.5553276368263091E-5</v>
      </c>
      <c r="G13" s="77">
        <f t="shared" si="1"/>
        <v>19799940.815791216</v>
      </c>
      <c r="H13" s="67">
        <f t="shared" si="2"/>
        <v>170.69208095478891</v>
      </c>
      <c r="I13" s="68">
        <f t="shared" si="3"/>
        <v>13048641.692080954</v>
      </c>
    </row>
    <row r="14" spans="1:9" x14ac:dyDescent="0.25">
      <c r="A14" s="75" t="str">
        <f>+'1_BF'!A14</f>
        <v>AO007</v>
      </c>
      <c r="B14" s="76" t="str">
        <f>+'1_BF'!B14</f>
        <v>3Q20</v>
      </c>
      <c r="C14" s="62">
        <f>+'1_BF'!C14</f>
        <v>10840140</v>
      </c>
      <c r="D14" s="77">
        <f>+'1_BF'!D14</f>
        <v>28289118.255445365</v>
      </c>
      <c r="E14" s="64">
        <f>+'1_BF'!E14</f>
        <v>0.99995183107188657</v>
      </c>
      <c r="F14" s="65">
        <f t="shared" si="0"/>
        <v>4.8168928113434539E-5</v>
      </c>
      <c r="G14" s="77">
        <f t="shared" si="1"/>
        <v>28287755.598941725</v>
      </c>
      <c r="H14" s="67">
        <f t="shared" si="2"/>
        <v>755.27868834827279</v>
      </c>
      <c r="I14" s="68">
        <f t="shared" si="3"/>
        <v>10840895.278688349</v>
      </c>
    </row>
    <row r="15" spans="1:9" x14ac:dyDescent="0.25">
      <c r="A15" s="78" t="str">
        <f>+'1_BF'!A15</f>
        <v>AO008</v>
      </c>
      <c r="B15" s="69" t="str">
        <f>+'1_BF'!B15</f>
        <v>4Q20</v>
      </c>
      <c r="C15" s="62">
        <f>+'1_BF'!C15</f>
        <v>14111136</v>
      </c>
      <c r="D15" s="77">
        <f>+'1_BF'!D15</f>
        <v>30704505.89934551</v>
      </c>
      <c r="E15" s="64">
        <f>+'1_BF'!E15</f>
        <v>0.99988291320014422</v>
      </c>
      <c r="F15" s="65">
        <f t="shared" si="0"/>
        <v>1.1708679985578119E-4</v>
      </c>
      <c r="G15" s="77">
        <f t="shared" si="1"/>
        <v>30700910.807008602</v>
      </c>
      <c r="H15" s="67">
        <f t="shared" si="2"/>
        <v>1992.6493708862381</v>
      </c>
      <c r="I15" s="68">
        <f t="shared" si="3"/>
        <v>14113128.649370886</v>
      </c>
    </row>
    <row r="16" spans="1:9" x14ac:dyDescent="0.25">
      <c r="A16" s="75" t="str">
        <f>+'1_BF'!A16</f>
        <v>AO009</v>
      </c>
      <c r="B16" s="76" t="str">
        <f>+'1_BF'!B16</f>
        <v>1Q21</v>
      </c>
      <c r="C16" s="62">
        <f>+'1_BF'!C16</f>
        <v>15729334</v>
      </c>
      <c r="D16" s="77">
        <f>+'1_BF'!D16</f>
        <v>18880428.334744815</v>
      </c>
      <c r="E16" s="64">
        <f>+'1_BF'!E16</f>
        <v>0.99974292336536252</v>
      </c>
      <c r="F16" s="65">
        <f t="shared" si="0"/>
        <v>2.5707663463747643E-4</v>
      </c>
      <c r="G16" s="77">
        <f t="shared" si="1"/>
        <v>18875574.617768005</v>
      </c>
      <c r="H16" s="67">
        <f t="shared" si="2"/>
        <v>2690.2663892691367</v>
      </c>
      <c r="I16" s="68">
        <f t="shared" si="3"/>
        <v>15732024.266389269</v>
      </c>
    </row>
    <row r="17" spans="1:9" x14ac:dyDescent="0.25">
      <c r="A17" s="78" t="str">
        <f>+'1_BF'!A17</f>
        <v>AO010</v>
      </c>
      <c r="B17" s="69" t="str">
        <f>+'1_BF'!B17</f>
        <v>2Q21</v>
      </c>
      <c r="C17" s="62">
        <f>+'1_BF'!C17</f>
        <v>14343596</v>
      </c>
      <c r="D17" s="77">
        <f>+'1_BF'!D17</f>
        <v>17119243.330428012</v>
      </c>
      <c r="E17" s="64">
        <f>+'1_BF'!E17</f>
        <v>0.9994354826405355</v>
      </c>
      <c r="F17" s="65">
        <f t="shared" si="0"/>
        <v>5.6451735946450032E-4</v>
      </c>
      <c r="G17" s="77">
        <f t="shared" si="1"/>
        <v>17109579.22038709</v>
      </c>
      <c r="H17" s="67">
        <f t="shared" si="2"/>
        <v>5356.5196630770133</v>
      </c>
      <c r="I17" s="68">
        <f t="shared" si="3"/>
        <v>14348952.519663077</v>
      </c>
    </row>
    <row r="18" spans="1:9" x14ac:dyDescent="0.25">
      <c r="A18" s="75" t="str">
        <f>+'1_BF'!A18</f>
        <v>AO011</v>
      </c>
      <c r="B18" s="76" t="str">
        <f>+'1_BF'!B18</f>
        <v>3Q21</v>
      </c>
      <c r="C18" s="62">
        <f>+'1_BF'!C18</f>
        <v>15119935</v>
      </c>
      <c r="D18" s="77">
        <f>+'1_BF'!D18</f>
        <v>41471482.106259212</v>
      </c>
      <c r="E18" s="64">
        <f>+'1_BF'!E18</f>
        <v>0.99884713080700838</v>
      </c>
      <c r="F18" s="65">
        <f t="shared" si="0"/>
        <v>1.1528691929916235E-3</v>
      </c>
      <c r="G18" s="77">
        <f t="shared" si="1"/>
        <v>41423670.912151203</v>
      </c>
      <c r="H18" s="67">
        <f t="shared" si="2"/>
        <v>26500.277860067999</v>
      </c>
      <c r="I18" s="68">
        <f t="shared" si="3"/>
        <v>15146435.277860068</v>
      </c>
    </row>
    <row r="19" spans="1:9" x14ac:dyDescent="0.25">
      <c r="A19" s="78" t="str">
        <f>+'1_BF'!A19</f>
        <v>AO012</v>
      </c>
      <c r="B19" s="69" t="str">
        <f>+'1_BF'!B19</f>
        <v>4Q21</v>
      </c>
      <c r="C19" s="62">
        <f>+'1_BF'!C19</f>
        <v>18730024</v>
      </c>
      <c r="D19" s="77">
        <f>+'1_BF'!D19</f>
        <v>35368087.422613502</v>
      </c>
      <c r="E19" s="64">
        <f>+'1_BF'!E19</f>
        <v>0.99771363479501207</v>
      </c>
      <c r="F19" s="65">
        <f t="shared" si="0"/>
        <v>2.2863652049879279E-3</v>
      </c>
      <c r="G19" s="77">
        <f t="shared" si="1"/>
        <v>35287223.058163464</v>
      </c>
      <c r="H19" s="67">
        <f t="shared" si="2"/>
        <v>44820.635980407933</v>
      </c>
      <c r="I19" s="68">
        <f t="shared" si="3"/>
        <v>18774844.635980409</v>
      </c>
    </row>
    <row r="20" spans="1:9" x14ac:dyDescent="0.25">
      <c r="A20" s="75" t="str">
        <f>+'1_BF'!A20</f>
        <v>AO013</v>
      </c>
      <c r="B20" s="76" t="str">
        <f>+'1_BF'!B20</f>
        <v>1Q22</v>
      </c>
      <c r="C20" s="62">
        <f>+'1_BF'!C20</f>
        <v>19627354</v>
      </c>
      <c r="D20" s="77">
        <f>+'1_BF'!D20</f>
        <v>26145159.833583504</v>
      </c>
      <c r="E20" s="64">
        <f>+'1_BF'!E20</f>
        <v>0.99547135654258201</v>
      </c>
      <c r="F20" s="65">
        <f t="shared" si="0"/>
        <v>4.5286434574179912E-3</v>
      </c>
      <c r="G20" s="77">
        <f t="shared" si="1"/>
        <v>26026757.726559997</v>
      </c>
      <c r="H20" s="67">
        <f t="shared" si="2"/>
        <v>65626.654884462769</v>
      </c>
      <c r="I20" s="68">
        <f t="shared" si="3"/>
        <v>19692980.654884461</v>
      </c>
    </row>
    <row r="21" spans="1:9" x14ac:dyDescent="0.25">
      <c r="A21" s="78" t="str">
        <f>+'1_BF'!A21</f>
        <v>AO014</v>
      </c>
      <c r="B21" s="69" t="str">
        <f>+'1_BF'!B21</f>
        <v>2Q22</v>
      </c>
      <c r="C21" s="62">
        <f>+'1_BF'!C21</f>
        <v>20049671</v>
      </c>
      <c r="D21" s="77">
        <f>+'1_BF'!D21</f>
        <v>46483438.979684092</v>
      </c>
      <c r="E21" s="64">
        <f>+'1_BF'!E21</f>
        <v>0.99164193632986553</v>
      </c>
      <c r="F21" s="65">
        <f t="shared" si="0"/>
        <v>8.3580636701344746E-3</v>
      </c>
      <c r="G21" s="77">
        <f t="shared" si="1"/>
        <v>46094927.437085085</v>
      </c>
      <c r="H21" s="67">
        <f t="shared" si="2"/>
        <v>215340.02701247379</v>
      </c>
      <c r="I21" s="68">
        <f t="shared" si="3"/>
        <v>20265011.027012475</v>
      </c>
    </row>
    <row r="22" spans="1:9" x14ac:dyDescent="0.25">
      <c r="A22" s="75" t="str">
        <f>+'1_BF'!A22</f>
        <v>AO015</v>
      </c>
      <c r="B22" s="76" t="str">
        <f>+'1_BF'!B22</f>
        <v>3Q22</v>
      </c>
      <c r="C22" s="62">
        <f>+'1_BF'!C22</f>
        <v>20688336</v>
      </c>
      <c r="D22" s="77">
        <f>+'1_BF'!D22</f>
        <v>28927094.426070891</v>
      </c>
      <c r="E22" s="64">
        <f>+'1_BF'!E22</f>
        <v>0.98367503786323174</v>
      </c>
      <c r="F22" s="65">
        <f t="shared" si="0"/>
        <v>1.6324962136768262E-2</v>
      </c>
      <c r="G22" s="77">
        <f t="shared" si="1"/>
        <v>28454860.704838563</v>
      </c>
      <c r="H22" s="67">
        <f t="shared" si="2"/>
        <v>261744.66170578444</v>
      </c>
      <c r="I22" s="68">
        <f t="shared" si="3"/>
        <v>20950080.661705784</v>
      </c>
    </row>
    <row r="23" spans="1:9" x14ac:dyDescent="0.25">
      <c r="A23" s="78" t="str">
        <f>+'1_BF'!A23</f>
        <v>AO016</v>
      </c>
      <c r="B23" s="69" t="str">
        <f>+'1_BF'!B23</f>
        <v>4Q22</v>
      </c>
      <c r="C23" s="62">
        <f>+'1_BF'!C23</f>
        <v>25647723</v>
      </c>
      <c r="D23" s="77">
        <f>+'1_BF'!D23</f>
        <v>62474506.661254242</v>
      </c>
      <c r="E23" s="64">
        <f>+'1_BF'!E23</f>
        <v>0.96857859269674329</v>
      </c>
      <c r="F23" s="65">
        <f t="shared" si="0"/>
        <v>3.142140730325671E-2</v>
      </c>
      <c r="G23" s="77">
        <f t="shared" si="1"/>
        <v>60511469.741380945</v>
      </c>
      <c r="H23" s="67">
        <f t="shared" si="2"/>
        <v>1088051.1310529986</v>
      </c>
      <c r="I23" s="68">
        <f t="shared" si="3"/>
        <v>26735774.131052997</v>
      </c>
    </row>
    <row r="24" spans="1:9" x14ac:dyDescent="0.25">
      <c r="A24" s="75" t="str">
        <f>+'1_BF'!A24</f>
        <v>AO017</v>
      </c>
      <c r="B24" s="76" t="str">
        <f>+'1_BF'!B24</f>
        <v>1Q23</v>
      </c>
      <c r="C24" s="62">
        <f>+'1_BF'!C24</f>
        <v>26811464</v>
      </c>
      <c r="D24" s="77">
        <f>+'1_BF'!D24</f>
        <v>40231086.53669332</v>
      </c>
      <c r="E24" s="64">
        <f>+'1_BF'!E24</f>
        <v>0.94164172046502703</v>
      </c>
      <c r="F24" s="65">
        <f t="shared" si="0"/>
        <v>5.8358279534972968E-2</v>
      </c>
      <c r="G24" s="77">
        <f t="shared" si="1"/>
        <v>37883269.542589284</v>
      </c>
      <c r="H24" s="67">
        <f t="shared" si="2"/>
        <v>1301322.9196449518</v>
      </c>
      <c r="I24" s="68">
        <f t="shared" si="3"/>
        <v>28112786.919644952</v>
      </c>
    </row>
    <row r="25" spans="1:9" x14ac:dyDescent="0.25">
      <c r="A25" s="78" t="str">
        <f>+'1_BF'!A25</f>
        <v>AO018</v>
      </c>
      <c r="B25" s="69" t="str">
        <f>+'1_BF'!B25</f>
        <v>2Q23</v>
      </c>
      <c r="C25" s="62">
        <f>+'1_BF'!C25</f>
        <v>21399003</v>
      </c>
      <c r="D25" s="77">
        <f>+'1_BF'!D25</f>
        <v>50080346.078834943</v>
      </c>
      <c r="E25" s="64">
        <f>+'1_BF'!E25</f>
        <v>0.89133319874250228</v>
      </c>
      <c r="F25" s="65">
        <f t="shared" si="0"/>
        <v>0.10866680125749772</v>
      </c>
      <c r="G25" s="77">
        <f t="shared" si="1"/>
        <v>44638275.064579479</v>
      </c>
      <c r="H25" s="67">
        <f t="shared" si="2"/>
        <v>3016372.9792273026</v>
      </c>
      <c r="I25" s="68">
        <f t="shared" si="3"/>
        <v>24415375.979227304</v>
      </c>
    </row>
    <row r="26" spans="1:9" x14ac:dyDescent="0.25">
      <c r="A26" s="75" t="str">
        <f>+'1_BF'!A26</f>
        <v>AO019</v>
      </c>
      <c r="B26" s="76" t="str">
        <f>+'1_BF'!B26</f>
        <v>3Q23</v>
      </c>
      <c r="C26" s="62">
        <f>+'1_BF'!C26</f>
        <v>33589263</v>
      </c>
      <c r="D26" s="77">
        <f>+'1_BF'!D26</f>
        <v>68225324.210713387</v>
      </c>
      <c r="E26" s="64">
        <f>+'1_BF'!E26</f>
        <v>0.80144235704194855</v>
      </c>
      <c r="F26" s="65">
        <f t="shared" si="0"/>
        <v>0.19855764295805145</v>
      </c>
      <c r="G26" s="77">
        <f t="shared" si="1"/>
        <v>54678664.645385258</v>
      </c>
      <c r="H26" s="67">
        <f t="shared" si="2"/>
        <v>7508497.7326848088</v>
      </c>
      <c r="I26" s="68">
        <f t="shared" si="3"/>
        <v>41097760.732684806</v>
      </c>
    </row>
    <row r="27" spans="1:9" x14ac:dyDescent="0.25">
      <c r="A27" s="78" t="str">
        <f>+'1_BF'!A27</f>
        <v>AO020</v>
      </c>
      <c r="B27" s="69" t="str">
        <f>+'1_BF'!B27</f>
        <v>4Q23</v>
      </c>
      <c r="C27" s="62">
        <f>+'1_BF'!C27</f>
        <v>21705785</v>
      </c>
      <c r="D27" s="77">
        <f>+'1_BF'!D27</f>
        <v>46727119.66625829</v>
      </c>
      <c r="E27" s="64">
        <f>+'1_BF'!E27</f>
        <v>0.72579635454538127</v>
      </c>
      <c r="F27" s="65">
        <f t="shared" si="0"/>
        <v>0.27420364545461873</v>
      </c>
      <c r="G27" s="77">
        <f t="shared" si="1"/>
        <v>33914373.112176061</v>
      </c>
      <c r="H27" s="67">
        <f t="shared" si="2"/>
        <v>7101712.269866229</v>
      </c>
      <c r="I27" s="68">
        <f t="shared" si="3"/>
        <v>28807497.269866228</v>
      </c>
    </row>
    <row r="28" spans="1:9" x14ac:dyDescent="0.25">
      <c r="A28" s="75" t="str">
        <f>+'1_BF'!A28</f>
        <v>AO021</v>
      </c>
      <c r="B28" s="76" t="str">
        <f>+'1_BF'!B28</f>
        <v>1Q24</v>
      </c>
      <c r="C28" s="62">
        <f>+'1_BF'!C28</f>
        <v>17306094</v>
      </c>
      <c r="D28" s="77">
        <f>+'1_BF'!D28</f>
        <v>63421725.274842381</v>
      </c>
      <c r="E28" s="64">
        <f>+'1_BF'!E28</f>
        <v>0.62464485751040633</v>
      </c>
      <c r="F28" s="65">
        <f t="shared" si="0"/>
        <v>0.37535514248959367</v>
      </c>
      <c r="G28" s="77">
        <f t="shared" si="1"/>
        <v>39616054.547368057</v>
      </c>
      <c r="H28" s="67">
        <f t="shared" si="2"/>
        <v>13194752.83336778</v>
      </c>
      <c r="I28" s="68">
        <f t="shared" si="3"/>
        <v>30500846.83336778</v>
      </c>
    </row>
    <row r="29" spans="1:9" x14ac:dyDescent="0.25">
      <c r="A29" s="78" t="str">
        <f>+'1_BF'!A29</f>
        <v>AO022</v>
      </c>
      <c r="B29" s="69" t="str">
        <f>+'1_BF'!B29</f>
        <v>2Q24</v>
      </c>
      <c r="C29" s="62">
        <f>+'1_BF'!C29</f>
        <v>15374462</v>
      </c>
      <c r="D29" s="77">
        <f>+'1_BF'!D29</f>
        <v>44130894.45352187</v>
      </c>
      <c r="E29" s="64">
        <f>+'1_BF'!E29</f>
        <v>0.50138363107205552</v>
      </c>
      <c r="F29" s="65">
        <f t="shared" si="0"/>
        <v>0.49861636892794448</v>
      </c>
      <c r="G29" s="77">
        <f t="shared" si="1"/>
        <v>22126508.10356443</v>
      </c>
      <c r="H29" s="67">
        <f t="shared" si="2"/>
        <v>12196356.173343755</v>
      </c>
      <c r="I29" s="68">
        <f t="shared" si="3"/>
        <v>27570818.173343755</v>
      </c>
    </row>
    <row r="30" spans="1:9" x14ac:dyDescent="0.25">
      <c r="A30" s="75" t="str">
        <f>+'1_BF'!A30</f>
        <v>AO023</v>
      </c>
      <c r="B30" s="76" t="str">
        <f>+'1_BF'!B30</f>
        <v>3Q24</v>
      </c>
      <c r="C30" s="62">
        <f>+'1_BF'!C30</f>
        <v>9321834</v>
      </c>
      <c r="D30" s="77">
        <f>+'1_BF'!D30</f>
        <v>35850380.695277527</v>
      </c>
      <c r="E30" s="64">
        <f>+'1_BF'!E30</f>
        <v>0.3720833959524763</v>
      </c>
      <c r="F30" s="65">
        <f t="shared" si="0"/>
        <v>0.6279166040475237</v>
      </c>
      <c r="G30" s="77">
        <f t="shared" si="1"/>
        <v>13339331.395287961</v>
      </c>
      <c r="H30" s="67">
        <f t="shared" si="2"/>
        <v>12477183.90015018</v>
      </c>
      <c r="I30" s="68">
        <f t="shared" si="3"/>
        <v>21799017.90015018</v>
      </c>
    </row>
    <row r="31" spans="1:9" x14ac:dyDescent="0.25">
      <c r="A31" s="78" t="str">
        <f>+'1_BF'!A31</f>
        <v>AO024</v>
      </c>
      <c r="B31" s="69" t="str">
        <f>+'1_BF'!B31</f>
        <v>4Q24</v>
      </c>
      <c r="C31" s="62">
        <f>+'1_BF'!C31</f>
        <v>5149958</v>
      </c>
      <c r="D31" s="77">
        <f>+'1_BF'!D31</f>
        <v>55736822.584780522</v>
      </c>
      <c r="E31" s="64">
        <f>+'1_BF'!E31</f>
        <v>0.17330593704179437</v>
      </c>
      <c r="F31" s="65">
        <f t="shared" si="0"/>
        <v>0.82669406295820558</v>
      </c>
      <c r="G31" s="77">
        <f t="shared" si="1"/>
        <v>9659522.265787635</v>
      </c>
      <c r="H31" s="67">
        <f t="shared" si="2"/>
        <v>25539233.735443387</v>
      </c>
      <c r="I31" s="68">
        <f t="shared" si="3"/>
        <v>30689191.735443387</v>
      </c>
    </row>
    <row r="32" spans="1:9" x14ac:dyDescent="0.25">
      <c r="A32" s="164" t="s">
        <v>139</v>
      </c>
      <c r="B32" s="165"/>
      <c r="C32" s="165"/>
      <c r="D32" s="165"/>
      <c r="E32" s="165"/>
      <c r="F32" s="166"/>
      <c r="G32" s="80">
        <f>SUM(G8:G31)</f>
        <v>747315102.91086709</v>
      </c>
      <c r="H32" s="70">
        <f>SUM(H8:H31)</f>
        <v>84048625.111840144</v>
      </c>
      <c r="I32" s="70">
        <f>SUM(I8:I31)</f>
        <v>498262456.11184019</v>
      </c>
    </row>
  </sheetData>
  <mergeCells count="3">
    <mergeCell ref="A1:I1"/>
    <mergeCell ref="A2:I2"/>
    <mergeCell ref="A32:F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3BA3-8525-480D-B84F-79295985E641}">
  <dimension ref="B1:N52"/>
  <sheetViews>
    <sheetView showGridLines="0" topLeftCell="B1" zoomScaleNormal="100" workbookViewId="0">
      <pane ySplit="7" topLeftCell="A28" activePane="bottomLeft" state="frozen"/>
      <selection pane="bottomLeft" activeCell="D53" sqref="D53"/>
    </sheetView>
  </sheetViews>
  <sheetFormatPr baseColWidth="10" defaultColWidth="8.7109375" defaultRowHeight="15" x14ac:dyDescent="0.25"/>
  <cols>
    <col min="1" max="1" width="3" style="28" customWidth="1"/>
    <col min="2" max="2" width="21.85546875" style="28" customWidth="1"/>
    <col min="3" max="5" width="14" style="28" customWidth="1"/>
    <col min="6" max="8" width="16" style="28" customWidth="1"/>
    <col min="9" max="9" width="18" style="28" customWidth="1"/>
    <col min="10" max="10" width="13" style="28" bestFit="1" customWidth="1"/>
    <col min="11" max="11" width="11.42578125" style="28" bestFit="1" customWidth="1"/>
    <col min="12" max="16384" width="8.7109375" style="28"/>
  </cols>
  <sheetData>
    <row r="1" spans="2:14" ht="30" customHeight="1" x14ac:dyDescent="0.25">
      <c r="B1" s="146" t="s">
        <v>153</v>
      </c>
      <c r="C1" s="146"/>
      <c r="D1" s="146"/>
      <c r="E1" s="146"/>
      <c r="F1" s="146"/>
      <c r="G1" s="146"/>
      <c r="H1" s="146"/>
      <c r="I1" s="146"/>
    </row>
    <row r="2" spans="2:14" ht="15" customHeight="1" x14ac:dyDescent="0.25">
      <c r="B2" s="147" t="s">
        <v>154</v>
      </c>
      <c r="C2" s="147"/>
      <c r="D2" s="147"/>
      <c r="E2" s="147"/>
      <c r="F2" s="147"/>
      <c r="G2" s="147"/>
      <c r="H2" s="147"/>
      <c r="I2" s="147"/>
      <c r="N2" s="28" t="s">
        <v>245</v>
      </c>
    </row>
    <row r="3" spans="2:14" x14ac:dyDescent="0.25">
      <c r="N3" s="28" t="s">
        <v>246</v>
      </c>
    </row>
    <row r="4" spans="2:14" ht="15" customHeight="1" thickBot="1" x14ac:dyDescent="0.3">
      <c r="B4" s="148" t="s">
        <v>155</v>
      </c>
      <c r="C4" s="148"/>
      <c r="D4" s="148"/>
      <c r="E4" s="148"/>
      <c r="I4" s="28" t="s">
        <v>245</v>
      </c>
    </row>
    <row r="5" spans="2:14" ht="18" customHeight="1" thickBot="1" x14ac:dyDescent="0.3">
      <c r="B5" s="83" t="s">
        <v>156</v>
      </c>
      <c r="C5" s="84">
        <f>'1_CL'!AC33</f>
        <v>88287625.851355985</v>
      </c>
      <c r="D5" s="149" t="s">
        <v>157</v>
      </c>
      <c r="E5" s="149"/>
      <c r="F5" s="149"/>
      <c r="G5" s="149"/>
      <c r="H5" s="149"/>
      <c r="I5" s="149"/>
    </row>
    <row r="6" spans="2:14" ht="18" customHeight="1" thickBot="1" x14ac:dyDescent="0.3">
      <c r="B6" s="83" t="s">
        <v>158</v>
      </c>
      <c r="C6" s="85">
        <f>IF(I4="Anual",Triangulo1!E4, POWER(1+Triangulo1!E4,0.25)-1)</f>
        <v>1.4673846168659299E-2</v>
      </c>
      <c r="D6" s="149" t="s">
        <v>159</v>
      </c>
      <c r="E6" s="149"/>
      <c r="F6" s="149"/>
      <c r="G6" s="149"/>
      <c r="H6" s="149"/>
      <c r="I6" s="149"/>
      <c r="J6" s="86">
        <v>0.04</v>
      </c>
    </row>
    <row r="7" spans="2:14" ht="18" customHeight="1" thickBot="1" x14ac:dyDescent="0.3">
      <c r="B7" s="83" t="s">
        <v>160</v>
      </c>
      <c r="C7" s="85">
        <v>0.01</v>
      </c>
      <c r="D7" s="149" t="s">
        <v>161</v>
      </c>
      <c r="E7" s="149"/>
      <c r="F7" s="149"/>
      <c r="G7" s="149"/>
      <c r="H7" s="149"/>
      <c r="I7" s="149"/>
    </row>
    <row r="8" spans="2:14" ht="18" customHeight="1" thickBot="1" x14ac:dyDescent="0.3">
      <c r="B8" s="83" t="s">
        <v>162</v>
      </c>
      <c r="C8" s="85">
        <v>0.4</v>
      </c>
      <c r="D8" s="149" t="s">
        <v>163</v>
      </c>
      <c r="E8" s="149"/>
      <c r="F8" s="149"/>
      <c r="G8" s="149"/>
      <c r="H8" s="149"/>
      <c r="I8" s="149"/>
    </row>
    <row r="10" spans="2:14" ht="15" customHeight="1" x14ac:dyDescent="0.25">
      <c r="B10" s="148" t="s">
        <v>164</v>
      </c>
      <c r="C10" s="148"/>
      <c r="D10" s="148"/>
      <c r="E10" s="148"/>
      <c r="F10" s="148"/>
      <c r="G10" s="148"/>
      <c r="H10" s="148"/>
      <c r="I10" s="148"/>
    </row>
    <row r="11" spans="2:14" ht="31.5" customHeight="1" thickBot="1" x14ac:dyDescent="0.3">
      <c r="B11" s="87" t="s">
        <v>196</v>
      </c>
      <c r="C11" s="87" t="s">
        <v>165</v>
      </c>
      <c r="D11" s="87" t="s">
        <v>166</v>
      </c>
      <c r="E11" s="87" t="s">
        <v>167</v>
      </c>
      <c r="F11" s="87" t="s">
        <v>168</v>
      </c>
      <c r="G11" s="87" t="s">
        <v>169</v>
      </c>
      <c r="H11" s="87" t="s">
        <v>170</v>
      </c>
      <c r="I11" s="87" t="s">
        <v>171</v>
      </c>
    </row>
    <row r="12" spans="2:14" ht="15" customHeight="1" thickBot="1" x14ac:dyDescent="0.3">
      <c r="B12" s="143">
        <f>IF(I4= "Anual",1,0.25)</f>
        <v>0.25</v>
      </c>
      <c r="C12" s="88">
        <f>'1_BF'!E31</f>
        <v>0.17330593704179437</v>
      </c>
      <c r="D12" s="90">
        <f>C12</f>
        <v>0.17330593704179437</v>
      </c>
      <c r="E12" s="89">
        <f>D12*$C$5</f>
        <v>15300769.727364598</v>
      </c>
      <c r="F12" s="89">
        <f>IF($I$4="Anual",E12/(1+$C$6)^B12,E12/(1+$C$6)^(B12*4))</f>
        <v>15079495.529661361</v>
      </c>
      <c r="G12" s="90">
        <f>F12/$F$36</f>
        <v>0.18100642760903829</v>
      </c>
      <c r="H12" s="91">
        <f>B12*G12</f>
        <v>4.5251606902259572E-2</v>
      </c>
      <c r="I12" s="91">
        <f>B12*(B12+1)*F12/((1+$C$6)^2)/$F$36</f>
        <v>5.4940307541391398E-2</v>
      </c>
      <c r="J12" s="28">
        <f>+B12*F12</f>
        <v>3769873.8824153403</v>
      </c>
    </row>
    <row r="13" spans="2:14" ht="15" customHeight="1" thickBot="1" x14ac:dyDescent="0.3">
      <c r="B13" s="143">
        <f>IF($I$4="Anual",B12+1,B12+0.25)</f>
        <v>0.5</v>
      </c>
      <c r="C13" s="88">
        <f>'1_BF'!E30</f>
        <v>0.3720833959524763</v>
      </c>
      <c r="D13" s="93">
        <f>C13-C12</f>
        <v>0.19877745891068194</v>
      </c>
      <c r="E13" s="92">
        <f t="shared" ref="E13:E21" si="0">D13*$C$5</f>
        <v>17549589.919989575</v>
      </c>
      <c r="F13" s="89">
        <f>IF($I$4="Anual",E13/(1+$C$6)^B13,E13/(1+$C$6)^(B13*4))</f>
        <v>17045668.579453427</v>
      </c>
      <c r="G13" s="93">
        <f>F13/$F$36</f>
        <v>0.20460734708966641</v>
      </c>
      <c r="H13" s="94">
        <f>B13*G13</f>
        <v>0.1023036735448332</v>
      </c>
      <c r="I13" s="94">
        <f>B13*(B13+1)*F13/((1+$C$6)^2)/$F$36</f>
        <v>0.14904916767196405</v>
      </c>
      <c r="J13" s="28">
        <f>+B13*F13</f>
        <v>8522834.2897267137</v>
      </c>
    </row>
    <row r="14" spans="2:14" ht="15" customHeight="1" thickBot="1" x14ac:dyDescent="0.3">
      <c r="B14" s="143">
        <f t="shared" ref="B14:B35" si="1">IF($I$4="Anual",B13+1,B13+0.25)</f>
        <v>0.75</v>
      </c>
      <c r="C14" s="88">
        <f>'1_BF'!E29</f>
        <v>0.50138363107205552</v>
      </c>
      <c r="D14" s="90">
        <f>C14-C13</f>
        <v>0.12930023511957922</v>
      </c>
      <c r="E14" s="89">
        <f t="shared" si="0"/>
        <v>11415610.780729769</v>
      </c>
      <c r="F14" s="89">
        <f t="shared" ref="F14:F35" si="2">IF($I$4="Anual",E14/(1+$C$6)^B14,E14/(1+$C$6)^(B14*4))</f>
        <v>10927473.299290081</v>
      </c>
      <c r="G14" s="90">
        <f>F14/$F$36</f>
        <v>0.13116771053826276</v>
      </c>
      <c r="H14" s="91">
        <f>B14*G14</f>
        <v>9.837578290369707E-2</v>
      </c>
      <c r="I14" s="91">
        <f>B14*(B14+1)*F14/((1+$C$6)^2)/$F$36</f>
        <v>0.16721426248220472</v>
      </c>
      <c r="J14" s="28">
        <f t="shared" ref="J14:J20" si="3">+B14*F14</f>
        <v>8195604.9744675606</v>
      </c>
    </row>
    <row r="15" spans="2:14" ht="15" customHeight="1" thickBot="1" x14ac:dyDescent="0.3">
      <c r="B15" s="143">
        <f t="shared" si="1"/>
        <v>1</v>
      </c>
      <c r="C15" s="88">
        <f>'1_BF'!E28</f>
        <v>0.62464485751040633</v>
      </c>
      <c r="D15" s="93">
        <f>C15-C14</f>
        <v>0.1232612264383508</v>
      </c>
      <c r="E15" s="92">
        <f t="shared" si="0"/>
        <v>10882441.041768383</v>
      </c>
      <c r="F15" s="89">
        <f t="shared" si="2"/>
        <v>10266453.812989043</v>
      </c>
      <c r="G15" s="90">
        <f t="shared" ref="G15:G34" si="4">F15/$F$36</f>
        <v>0.12323317615281443</v>
      </c>
      <c r="H15" s="94">
        <f>B15*G15</f>
        <v>0.12323317615281443</v>
      </c>
      <c r="I15" s="91">
        <f t="shared" ref="I15:I35" si="5">B15*(B15+1)*F15/((1+$C$6)^2)/$F$36</f>
        <v>0.23938928354122202</v>
      </c>
      <c r="J15" s="28">
        <f t="shared" si="3"/>
        <v>10266453.812989043</v>
      </c>
    </row>
    <row r="16" spans="2:14" ht="15" customHeight="1" thickBot="1" x14ac:dyDescent="0.3">
      <c r="B16" s="143">
        <f t="shared" si="1"/>
        <v>1.25</v>
      </c>
      <c r="C16" s="88">
        <f>'1_BF'!E27</f>
        <v>0.72579635454538127</v>
      </c>
      <c r="D16" s="90">
        <f t="shared" ref="D16" si="6">C16-C15</f>
        <v>0.10115149703497495</v>
      </c>
      <c r="E16" s="89">
        <f t="shared" si="0"/>
        <v>8930425.5245284121</v>
      </c>
      <c r="F16" s="89">
        <f t="shared" si="2"/>
        <v>8303091.4534095041</v>
      </c>
      <c r="G16" s="93">
        <f t="shared" si="4"/>
        <v>9.9665994736797575E-2</v>
      </c>
      <c r="H16" s="91">
        <f t="shared" ref="H16:H35" si="7">B16*G16</f>
        <v>0.12458249342099698</v>
      </c>
      <c r="I16" s="94">
        <f t="shared" si="5"/>
        <v>0.27226173275332027</v>
      </c>
      <c r="J16" s="28">
        <f t="shared" si="3"/>
        <v>10378864.316761881</v>
      </c>
    </row>
    <row r="17" spans="2:10" ht="15" customHeight="1" thickBot="1" x14ac:dyDescent="0.3">
      <c r="B17" s="143">
        <f t="shared" si="1"/>
        <v>1.5</v>
      </c>
      <c r="C17" s="88">
        <f>'1_BF'!E26</f>
        <v>0.80144235704194855</v>
      </c>
      <c r="D17" s="93">
        <f>C17-C16</f>
        <v>7.5646002496567277E-2</v>
      </c>
      <c r="E17" s="92">
        <f t="shared" si="0"/>
        <v>6678605.9655676726</v>
      </c>
      <c r="F17" s="89">
        <f t="shared" si="2"/>
        <v>6119656.1835950641</v>
      </c>
      <c r="G17" s="90">
        <f t="shared" si="4"/>
        <v>7.3457172476974697E-2</v>
      </c>
      <c r="H17" s="94">
        <f t="shared" si="7"/>
        <v>0.11018575871546205</v>
      </c>
      <c r="I17" s="91">
        <f t="shared" si="5"/>
        <v>0.26755467418359247</v>
      </c>
      <c r="J17" s="28">
        <f t="shared" si="3"/>
        <v>9179484.2753925957</v>
      </c>
    </row>
    <row r="18" spans="2:10" ht="15" customHeight="1" thickBot="1" x14ac:dyDescent="0.3">
      <c r="B18" s="143">
        <f t="shared" si="1"/>
        <v>1.75</v>
      </c>
      <c r="C18" s="88">
        <f>'1_BF'!E25</f>
        <v>0.89133319874250228</v>
      </c>
      <c r="D18" s="90">
        <f>C18-C17</f>
        <v>8.9890841700553725E-2</v>
      </c>
      <c r="E18" s="89">
        <f t="shared" si="0"/>
        <v>7936248.9995219558</v>
      </c>
      <c r="F18" s="89">
        <f t="shared" si="2"/>
        <v>7166878.1563698109</v>
      </c>
      <c r="G18" s="90">
        <f t="shared" si="4"/>
        <v>8.602748080279328E-2</v>
      </c>
      <c r="H18" s="91">
        <f t="shared" si="7"/>
        <v>0.15054809140488823</v>
      </c>
      <c r="I18" s="91">
        <f t="shared" si="5"/>
        <v>0.4021193901627021</v>
      </c>
      <c r="J18" s="28">
        <f t="shared" si="3"/>
        <v>12542036.773647169</v>
      </c>
    </row>
    <row r="19" spans="2:10" ht="15" customHeight="1" thickBot="1" x14ac:dyDescent="0.3">
      <c r="B19" s="143">
        <f t="shared" si="1"/>
        <v>2</v>
      </c>
      <c r="C19" s="88">
        <f>'1_BF'!E24</f>
        <v>0.94164172046502703</v>
      </c>
      <c r="D19" s="93">
        <f>C19-C18</f>
        <v>5.0308521722524757E-2</v>
      </c>
      <c r="E19" s="92">
        <f t="shared" si="0"/>
        <v>4441619.942973081</v>
      </c>
      <c r="F19" s="89">
        <f t="shared" si="2"/>
        <v>3953025.9371422944</v>
      </c>
      <c r="G19" s="93">
        <f t="shared" si="4"/>
        <v>4.7450068984109167E-2</v>
      </c>
      <c r="H19" s="94">
        <f t="shared" si="7"/>
        <v>9.4900137968218334E-2</v>
      </c>
      <c r="I19" s="94">
        <f t="shared" si="5"/>
        <v>0.2765254870328529</v>
      </c>
      <c r="J19" s="28">
        <f t="shared" si="3"/>
        <v>7906051.8742845887</v>
      </c>
    </row>
    <row r="20" spans="2:10" ht="15" customHeight="1" thickBot="1" x14ac:dyDescent="0.3">
      <c r="B20" s="143">
        <f t="shared" si="1"/>
        <v>2.25</v>
      </c>
      <c r="C20" s="88">
        <f>'1_BF'!E23</f>
        <v>0.96857859269674329</v>
      </c>
      <c r="D20" s="90">
        <f>C20-C19</f>
        <v>2.6936872231716258E-2</v>
      </c>
      <c r="E20" s="89">
        <f t="shared" si="0"/>
        <v>2378192.4971995456</v>
      </c>
      <c r="F20" s="89">
        <f t="shared" si="2"/>
        <v>2085973.6004512652</v>
      </c>
      <c r="G20" s="90">
        <f t="shared" si="4"/>
        <v>2.503894303106876E-2</v>
      </c>
      <c r="H20" s="91">
        <f t="shared" si="7"/>
        <v>5.6337621819904711E-2</v>
      </c>
      <c r="I20" s="91">
        <f t="shared" si="5"/>
        <v>0.1778397906756366</v>
      </c>
      <c r="J20" s="28">
        <f t="shared" si="3"/>
        <v>4693440.6010153471</v>
      </c>
    </row>
    <row r="21" spans="2:10" ht="15.75" customHeight="1" thickBot="1" x14ac:dyDescent="0.3">
      <c r="B21" s="143">
        <f t="shared" si="1"/>
        <v>2.5</v>
      </c>
      <c r="C21" s="88">
        <f>'1_BF'!E22</f>
        <v>0.98367503786323174</v>
      </c>
      <c r="D21" s="93">
        <f>C21-C20</f>
        <v>1.5096445166488448E-2</v>
      </c>
      <c r="E21" s="92">
        <f t="shared" si="0"/>
        <v>1332829.3025444436</v>
      </c>
      <c r="F21" s="89">
        <f t="shared" si="2"/>
        <v>1152152.2414532853</v>
      </c>
      <c r="G21" s="90">
        <f t="shared" si="4"/>
        <v>1.3829836739365286E-2</v>
      </c>
      <c r="H21" s="94">
        <f t="shared" si="7"/>
        <v>3.4574591848413216E-2</v>
      </c>
      <c r="I21" s="91">
        <f t="shared" si="5"/>
        <v>0.11753634290697763</v>
      </c>
      <c r="J21" s="28">
        <f>+B21*F21</f>
        <v>2880380.6036332133</v>
      </c>
    </row>
    <row r="22" spans="2:10" ht="15.75" customHeight="1" thickBot="1" x14ac:dyDescent="0.3">
      <c r="B22" s="143">
        <f t="shared" si="1"/>
        <v>2.75</v>
      </c>
      <c r="C22" s="88">
        <f>'1_BF'!E21</f>
        <v>0.99164193632986553</v>
      </c>
      <c r="D22" s="93">
        <f t="shared" ref="D22:D35" si="8">C22-C21</f>
        <v>7.9668984666337872E-3</v>
      </c>
      <c r="E22" s="89">
        <f t="shared" ref="E22:E34" si="9">D22*$C$5</f>
        <v>703378.55101790547</v>
      </c>
      <c r="F22" s="89">
        <f t="shared" si="2"/>
        <v>599236.13089486363</v>
      </c>
      <c r="G22" s="93">
        <f t="shared" si="4"/>
        <v>7.1929190956149395E-3</v>
      </c>
      <c r="H22" s="91">
        <f t="shared" si="7"/>
        <v>1.9780527512941085E-2</v>
      </c>
      <c r="I22" s="91">
        <f t="shared" si="5"/>
        <v>7.2047050212332139E-2</v>
      </c>
      <c r="J22" s="28">
        <f t="shared" ref="J22:J35" si="10">+B22*F22</f>
        <v>1647899.359960875</v>
      </c>
    </row>
    <row r="23" spans="2:10" ht="15.75" customHeight="1" thickBot="1" x14ac:dyDescent="0.3">
      <c r="B23" s="143">
        <f t="shared" si="1"/>
        <v>3</v>
      </c>
      <c r="C23" s="88">
        <f>'1_BF'!E20</f>
        <v>0.99547135654258201</v>
      </c>
      <c r="D23" s="93">
        <f t="shared" si="8"/>
        <v>3.8294202127164834E-3</v>
      </c>
      <c r="E23" s="92">
        <f t="shared" si="9"/>
        <v>338090.41896793293</v>
      </c>
      <c r="F23" s="89">
        <f t="shared" si="2"/>
        <v>283867.23517394654</v>
      </c>
      <c r="G23" s="90">
        <f t="shared" si="4"/>
        <v>3.4073947668224599E-3</v>
      </c>
      <c r="H23" s="94">
        <f t="shared" si="7"/>
        <v>1.0222184300467379E-2</v>
      </c>
      <c r="I23" s="94">
        <f t="shared" si="5"/>
        <v>3.9714652373817383E-2</v>
      </c>
      <c r="J23" s="28">
        <f t="shared" si="10"/>
        <v>851601.70552183967</v>
      </c>
    </row>
    <row r="24" spans="2:10" ht="15.75" customHeight="1" thickBot="1" x14ac:dyDescent="0.3">
      <c r="B24" s="143">
        <f t="shared" si="1"/>
        <v>3.25</v>
      </c>
      <c r="C24" s="88">
        <f>'1_BF'!E19</f>
        <v>0.99771363479501207</v>
      </c>
      <c r="D24" s="93">
        <f t="shared" si="8"/>
        <v>2.2422782524300633E-3</v>
      </c>
      <c r="E24" s="89">
        <f t="shared" si="9"/>
        <v>197965.42340517777</v>
      </c>
      <c r="F24" s="89">
        <f t="shared" si="2"/>
        <v>163811.83716546994</v>
      </c>
      <c r="G24" s="90">
        <f t="shared" si="4"/>
        <v>1.9663121612438364E-3</v>
      </c>
      <c r="H24" s="91">
        <f t="shared" si="7"/>
        <v>6.3905145240424682E-3</v>
      </c>
      <c r="I24" s="91">
        <f t="shared" si="5"/>
        <v>2.6379819744162647E-2</v>
      </c>
      <c r="J24" s="28">
        <f t="shared" si="10"/>
        <v>532388.47078777733</v>
      </c>
    </row>
    <row r="25" spans="2:10" ht="15.75" customHeight="1" thickBot="1" x14ac:dyDescent="0.3">
      <c r="B25" s="143">
        <f t="shared" si="1"/>
        <v>3.5</v>
      </c>
      <c r="C25" s="88">
        <f>'1_BF'!E18</f>
        <v>0.99884713080700838</v>
      </c>
      <c r="D25" s="93">
        <f t="shared" si="8"/>
        <v>1.1334960119963045E-3</v>
      </c>
      <c r="E25" s="92">
        <f t="shared" si="9"/>
        <v>100073.67181113384</v>
      </c>
      <c r="F25" s="89">
        <f t="shared" si="2"/>
        <v>81611.114060881649</v>
      </c>
      <c r="G25" s="93">
        <f t="shared" si="4"/>
        <v>9.7961740034984281E-4</v>
      </c>
      <c r="H25" s="94">
        <f t="shared" si="7"/>
        <v>3.4286609012244497E-3</v>
      </c>
      <c r="I25" s="91">
        <f t="shared" si="5"/>
        <v>1.4985944370793912E-2</v>
      </c>
      <c r="J25" s="28">
        <f t="shared" si="10"/>
        <v>285638.89921308577</v>
      </c>
    </row>
    <row r="26" spans="2:10" ht="15.75" customHeight="1" thickBot="1" x14ac:dyDescent="0.3">
      <c r="B26" s="143">
        <f t="shared" si="1"/>
        <v>3.75</v>
      </c>
      <c r="C26" s="88">
        <f>'1_BF'!E17</f>
        <v>0.9994354826405355</v>
      </c>
      <c r="D26" s="93">
        <f t="shared" si="8"/>
        <v>5.8835183352712317E-4</v>
      </c>
      <c r="E26" s="89">
        <f t="shared" si="9"/>
        <v>51944.186547401936</v>
      </c>
      <c r="F26" s="89">
        <f t="shared" si="2"/>
        <v>41748.411432518093</v>
      </c>
      <c r="G26" s="90">
        <f t="shared" si="4"/>
        <v>5.0112623442132704E-4</v>
      </c>
      <c r="H26" s="91">
        <f t="shared" si="7"/>
        <v>1.8792233790799764E-3</v>
      </c>
      <c r="I26" s="94">
        <f t="shared" si="5"/>
        <v>8.6699997264802278E-3</v>
      </c>
      <c r="J26" s="28">
        <f t="shared" si="10"/>
        <v>156556.54287194286</v>
      </c>
    </row>
    <row r="27" spans="2:10" ht="15.75" customHeight="1" thickBot="1" x14ac:dyDescent="0.3">
      <c r="B27" s="143">
        <f t="shared" si="1"/>
        <v>4</v>
      </c>
      <c r="C27" s="88">
        <f>'1_BF'!E16</f>
        <v>0.99974292336536252</v>
      </c>
      <c r="D27" s="93">
        <f t="shared" si="8"/>
        <v>3.0744072482702389E-4</v>
      </c>
      <c r="E27" s="92">
        <f t="shared" si="9"/>
        <v>27143.211684997976</v>
      </c>
      <c r="F27" s="89">
        <f t="shared" si="2"/>
        <v>21499.965975615101</v>
      </c>
      <c r="G27" s="90">
        <f t="shared" si="4"/>
        <v>2.5807441815988623E-4</v>
      </c>
      <c r="H27" s="94">
        <f t="shared" si="7"/>
        <v>1.0322976726395449E-3</v>
      </c>
      <c r="I27" s="91">
        <f t="shared" si="5"/>
        <v>5.0132806758954864E-3</v>
      </c>
      <c r="J27" s="28">
        <f t="shared" si="10"/>
        <v>85999.863902460405</v>
      </c>
    </row>
    <row r="28" spans="2:10" ht="15.75" customHeight="1" thickBot="1" x14ac:dyDescent="0.3">
      <c r="B28" s="143">
        <f t="shared" si="1"/>
        <v>4.25</v>
      </c>
      <c r="C28" s="88">
        <f>'1_BF'!E15</f>
        <v>0.99988291320014422</v>
      </c>
      <c r="D28" s="93">
        <f t="shared" si="8"/>
        <v>1.3998983478169524E-4</v>
      </c>
      <c r="E28" s="89">
        <f t="shared" si="9"/>
        <v>12359.370156199449</v>
      </c>
      <c r="F28" s="89">
        <f t="shared" si="2"/>
        <v>9648.2025424270505</v>
      </c>
      <c r="G28" s="93">
        <f t="shared" si="4"/>
        <v>1.1581200920269641E-4</v>
      </c>
      <c r="H28" s="91">
        <f t="shared" si="7"/>
        <v>4.9220103911145978E-4</v>
      </c>
      <c r="I28" s="91">
        <f t="shared" si="5"/>
        <v>2.5098565313142075E-3</v>
      </c>
      <c r="J28" s="28">
        <f t="shared" si="10"/>
        <v>41004.860805314966</v>
      </c>
    </row>
    <row r="29" spans="2:10" ht="15.75" customHeight="1" thickBot="1" x14ac:dyDescent="0.3">
      <c r="B29" s="143">
        <f t="shared" si="1"/>
        <v>4.5</v>
      </c>
      <c r="C29" s="88">
        <f>'1_BF'!E14</f>
        <v>0.99995183107188657</v>
      </c>
      <c r="D29" s="93">
        <f t="shared" si="8"/>
        <v>6.8917871742346648E-5</v>
      </c>
      <c r="E29" s="92">
        <f t="shared" si="9"/>
        <v>6084.5952748600403</v>
      </c>
      <c r="F29" s="89">
        <f t="shared" si="2"/>
        <v>4681.1795825861027</v>
      </c>
      <c r="G29" s="90">
        <f t="shared" si="4"/>
        <v>5.6190446926662388E-5</v>
      </c>
      <c r="H29" s="94">
        <f t="shared" si="7"/>
        <v>2.5285701116998073E-4</v>
      </c>
      <c r="I29" s="94">
        <f t="shared" si="5"/>
        <v>1.3507804208102332E-3</v>
      </c>
      <c r="J29" s="28">
        <f t="shared" si="10"/>
        <v>21065.308121637463</v>
      </c>
    </row>
    <row r="30" spans="2:10" ht="15.75" customHeight="1" thickBot="1" x14ac:dyDescent="0.3">
      <c r="B30" s="143">
        <f t="shared" si="1"/>
        <v>4.75</v>
      </c>
      <c r="C30" s="88">
        <f>'1_BF'!E13</f>
        <v>0.99998444672363174</v>
      </c>
      <c r="D30" s="93">
        <f t="shared" si="8"/>
        <v>3.2615651745171448E-5</v>
      </c>
      <c r="E30" s="89">
        <f t="shared" si="9"/>
        <v>2879.5584581758226</v>
      </c>
      <c r="F30" s="89">
        <f t="shared" si="2"/>
        <v>2183.3483867979821</v>
      </c>
      <c r="G30" s="90">
        <f t="shared" si="4"/>
        <v>2.6207779361245941E-5</v>
      </c>
      <c r="H30" s="91">
        <f t="shared" si="7"/>
        <v>1.2448695196591822E-4</v>
      </c>
      <c r="I30" s="91">
        <f t="shared" si="5"/>
        <v>6.9524639483155412E-4</v>
      </c>
      <c r="J30" s="28">
        <f t="shared" si="10"/>
        <v>10370.904837290414</v>
      </c>
    </row>
    <row r="31" spans="2:10" ht="15.75" customHeight="1" thickBot="1" x14ac:dyDescent="0.3">
      <c r="B31" s="143">
        <f t="shared" si="1"/>
        <v>5</v>
      </c>
      <c r="C31" s="88">
        <f>'1_BF'!E12</f>
        <v>0.99999415309772943</v>
      </c>
      <c r="D31" s="93">
        <f t="shared" si="8"/>
        <v>9.7063740976954804E-6</v>
      </c>
      <c r="E31" s="92">
        <f t="shared" si="9"/>
        <v>856.95272471063163</v>
      </c>
      <c r="F31" s="89">
        <f t="shared" si="2"/>
        <v>640.36492729985628</v>
      </c>
      <c r="G31" s="93">
        <f t="shared" si="4"/>
        <v>7.6866077932562952E-6</v>
      </c>
      <c r="H31" s="94">
        <f t="shared" si="7"/>
        <v>3.8433038966281478E-5</v>
      </c>
      <c r="I31" s="91">
        <f t="shared" si="5"/>
        <v>2.2397680437225028E-4</v>
      </c>
      <c r="J31" s="28">
        <f t="shared" si="10"/>
        <v>3201.8246364992815</v>
      </c>
    </row>
    <row r="32" spans="2:10" ht="15.75" customHeight="1" thickBot="1" x14ac:dyDescent="0.3">
      <c r="B32" s="143">
        <f t="shared" si="1"/>
        <v>5.25</v>
      </c>
      <c r="C32" s="88">
        <f>'1_BF'!E11</f>
        <v>0.99999717797843624</v>
      </c>
      <c r="D32" s="93">
        <f t="shared" si="8"/>
        <v>3.0248807068034012E-6</v>
      </c>
      <c r="E32" s="89">
        <f t="shared" si="9"/>
        <v>267.05953608724394</v>
      </c>
      <c r="F32" s="89">
        <f t="shared" si="2"/>
        <v>196.67642142994546</v>
      </c>
      <c r="G32" s="90">
        <f t="shared" si="4"/>
        <v>2.3608015512149953E-6</v>
      </c>
      <c r="H32" s="91">
        <f t="shared" si="7"/>
        <v>1.2394208143878725E-5</v>
      </c>
      <c r="I32" s="91">
        <f t="shared" si="5"/>
        <v>7.5239494657891717E-5</v>
      </c>
      <c r="J32" s="28">
        <f t="shared" si="10"/>
        <v>1032.5512125072137</v>
      </c>
    </row>
    <row r="33" spans="2:11" ht="15.75" customHeight="1" thickBot="1" x14ac:dyDescent="0.3">
      <c r="B33" s="143">
        <f t="shared" si="1"/>
        <v>5.5</v>
      </c>
      <c r="C33" s="88">
        <f>'1_BF'!E10</f>
        <v>0.99999832811749589</v>
      </c>
      <c r="D33" s="93">
        <f t="shared" si="8"/>
        <v>1.1501390596579952E-6</v>
      </c>
      <c r="E33" s="92">
        <f t="shared" si="9"/>
        <v>101.54304697611548</v>
      </c>
      <c r="F33" s="89">
        <f t="shared" si="2"/>
        <v>73.700075383001391</v>
      </c>
      <c r="G33" s="90">
        <f t="shared" si="4"/>
        <v>8.8465740338287598E-7</v>
      </c>
      <c r="H33" s="94">
        <f t="shared" si="7"/>
        <v>4.8656157186058176E-6</v>
      </c>
      <c r="I33" s="94">
        <f t="shared" si="5"/>
        <v>3.0718374434443222E-5</v>
      </c>
      <c r="J33" s="28">
        <f t="shared" si="10"/>
        <v>405.35041460650763</v>
      </c>
    </row>
    <row r="34" spans="2:11" ht="15.75" customHeight="1" thickBot="1" x14ac:dyDescent="0.3">
      <c r="B34" s="143">
        <f t="shared" si="1"/>
        <v>5.75</v>
      </c>
      <c r="C34" s="88">
        <f>'1_BF'!E9</f>
        <v>0.9999989134409728</v>
      </c>
      <c r="D34" s="93">
        <f t="shared" si="8"/>
        <v>5.853234769093163E-7</v>
      </c>
      <c r="E34" s="89">
        <f t="shared" si="9"/>
        <v>51.676820131384524</v>
      </c>
      <c r="F34" s="89">
        <f t="shared" si="2"/>
        <v>36.964689010841482</v>
      </c>
      <c r="G34" s="93">
        <f t="shared" si="4"/>
        <v>4.4370491654515896E-7</v>
      </c>
      <c r="H34" s="91">
        <f t="shared" si="7"/>
        <v>2.5513032701346641E-6</v>
      </c>
      <c r="I34" s="91">
        <f t="shared" si="5"/>
        <v>1.6726802378856671E-5</v>
      </c>
      <c r="J34" s="28">
        <f t="shared" si="10"/>
        <v>212.54696181233851</v>
      </c>
    </row>
    <row r="35" spans="2:11" ht="15.75" customHeight="1" thickBot="1" x14ac:dyDescent="0.3">
      <c r="B35" s="143">
        <f t="shared" si="1"/>
        <v>6</v>
      </c>
      <c r="C35" s="88">
        <f>'1_BF'!E8</f>
        <v>1</v>
      </c>
      <c r="D35" s="93">
        <f t="shared" si="8"/>
        <v>1.0865590271968983E-6</v>
      </c>
      <c r="E35" s="92">
        <f>D35*$C$5</f>
        <v>95.929716858573087</v>
      </c>
      <c r="F35" s="89">
        <f t="shared" si="2"/>
        <v>67.626665040844884</v>
      </c>
      <c r="G35" s="90">
        <f>F35/$F$36</f>
        <v>8.1175534195282598E-7</v>
      </c>
      <c r="H35" s="94">
        <f t="shared" si="7"/>
        <v>4.8705320517169563E-6</v>
      </c>
      <c r="I35" s="91">
        <f t="shared" si="5"/>
        <v>3.3114752467934189E-5</v>
      </c>
      <c r="J35" s="28">
        <f t="shared" si="10"/>
        <v>405.75999024506928</v>
      </c>
    </row>
    <row r="36" spans="2:11" ht="15" customHeight="1" x14ac:dyDescent="0.25">
      <c r="B36" s="82" t="s">
        <v>139</v>
      </c>
      <c r="C36" s="95" t="s">
        <v>172</v>
      </c>
      <c r="D36" s="121">
        <f t="shared" ref="D36:J36" si="11">SUM(D12:D35)</f>
        <v>1</v>
      </c>
      <c r="E36" s="96">
        <f t="shared" si="11"/>
        <v>88287625.851356</v>
      </c>
      <c r="F36" s="97">
        <f t="shared" si="11"/>
        <v>83309171.551808417</v>
      </c>
      <c r="G36" s="121">
        <f t="shared" si="11"/>
        <v>1.0000000000000002</v>
      </c>
      <c r="H36" s="98">
        <f t="shared" si="11"/>
        <v>0.98395900267228065</v>
      </c>
      <c r="I36" s="122">
        <f t="shared" si="11"/>
        <v>2.2961768456306126</v>
      </c>
      <c r="J36" s="99">
        <f t="shared" si="11"/>
        <v>81972809.35357134</v>
      </c>
      <c r="K36" s="100">
        <f>+J36/F36</f>
        <v>0.98395900267228065</v>
      </c>
    </row>
    <row r="37" spans="2:11" x14ac:dyDescent="0.25">
      <c r="F37" s="99">
        <v>895587.34222086053</v>
      </c>
    </row>
    <row r="38" spans="2:11" ht="21.75" customHeight="1" x14ac:dyDescent="0.25">
      <c r="B38" s="150" t="s">
        <v>173</v>
      </c>
      <c r="C38" s="150"/>
      <c r="D38" s="150"/>
      <c r="E38" s="150"/>
      <c r="F38" s="150"/>
      <c r="G38" s="150"/>
      <c r="H38" s="150"/>
      <c r="I38" s="150"/>
    </row>
    <row r="39" spans="2:11" ht="19.5" customHeight="1" x14ac:dyDescent="0.25">
      <c r="B39" s="101" t="s">
        <v>174</v>
      </c>
      <c r="C39" s="102">
        <f>SUMPRODUCT(B12:B35,F12:F35)/F36</f>
        <v>0.98395900267228065</v>
      </c>
      <c r="D39" s="103" t="s">
        <v>175</v>
      </c>
      <c r="E39" s="144" t="s">
        <v>176</v>
      </c>
      <c r="F39" s="144"/>
      <c r="G39" s="144"/>
      <c r="H39" s="145" t="s">
        <v>247</v>
      </c>
      <c r="I39" s="145"/>
    </row>
    <row r="40" spans="2:11" ht="6" customHeight="1" x14ac:dyDescent="0.25"/>
    <row r="41" spans="2:11" ht="19.5" customHeight="1" x14ac:dyDescent="0.25">
      <c r="B41" s="101" t="s">
        <v>177</v>
      </c>
      <c r="C41" s="102">
        <f>(SUMPRODUCT(B12:B35,F12:F35)/F36)/(1+Triangulo1!E4)</f>
        <v>0.92826321006818924</v>
      </c>
      <c r="D41" s="103" t="s">
        <v>175</v>
      </c>
      <c r="E41" s="144" t="s">
        <v>178</v>
      </c>
      <c r="F41" s="144"/>
      <c r="G41" s="144"/>
      <c r="H41" s="145" t="s">
        <v>248</v>
      </c>
      <c r="I41" s="145"/>
      <c r="J41" s="100"/>
    </row>
    <row r="42" spans="2:11" ht="6" customHeight="1" x14ac:dyDescent="0.25"/>
    <row r="43" spans="2:11" ht="19.5" customHeight="1" x14ac:dyDescent="0.25">
      <c r="B43" s="104" t="s">
        <v>179</v>
      </c>
      <c r="C43" s="105" cm="1">
        <f t="array" ref="C43">SUMPRODUCT(B12:B35*(B12:B35+1),F12:F35)/((1+Triangulo1!E4)^2*F36)</f>
        <v>2.1040038751255778</v>
      </c>
      <c r="D43" s="106"/>
      <c r="E43" s="151" t="s">
        <v>180</v>
      </c>
      <c r="F43" s="151"/>
      <c r="G43" s="151"/>
      <c r="H43" s="145" t="s">
        <v>181</v>
      </c>
      <c r="I43" s="145"/>
    </row>
    <row r="44" spans="2:11" ht="6" customHeight="1" x14ac:dyDescent="0.25"/>
    <row r="46" spans="2:11" ht="15" customHeight="1" x14ac:dyDescent="0.25">
      <c r="B46" s="148" t="s">
        <v>182</v>
      </c>
      <c r="C46" s="148"/>
      <c r="D46" s="148"/>
      <c r="E46" s="148"/>
      <c r="F46" s="148"/>
      <c r="G46" s="148"/>
      <c r="H46" s="148"/>
      <c r="I46" s="148"/>
    </row>
    <row r="47" spans="2:11" ht="15" customHeight="1" x14ac:dyDescent="0.25">
      <c r="B47" s="107" t="s">
        <v>183</v>
      </c>
      <c r="C47" s="107" t="s">
        <v>184</v>
      </c>
      <c r="D47" s="107" t="s">
        <v>185</v>
      </c>
      <c r="E47" s="107" t="s">
        <v>186</v>
      </c>
      <c r="F47" s="107" t="s">
        <v>187</v>
      </c>
      <c r="G47" s="87" t="s">
        <v>188</v>
      </c>
    </row>
    <row r="48" spans="2:11" ht="15" customHeight="1" x14ac:dyDescent="0.25">
      <c r="B48" s="108" t="s">
        <v>189</v>
      </c>
      <c r="C48" s="109">
        <f>C6</f>
        <v>1.4673846168659299E-2</v>
      </c>
      <c r="D48" s="89" cm="1">
        <f t="array" ref="D48">SUMPRODUCT(D12:D35*$C$5,1/((1+C48)^(B12:B35*4)))</f>
        <v>83309171.551808417</v>
      </c>
      <c r="E48" s="110" t="s">
        <v>190</v>
      </c>
      <c r="F48" s="111" t="s">
        <v>190</v>
      </c>
      <c r="G48" s="111" t="s">
        <v>190</v>
      </c>
    </row>
    <row r="49" spans="2:7" ht="15" customHeight="1" x14ac:dyDescent="0.25">
      <c r="B49" s="112" t="s">
        <v>191</v>
      </c>
      <c r="C49" s="113">
        <f>POWER(1+Triangulo1!$E$4+'1_Duration'!C7,0.25)-1</f>
        <v>1.7058525001811375E-2</v>
      </c>
      <c r="D49" s="114" cm="1">
        <f t="array" ref="D49">SUMPRODUCT(D12:D35*$C$5,1/((1+C49)^(B12:B35*4)))</f>
        <v>82544509.163843095</v>
      </c>
      <c r="E49" s="115">
        <f>D49-D48</f>
        <v>-764662.38796532154</v>
      </c>
      <c r="F49" s="113">
        <f>E49/D48</f>
        <v>-9.1786099143933066E-3</v>
      </c>
      <c r="G49" s="115">
        <f>-C41*(C49-$C$6)*D48</f>
        <v>-184413.98430138879</v>
      </c>
    </row>
    <row r="50" spans="2:7" ht="15" customHeight="1" x14ac:dyDescent="0.25">
      <c r="B50" s="112" t="s">
        <v>192</v>
      </c>
      <c r="C50" s="113">
        <f>POWER(1+Triangulo1!$E$4+'1_Duration'!C7*2,0.25)-1</f>
        <v>1.9426546908273501E-2</v>
      </c>
      <c r="D50" s="114" cm="1">
        <f t="array" ref="D50">SUMPRODUCT(D12:D35*$C$5,1/((1+C50)^(B12:B35*4)))</f>
        <v>81796794.814282894</v>
      </c>
      <c r="E50" s="115">
        <f>D50-D48</f>
        <v>-1512376.7375255227</v>
      </c>
      <c r="F50" s="113">
        <f>E50/D48</f>
        <v>-1.8153784383571788E-2</v>
      </c>
      <c r="G50" s="115">
        <f>-C41*(C50-$C$6)*D48</f>
        <v>-367539.84117261553</v>
      </c>
    </row>
    <row r="51" spans="2:7" ht="15" customHeight="1" x14ac:dyDescent="0.25">
      <c r="B51" s="116" t="s">
        <v>193</v>
      </c>
      <c r="C51" s="117">
        <f>POWER(1+Triangulo1!$E$4-'1_Duration'!C7,0.25)-1</f>
        <v>1.2272234429039353E-2</v>
      </c>
      <c r="D51" s="118" cm="1">
        <f t="array" ref="D51">SUMPRODUCT(D12:D35*$C$5,1/((1+C51)^(B12:B35*4)))</f>
        <v>84091364.441037714</v>
      </c>
      <c r="E51" s="119">
        <f>D51-D48</f>
        <v>782192.88922929764</v>
      </c>
      <c r="F51" s="117">
        <f>E51/D48</f>
        <v>9.3890369410631631E-3</v>
      </c>
      <c r="G51" s="119">
        <f>-C41*(C51-$C$6)*D48</f>
        <v>185723.45403128743</v>
      </c>
    </row>
    <row r="52" spans="2:7" ht="15" customHeight="1" x14ac:dyDescent="0.25">
      <c r="B52" s="116" t="s">
        <v>194</v>
      </c>
      <c r="C52" s="117">
        <f>POWER(1+Triangulo1!$E$4-'1_Duration'!C7*2,0.25)-1</f>
        <v>9.8534065489688238E-3</v>
      </c>
      <c r="D52" s="118" cm="1">
        <f t="array" ref="D52">SUMPRODUCT(D12:D35*$C$5,1/((1+C52)^(B12:B35*4)))</f>
        <v>84891696.938677162</v>
      </c>
      <c r="E52" s="119">
        <f>D52-D48</f>
        <v>1582525.3868687451</v>
      </c>
      <c r="F52" s="117">
        <f>E52/D48</f>
        <v>1.8995812314429296E-2</v>
      </c>
      <c r="G52" s="119">
        <f>-C41*(C52-$C$6)*D48</f>
        <v>372778.28108046157</v>
      </c>
    </row>
  </sheetData>
  <dataConsolidate/>
  <mergeCells count="16">
    <mergeCell ref="E43:G43"/>
    <mergeCell ref="H43:I43"/>
    <mergeCell ref="B46:I46"/>
    <mergeCell ref="E41:G41"/>
    <mergeCell ref="H41:I41"/>
    <mergeCell ref="B1:I1"/>
    <mergeCell ref="B2:I2"/>
    <mergeCell ref="B4:E4"/>
    <mergeCell ref="D5:I5"/>
    <mergeCell ref="D6:I6"/>
    <mergeCell ref="D7:I7"/>
    <mergeCell ref="D8:I8"/>
    <mergeCell ref="B10:I10"/>
    <mergeCell ref="B38:I38"/>
    <mergeCell ref="E39:G39"/>
    <mergeCell ref="H39:I39"/>
  </mergeCells>
  <dataValidations count="1">
    <dataValidation type="list" allowBlank="1" showInputMessage="1" showErrorMessage="1" sqref="I4" xr:uid="{BD7165A2-6146-4907-BCCF-5174555EA24E}">
      <formula1>$N$2:$N$3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CFC1-CA48-4579-A492-2BDF1591E701}">
  <dimension ref="A1:AY89"/>
  <sheetViews>
    <sheetView showGridLines="0" zoomScaleNormal="100" workbookViewId="0">
      <pane xSplit="1" ySplit="3" topLeftCell="F50" activePane="bottomRight" state="frozen"/>
      <selection pane="topRight" activeCell="B1" sqref="B1"/>
      <selection pane="bottomLeft" activeCell="A5" sqref="A5"/>
      <selection pane="bottomRight" activeCell="F46" sqref="F46"/>
    </sheetView>
  </sheetViews>
  <sheetFormatPr baseColWidth="10" defaultColWidth="8.7109375" defaultRowHeight="15" x14ac:dyDescent="0.25"/>
  <cols>
    <col min="1" max="19" width="20" style="28" customWidth="1"/>
    <col min="20" max="24" width="13" style="28" customWidth="1"/>
    <col min="25" max="25" width="14.42578125" style="28" bestFit="1" customWidth="1"/>
    <col min="26" max="27" width="13" style="28" customWidth="1"/>
    <col min="28" max="29" width="10.7109375" style="28" customWidth="1"/>
    <col min="30" max="30" width="11.140625" style="28" bestFit="1" customWidth="1"/>
    <col min="31" max="31" width="24.85546875" style="28" bestFit="1" customWidth="1"/>
    <col min="32" max="32" width="22.28515625" style="28" bestFit="1" customWidth="1"/>
    <col min="33" max="33" width="10.28515625" style="28" bestFit="1" customWidth="1"/>
    <col min="34" max="34" width="12" style="28" bestFit="1" customWidth="1"/>
    <col min="35" max="35" width="10.7109375" style="28" bestFit="1" customWidth="1"/>
    <col min="36" max="36" width="11.42578125" style="28" bestFit="1" customWidth="1"/>
    <col min="37" max="37" width="26.140625" style="28" bestFit="1" customWidth="1"/>
    <col min="38" max="49" width="8.7109375" style="28"/>
    <col min="50" max="50" width="9.5703125" style="28" bestFit="1" customWidth="1"/>
    <col min="51" max="51" width="22.28515625" style="28" bestFit="1" customWidth="1"/>
    <col min="52" max="56" width="8.7109375" style="28"/>
    <col min="57" max="57" width="12.140625" style="28" bestFit="1" customWidth="1"/>
    <col min="58" max="16384" width="8.7109375" style="28"/>
  </cols>
  <sheetData>
    <row r="1" spans="1:51" ht="27.75" customHeight="1" x14ac:dyDescent="0.25">
      <c r="A1" s="169" t="s">
        <v>234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</row>
    <row r="3" spans="1:51" x14ac:dyDescent="0.25">
      <c r="A3" s="148" t="s">
        <v>198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spans="1:51" ht="30" customHeight="1" x14ac:dyDescent="0.25">
      <c r="A4" s="107" t="s">
        <v>199</v>
      </c>
      <c r="B4" s="107" t="s">
        <v>200</v>
      </c>
      <c r="C4" s="107" t="s">
        <v>201</v>
      </c>
      <c r="D4" s="107" t="s">
        <v>202</v>
      </c>
      <c r="E4" s="107" t="s">
        <v>203</v>
      </c>
      <c r="F4" s="107" t="s">
        <v>204</v>
      </c>
      <c r="G4" s="107" t="s">
        <v>216</v>
      </c>
      <c r="H4" s="107" t="s">
        <v>217</v>
      </c>
      <c r="I4" s="107" t="s">
        <v>218</v>
      </c>
      <c r="J4" s="107" t="s">
        <v>219</v>
      </c>
      <c r="K4" s="107" t="s">
        <v>220</v>
      </c>
      <c r="L4" s="107" t="s">
        <v>221</v>
      </c>
      <c r="M4" s="107" t="s">
        <v>222</v>
      </c>
      <c r="N4" s="107" t="s">
        <v>223</v>
      </c>
      <c r="O4" s="107" t="s">
        <v>224</v>
      </c>
      <c r="P4" s="107" t="s">
        <v>225</v>
      </c>
      <c r="Q4" s="107" t="s">
        <v>226</v>
      </c>
      <c r="R4" s="107" t="s">
        <v>227</v>
      </c>
      <c r="S4" s="107" t="s">
        <v>228</v>
      </c>
      <c r="T4" s="107" t="s">
        <v>229</v>
      </c>
      <c r="U4" s="107" t="s">
        <v>230</v>
      </c>
      <c r="V4" s="107" t="s">
        <v>231</v>
      </c>
      <c r="W4" s="107" t="s">
        <v>232</v>
      </c>
      <c r="X4" s="107" t="s">
        <v>233</v>
      </c>
      <c r="Y4" s="123" t="s">
        <v>205</v>
      </c>
      <c r="Z4" s="107" t="s">
        <v>206</v>
      </c>
      <c r="AC4" s="107" t="s">
        <v>200</v>
      </c>
      <c r="AD4" s="107" t="s">
        <v>201</v>
      </c>
      <c r="AE4" s="107" t="s">
        <v>202</v>
      </c>
      <c r="AF4" s="107" t="s">
        <v>203</v>
      </c>
      <c r="AG4" s="107" t="s">
        <v>204</v>
      </c>
      <c r="AH4" s="107" t="s">
        <v>216</v>
      </c>
      <c r="AI4" s="107" t="s">
        <v>217</v>
      </c>
      <c r="AJ4" s="107" t="s">
        <v>218</v>
      </c>
      <c r="AK4" s="107" t="s">
        <v>219</v>
      </c>
      <c r="AL4" s="107" t="s">
        <v>220</v>
      </c>
      <c r="AM4" s="107" t="s">
        <v>221</v>
      </c>
      <c r="AN4" s="107" t="s">
        <v>222</v>
      </c>
      <c r="AO4" s="107" t="s">
        <v>223</v>
      </c>
      <c r="AP4" s="107" t="s">
        <v>224</v>
      </c>
      <c r="AQ4" s="107" t="s">
        <v>225</v>
      </c>
      <c r="AR4" s="107" t="s">
        <v>226</v>
      </c>
      <c r="AS4" s="107" t="s">
        <v>227</v>
      </c>
      <c r="AT4" s="107" t="s">
        <v>228</v>
      </c>
      <c r="AU4" s="107" t="s">
        <v>229</v>
      </c>
      <c r="AV4" s="107" t="s">
        <v>230</v>
      </c>
      <c r="AW4" s="107" t="s">
        <v>231</v>
      </c>
      <c r="AX4" s="107" t="s">
        <v>232</v>
      </c>
      <c r="AY4" s="107" t="s">
        <v>233</v>
      </c>
    </row>
    <row r="5" spans="1:51" x14ac:dyDescent="0.25">
      <c r="A5" s="41" t="s">
        <v>8</v>
      </c>
      <c r="B5" s="130">
        <f>Triangulo1!D44</f>
        <v>1.3012915774801588</v>
      </c>
      <c r="C5" s="130">
        <f>Triangulo1!E44</f>
        <v>1.1246587173026841</v>
      </c>
      <c r="D5" s="130">
        <f>Triangulo1!F44</f>
        <v>1.190576689885863</v>
      </c>
      <c r="E5" s="130">
        <f>Triangulo1!G44</f>
        <v>1.0820522294435739</v>
      </c>
      <c r="F5" s="130">
        <f>Triangulo1!H44</f>
        <v>1.0512625611529816</v>
      </c>
      <c r="G5" s="130">
        <f>Triangulo1!I44</f>
        <v>1.0277184756874356</v>
      </c>
      <c r="H5" s="130">
        <f>Triangulo1!J44</f>
        <v>1.0363301118089652</v>
      </c>
      <c r="I5" s="130">
        <f>Triangulo1!K44</f>
        <v>1.0133705836531304</v>
      </c>
      <c r="J5" s="130">
        <f>Triangulo1!L44</f>
        <v>1.032640555775838</v>
      </c>
      <c r="K5" s="130">
        <f>Triangulo1!M44</f>
        <v>1.0158707834855716</v>
      </c>
      <c r="L5" s="130">
        <f>Triangulo1!N44</f>
        <v>1.012960894723592</v>
      </c>
      <c r="M5" s="130">
        <f>Triangulo1!O44</f>
        <v>1.0052417823156539</v>
      </c>
      <c r="N5" s="130">
        <f>Triangulo1!P44</f>
        <v>1.0022483715925834</v>
      </c>
      <c r="O5" s="130">
        <f>Triangulo1!Q44</f>
        <v>1.000732899770701</v>
      </c>
      <c r="P5" s="130">
        <f>Triangulo1!R44</f>
        <v>1.0008146884299423</v>
      </c>
      <c r="Q5" s="130">
        <f>Triangulo1!S44</f>
        <v>1.0001408106099334</v>
      </c>
      <c r="R5" s="130">
        <f>Triangulo1!T44</f>
        <v>1.0000545369032479</v>
      </c>
      <c r="S5" s="130">
        <f>Triangulo1!U44</f>
        <v>1.0000297457795289</v>
      </c>
      <c r="T5" s="130">
        <f>Triangulo1!V44</f>
        <v>1.0000086246612614</v>
      </c>
      <c r="U5" s="130">
        <f>Triangulo1!W44</f>
        <v>1.0000008828317275</v>
      </c>
      <c r="V5" s="130">
        <f>Triangulo1!X44</f>
        <v>1.0000003395503647</v>
      </c>
      <c r="W5" s="130">
        <f>Triangulo1!Y44</f>
        <v>1.0000005432803991</v>
      </c>
      <c r="X5" s="130">
        <f>Triangulo1!Z44</f>
        <v>1.0000010865602078</v>
      </c>
      <c r="Y5" s="131" t="b">
        <f>MIN(B5:X5)&gt;1</f>
        <v>1</v>
      </c>
      <c r="Z5" s="124" t="b" cm="1">
        <f t="array" ref="Z5">MAX(ABS(AC5:AC26))&gt;0.1</f>
        <v>1</v>
      </c>
      <c r="AC5" s="125">
        <f>(B5-B6)/B5</f>
        <v>-7.4196973833234869E-2</v>
      </c>
      <c r="AD5" s="125">
        <f t="shared" ref="AD5:AX5" si="0">(C5-C6)/C5</f>
        <v>-6.4916124527497246E-2</v>
      </c>
      <c r="AE5" s="125">
        <f t="shared" si="0"/>
        <v>0.11754668650453981</v>
      </c>
      <c r="AF5" s="125">
        <f t="shared" si="0"/>
        <v>-1.3314884689524508E-2</v>
      </c>
      <c r="AG5" s="125">
        <f t="shared" si="0"/>
        <v>7.6145875910422014E-4</v>
      </c>
      <c r="AH5" s="125">
        <f t="shared" si="0"/>
        <v>-2.6145173116342631E-2</v>
      </c>
      <c r="AI5" s="125">
        <f t="shared" si="0"/>
        <v>6.64978237468978E-3</v>
      </c>
      <c r="AJ5" s="125">
        <f t="shared" si="0"/>
        <v>-5.9993052980960582E-3</v>
      </c>
      <c r="AK5" s="125">
        <f t="shared" si="0"/>
        <v>4.5500492640501997E-3</v>
      </c>
      <c r="AL5" s="125">
        <f t="shared" si="0"/>
        <v>1.3697595321402593E-3</v>
      </c>
      <c r="AM5" s="125">
        <f t="shared" si="0"/>
        <v>2.7055306286458973E-3</v>
      </c>
      <c r="AN5" s="125">
        <f t="shared" si="0"/>
        <v>3.3760211772794202E-3</v>
      </c>
      <c r="AO5" s="125">
        <f t="shared" si="0"/>
        <v>1.318105886345353E-3</v>
      </c>
      <c r="AP5" s="125">
        <f t="shared" si="0"/>
        <v>-3.8160173305608108E-4</v>
      </c>
      <c r="AQ5" s="125">
        <f t="shared" si="0"/>
        <v>5.7047465414440202E-4</v>
      </c>
      <c r="AR5" s="125">
        <f t="shared" si="0"/>
        <v>3.4667366838212081E-5</v>
      </c>
      <c r="AS5" s="125">
        <f t="shared" si="0"/>
        <v>-7.82226544089113E-7</v>
      </c>
      <c r="AT5" s="125">
        <f t="shared" si="0"/>
        <v>-6.4704993900571059E-7</v>
      </c>
      <c r="AU5" s="125">
        <f t="shared" si="0"/>
        <v>-3.9493293133723103E-6</v>
      </c>
      <c r="AV5" s="125">
        <f t="shared" si="0"/>
        <v>-2.5566541699153331E-6</v>
      </c>
      <c r="AW5" s="125">
        <f t="shared" si="0"/>
        <v>-2.2429813695346836E-7</v>
      </c>
      <c r="AX5" s="125">
        <f t="shared" si="0"/>
        <v>-7.6952644860433981E-8</v>
      </c>
      <c r="AY5" s="125"/>
    </row>
    <row r="6" spans="1:51" x14ac:dyDescent="0.25">
      <c r="A6" s="35" t="s">
        <v>9</v>
      </c>
      <c r="B6" s="132">
        <f>Triangulo1!D45</f>
        <v>1.397843474603863</v>
      </c>
      <c r="C6" s="132">
        <f>Triangulo1!E45</f>
        <v>1.1976672026460404</v>
      </c>
      <c r="D6" s="132">
        <f>Triangulo1!F45</f>
        <v>1.0506283449602367</v>
      </c>
      <c r="E6" s="132">
        <f>Triangulo1!G45</f>
        <v>1.096459630106658</v>
      </c>
      <c r="F6" s="132">
        <f>Triangulo1!H45</f>
        <v>1.0504620680676733</v>
      </c>
      <c r="G6" s="132">
        <f>Triangulo1!I45</f>
        <v>1.0545883531491473</v>
      </c>
      <c r="H6" s="132">
        <f>Triangulo1!J45</f>
        <v>1.0294387420970976</v>
      </c>
      <c r="I6" s="132">
        <f>Triangulo1!K45</f>
        <v>1.0194501031645753</v>
      </c>
      <c r="J6" s="132">
        <f>Triangulo1!L45</f>
        <v>1.0279419903750018</v>
      </c>
      <c r="K6" s="132">
        <f>Triangulo1!M45</f>
        <v>1.0144792847964694</v>
      </c>
      <c r="L6" s="132">
        <f>Triangulo1!N45</f>
        <v>1.0102202979972967</v>
      </c>
      <c r="M6" s="132">
        <f>Triangulo1!O45</f>
        <v>1.0018480647702701</v>
      </c>
      <c r="N6" s="132">
        <f>Triangulo1!P45</f>
        <v>1.0009273021144072</v>
      </c>
      <c r="O6" s="132">
        <f>Triangulo1!Q45</f>
        <v>1.0011147811795797</v>
      </c>
      <c r="P6" s="132">
        <f>Triangulo1!R45</f>
        <v>1.0002437490166975</v>
      </c>
      <c r="Q6" s="132">
        <f>Triangulo1!S45</f>
        <v>1.0001061383615621</v>
      </c>
      <c r="R6" s="132">
        <f>Triangulo1!T45</f>
        <v>1.0000553191724522</v>
      </c>
      <c r="S6" s="132">
        <f>Triangulo1!U45</f>
        <v>1.0000303928487149</v>
      </c>
      <c r="T6" s="132">
        <f>Triangulo1!V45</f>
        <v>1.0000125740246364</v>
      </c>
      <c r="U6" s="132">
        <f>Triangulo1!W45</f>
        <v>1.0000034394881545</v>
      </c>
      <c r="V6" s="132">
        <f>Triangulo1!X45</f>
        <v>1.0000005638485778</v>
      </c>
      <c r="W6" s="132">
        <f>Triangulo1!Y45</f>
        <v>1.0000006202330858</v>
      </c>
      <c r="X6" s="133">
        <f>Triangulo1!Z45</f>
        <v>0</v>
      </c>
      <c r="Y6" s="131" t="b">
        <f>MIN(B6:W6)&gt;1</f>
        <v>1</v>
      </c>
      <c r="Z6" s="124" t="b" cm="1">
        <f t="array" ref="Z6">MAX(ABS(AD5:AD25))&gt;0.1</f>
        <v>1</v>
      </c>
      <c r="AC6" s="125">
        <f t="shared" ref="AC6:AC26" si="1">(B6-B7)/B6</f>
        <v>0.18227942601648206</v>
      </c>
      <c r="AD6" s="125">
        <f t="shared" ref="AD6:AD25" si="2">(C6-C7)/C6</f>
        <v>2.444200343849777E-2</v>
      </c>
      <c r="AE6" s="125">
        <f t="shared" ref="AE6:AE24" si="3">(D6-D7)/D6</f>
        <v>-9.941807139439704E-2</v>
      </c>
      <c r="AF6" s="125">
        <f t="shared" ref="AF6:AF23" si="4">(E6-E7)/E6</f>
        <v>-1.6706694808826947E-2</v>
      </c>
      <c r="AG6" s="125">
        <f t="shared" ref="AG6:AG22" si="5">(F6-F7)/F6</f>
        <v>-8.4500941055004969E-2</v>
      </c>
      <c r="AH6" s="125">
        <f t="shared" ref="AH6:AH21" si="6">(G6-G7)/G6</f>
        <v>-1.1068745749455976E-2</v>
      </c>
      <c r="AI6" s="125">
        <f t="shared" ref="AI6:AI20" si="7">(H6-H7)/H6</f>
        <v>-6.7850143033317788E-3</v>
      </c>
      <c r="AJ6" s="125">
        <f t="shared" ref="AJ6:AJ19" si="8">(I6-I7)/I6</f>
        <v>-8.5836248520787754E-3</v>
      </c>
      <c r="AK6" s="125">
        <f t="shared" ref="AK6:AK18" si="9">(J6-J7)/J6</f>
        <v>-1.0369538738970615E-2</v>
      </c>
      <c r="AL6" s="125">
        <f t="shared" ref="AL6:AL17" si="10">(K6-K7)/K6</f>
        <v>-4.0469473968629648E-3</v>
      </c>
      <c r="AM6" s="125">
        <f t="shared" ref="AM6:AM16" si="11">(L6-L7)/L6</f>
        <v>-3.281236445803725E-3</v>
      </c>
      <c r="AN6" s="125">
        <f t="shared" ref="AN6:AN15" si="12">(M6-M7)/M6</f>
        <v>-1.4187745739486584E-3</v>
      </c>
      <c r="AO6" s="125">
        <f t="shared" ref="AO6:AO14" si="13">(N6-N7)/N6</f>
        <v>-1.0449002696271725E-3</v>
      </c>
      <c r="AP6" s="125">
        <f t="shared" ref="AP6:AP13" si="14">(O6-O7)/O6</f>
        <v>3.2338552696955819E-4</v>
      </c>
      <c r="AQ6" s="125">
        <f t="shared" ref="AQ6:AQ12" si="15">(P6-P7)/P6</f>
        <v>-1.4674592658412553E-4</v>
      </c>
      <c r="AR6" s="125">
        <f t="shared" ref="AR6:AR11" si="16">(Q6-Q7)/Q6</f>
        <v>-4.8930145911227525E-5</v>
      </c>
      <c r="AS6" s="125">
        <f t="shared" ref="AS6:AS10" si="17">(R6-R7)/R6</f>
        <v>-1.538666021443024E-5</v>
      </c>
      <c r="AT6" s="125">
        <f t="shared" ref="AT6:AT9" si="18">(S6-S7)/S6</f>
        <v>-1.9013584069289443E-5</v>
      </c>
      <c r="AU6" s="125">
        <f t="shared" ref="AU6:AU8" si="19">(T6-T7)/T6</f>
        <v>2.8950691215327873E-6</v>
      </c>
      <c r="AV6" s="125">
        <f t="shared" ref="AV6:AV7" si="20">(U6-U7)/U6</f>
        <v>-6.4918060468201493E-6</v>
      </c>
      <c r="AW6" s="125">
        <f t="shared" ref="AW6" si="21">(V6-V7)/V6</f>
        <v>-2.4660131196916151E-6</v>
      </c>
      <c r="AX6" s="125"/>
      <c r="AY6" s="126"/>
    </row>
    <row r="7" spans="1:51" x14ac:dyDescent="0.25">
      <c r="A7" s="41" t="s">
        <v>11</v>
      </c>
      <c r="B7" s="130">
        <f>Triangulo1!D46</f>
        <v>1.143045368392186</v>
      </c>
      <c r="C7" s="130">
        <f>Triangulo1!E46</f>
        <v>1.1683938167607899</v>
      </c>
      <c r="D7" s="130">
        <f>Triangulo1!F46</f>
        <v>1.1550797887684707</v>
      </c>
      <c r="E7" s="130">
        <f>Triangulo1!G46</f>
        <v>1.1147778465170493</v>
      </c>
      <c r="F7" s="130">
        <f>Triangulo1!H46</f>
        <v>1.1392271013619784</v>
      </c>
      <c r="G7" s="130">
        <f>Triangulo1!I46</f>
        <v>1.0662613235004927</v>
      </c>
      <c r="H7" s="130">
        <f>Triangulo1!J46</f>
        <v>1.0364234986866303</v>
      </c>
      <c r="I7" s="130">
        <f>Triangulo1!K46</f>
        <v>1.028200680405553</v>
      </c>
      <c r="J7" s="130">
        <f>Triangulo1!L46</f>
        <v>1.0386012746656099</v>
      </c>
      <c r="K7" s="130">
        <f>Triangulo1!M46</f>
        <v>1.0185848290972479</v>
      </c>
      <c r="L7" s="130">
        <f>Triangulo1!N46</f>
        <v>1.0135350696573762</v>
      </c>
      <c r="M7" s="130">
        <f>Triangulo1!O46</f>
        <v>1.0032694613315258</v>
      </c>
      <c r="N7" s="130">
        <f>Triangulo1!P46</f>
        <v>1.0019731713222637</v>
      </c>
      <c r="O7" s="130">
        <f>Triangulo1!Q46</f>
        <v>1.000791035148511</v>
      </c>
      <c r="P7" s="130">
        <f>Triangulo1!R46</f>
        <v>1.000390530712457</v>
      </c>
      <c r="Q7" s="130">
        <f>Triangulo1!S46</f>
        <v>1.0001550737008389</v>
      </c>
      <c r="R7" s="130">
        <f>Triangulo1!T46</f>
        <v>1.0000707066838439</v>
      </c>
      <c r="S7" s="130">
        <f>Triangulo1!U46</f>
        <v>1.0000494070106611</v>
      </c>
      <c r="T7" s="130">
        <f>Triangulo1!V46</f>
        <v>1.0000096789191122</v>
      </c>
      <c r="U7" s="130">
        <f>Triangulo1!W46</f>
        <v>1.0000099313165298</v>
      </c>
      <c r="V7" s="130">
        <f>Triangulo1!X46</f>
        <v>1.000003029863088</v>
      </c>
      <c r="W7" s="133">
        <f>Triangulo1!Y46</f>
        <v>0</v>
      </c>
      <c r="X7" s="133">
        <f>Triangulo1!Z46</f>
        <v>0</v>
      </c>
      <c r="Y7" s="131" t="b">
        <f>MIN(B7:V7)&gt;1</f>
        <v>1</v>
      </c>
      <c r="Z7" s="124" t="b" cm="1">
        <f t="array" ref="Z7">MAX(ABS(AE5:AE26))&gt;0.1</f>
        <v>1</v>
      </c>
      <c r="AC7" s="125">
        <f t="shared" si="1"/>
        <v>-0.8970810616126077</v>
      </c>
      <c r="AD7" s="125">
        <f t="shared" si="2"/>
        <v>2.5255445464057294E-2</v>
      </c>
      <c r="AE7" s="125">
        <f t="shared" si="3"/>
        <v>8.9591929396104275E-2</v>
      </c>
      <c r="AF7" s="125">
        <f t="shared" si="4"/>
        <v>3.72519740734088E-2</v>
      </c>
      <c r="AG7" s="125">
        <f t="shared" si="5"/>
        <v>7.5266535206927707E-2</v>
      </c>
      <c r="AH7" s="125">
        <f t="shared" si="6"/>
        <v>4.7882161456842563E-2</v>
      </c>
      <c r="AI7" s="125">
        <f t="shared" si="7"/>
        <v>1.8779326219110236E-2</v>
      </c>
      <c r="AJ7" s="125">
        <f t="shared" si="8"/>
        <v>-4.1649242866149952E-3</v>
      </c>
      <c r="AK7" s="125">
        <f t="shared" si="9"/>
        <v>3.1843897243076603E-2</v>
      </c>
      <c r="AL7" s="125">
        <f t="shared" si="10"/>
        <v>2.77731685543734E-3</v>
      </c>
      <c r="AM7" s="125">
        <f t="shared" si="11"/>
        <v>3.1912721727391179E-3</v>
      </c>
      <c r="AN7" s="125">
        <f t="shared" si="12"/>
        <v>-6.8458696537171567E-4</v>
      </c>
      <c r="AO7" s="125">
        <f t="shared" si="13"/>
        <v>1.0170314008984738E-3</v>
      </c>
      <c r="AP7" s="125">
        <f t="shared" si="14"/>
        <v>3.427720348277715E-4</v>
      </c>
      <c r="AQ7" s="125">
        <f t="shared" si="15"/>
        <v>1.4665821233602192E-4</v>
      </c>
      <c r="AR7" s="125">
        <f t="shared" si="16"/>
        <v>5.3461951482285114E-5</v>
      </c>
      <c r="AS7" s="125">
        <f t="shared" si="17"/>
        <v>1.0582531530602479E-5</v>
      </c>
      <c r="AT7" s="125">
        <f t="shared" si="18"/>
        <v>2.8183846349706499E-5</v>
      </c>
      <c r="AU7" s="125">
        <f t="shared" si="19"/>
        <v>5.0543691428134993E-6</v>
      </c>
      <c r="AV7" s="125">
        <f t="shared" si="20"/>
        <v>9.8798353027247241E-6</v>
      </c>
      <c r="AW7" s="125"/>
      <c r="AX7" s="125"/>
      <c r="AY7" s="126"/>
    </row>
    <row r="8" spans="1:51" x14ac:dyDescent="0.25">
      <c r="A8" s="35" t="s">
        <v>12</v>
      </c>
      <c r="B8" s="132">
        <f>Triangulo1!D47</f>
        <v>2.1684497209408224</v>
      </c>
      <c r="C8" s="132">
        <f>Triangulo1!E47</f>
        <v>1.138885510441046</v>
      </c>
      <c r="D8" s="132">
        <f>Triangulo1!F47</f>
        <v>1.0515939618862589</v>
      </c>
      <c r="E8" s="132">
        <f>Triangulo1!G47</f>
        <v>1.0732501710809856</v>
      </c>
      <c r="F8" s="132">
        <f>Triangulo1!H47</f>
        <v>1.0534814246286308</v>
      </c>
      <c r="G8" s="132">
        <f>Triangulo1!I47</f>
        <v>1.0152064266534555</v>
      </c>
      <c r="H8" s="132">
        <f>Triangulo1!J47</f>
        <v>1.0169601637036425</v>
      </c>
      <c r="I8" s="132">
        <f>Triangulo1!K47</f>
        <v>1.0324830583908882</v>
      </c>
      <c r="J8" s="132">
        <f>Triangulo1!L47</f>
        <v>1.0055281623986299</v>
      </c>
      <c r="K8" s="132">
        <f>Triangulo1!M47</f>
        <v>1.0157558962827034</v>
      </c>
      <c r="L8" s="132">
        <f>Triangulo1!N47</f>
        <v>1.0103006033934834</v>
      </c>
      <c r="M8" s="132">
        <f>Triangulo1!O47</f>
        <v>1.0039562865275089</v>
      </c>
      <c r="N8" s="132">
        <f>Triangulo1!P47</f>
        <v>1.0009541331441711</v>
      </c>
      <c r="O8" s="132">
        <f>Triangulo1!Q47</f>
        <v>1.0004479919689557</v>
      </c>
      <c r="P8" s="132">
        <f>Triangulo1!R47</f>
        <v>1.0002438152255848</v>
      </c>
      <c r="Q8" s="132">
        <f>Triangulo1!S47</f>
        <v>1.0001016034588139</v>
      </c>
      <c r="R8" s="132">
        <f>Triangulo1!T47</f>
        <v>1.0000601234040576</v>
      </c>
      <c r="S8" s="132">
        <f>Triangulo1!U47</f>
        <v>1.0000212217718318</v>
      </c>
      <c r="T8" s="132">
        <f>Triangulo1!V47</f>
        <v>1.0000046245010485</v>
      </c>
      <c r="U8" s="132">
        <f>Triangulo1!W47</f>
        <v>1.0000000513831073</v>
      </c>
      <c r="V8" s="133">
        <f>Triangulo1!X47</f>
        <v>0</v>
      </c>
      <c r="W8" s="133">
        <f>Triangulo1!Y47</f>
        <v>0</v>
      </c>
      <c r="X8" s="133">
        <f>Triangulo1!Z47</f>
        <v>0</v>
      </c>
      <c r="Y8" s="131" t="b">
        <f>MIN(B8:U8)&gt;1</f>
        <v>1</v>
      </c>
      <c r="Z8" s="124" t="b" cm="1">
        <f t="array" ref="Z8">MAX(ABS(AF5:AF26))&gt;0.1</f>
        <v>1</v>
      </c>
      <c r="AC8" s="125">
        <f t="shared" si="1"/>
        <v>0.45421949882609836</v>
      </c>
      <c r="AD8" s="125">
        <f t="shared" si="2"/>
        <v>-1.0409570278308172E-2</v>
      </c>
      <c r="AE8" s="125">
        <f t="shared" si="3"/>
        <v>-3.7971029513802299E-3</v>
      </c>
      <c r="AF8" s="125">
        <f t="shared" si="4"/>
        <v>-2.0630914748169374E-2</v>
      </c>
      <c r="AG8" s="125">
        <f t="shared" si="5"/>
        <v>1.8315399750220254E-2</v>
      </c>
      <c r="AH8" s="125">
        <f t="shared" si="6"/>
        <v>-4.9603577207380262E-2</v>
      </c>
      <c r="AI8" s="125">
        <f t="shared" si="7"/>
        <v>-1.5047798698405354E-2</v>
      </c>
      <c r="AJ8" s="125">
        <f t="shared" si="8"/>
        <v>1.7987986772766806E-2</v>
      </c>
      <c r="AK8" s="125">
        <f t="shared" si="9"/>
        <v>-3.7876422342960347E-2</v>
      </c>
      <c r="AL8" s="125">
        <f t="shared" si="10"/>
        <v>8.1805414964108321E-3</v>
      </c>
      <c r="AM8" s="125">
        <f t="shared" si="11"/>
        <v>2.2590322274501609E-3</v>
      </c>
      <c r="AN8" s="125">
        <f t="shared" si="12"/>
        <v>1.2691320995285476E-3</v>
      </c>
      <c r="AO8" s="125">
        <f t="shared" si="13"/>
        <v>-3.731056251601902E-4</v>
      </c>
      <c r="AP8" s="125">
        <f t="shared" si="14"/>
        <v>-1.2805786367623608E-4</v>
      </c>
      <c r="AQ8" s="125">
        <f t="shared" si="15"/>
        <v>-9.5580234496101319E-5</v>
      </c>
      <c r="AR8" s="125">
        <f t="shared" si="16"/>
        <v>-8.861088748512469E-5</v>
      </c>
      <c r="AS8" s="125">
        <f t="shared" si="17"/>
        <v>-1.4020818460822058E-5</v>
      </c>
      <c r="AT8" s="125">
        <f t="shared" si="18"/>
        <v>-1.6101573303201445E-5</v>
      </c>
      <c r="AU8" s="125">
        <f t="shared" si="19"/>
        <v>-1.0524408549135826E-5</v>
      </c>
      <c r="AV8" s="125"/>
      <c r="AW8" s="125"/>
      <c r="AX8" s="125"/>
      <c r="AY8" s="126"/>
    </row>
    <row r="9" spans="1:51" x14ac:dyDescent="0.25">
      <c r="A9" s="41" t="s">
        <v>13</v>
      </c>
      <c r="B9" s="130">
        <f>Triangulo1!D48</f>
        <v>1.1834975754654893</v>
      </c>
      <c r="C9" s="130">
        <f>Triangulo1!E48</f>
        <v>1.150740819200929</v>
      </c>
      <c r="D9" s="130">
        <f>Triangulo1!F48</f>
        <v>1.0555869724225908</v>
      </c>
      <c r="E9" s="130">
        <f>Triangulo1!G48</f>
        <v>1.0953923038640156</v>
      </c>
      <c r="F9" s="130">
        <f>Triangulo1!H48</f>
        <v>1.0341864912071259</v>
      </c>
      <c r="G9" s="130">
        <f>Triangulo1!I48</f>
        <v>1.0655642970193888</v>
      </c>
      <c r="H9" s="130">
        <f>Triangulo1!J48</f>
        <v>1.0322631755313523</v>
      </c>
      <c r="I9" s="130">
        <f>Triangulo1!K48</f>
        <v>1.013910766793447</v>
      </c>
      <c r="J9" s="130">
        <f>Triangulo1!L48</f>
        <v>1.0436139717553812</v>
      </c>
      <c r="K9" s="130">
        <f>Triangulo1!M48</f>
        <v>1.0074464630229387</v>
      </c>
      <c r="L9" s="130">
        <f>Triangulo1!N48</f>
        <v>1.0080183017710052</v>
      </c>
      <c r="M9" s="130">
        <f>Triangulo1!O48</f>
        <v>1.0026821333777534</v>
      </c>
      <c r="N9" s="130">
        <f>Triangulo1!P48</f>
        <v>1.0013275947617746</v>
      </c>
      <c r="O9" s="130">
        <f>Triangulo1!Q48</f>
        <v>1.0005761072015265</v>
      </c>
      <c r="P9" s="130">
        <f>Triangulo1!R48</f>
        <v>1.0003394187639973</v>
      </c>
      <c r="Q9" s="130">
        <f>Triangulo1!S48</f>
        <v>1.0001902233494717</v>
      </c>
      <c r="R9" s="130">
        <f>Triangulo1!T48</f>
        <v>1.0000741450654977</v>
      </c>
      <c r="S9" s="130">
        <f>Triangulo1!U48</f>
        <v>1.000037323686839</v>
      </c>
      <c r="T9" s="130">
        <f>Triangulo1!V48</f>
        <v>1.0000151489582678</v>
      </c>
      <c r="U9" s="133">
        <f>Triangulo1!W48</f>
        <v>0</v>
      </c>
      <c r="V9" s="133">
        <f>Triangulo1!X48</f>
        <v>0</v>
      </c>
      <c r="W9" s="133">
        <f>Triangulo1!Y48</f>
        <v>0</v>
      </c>
      <c r="X9" s="133">
        <f>Triangulo1!Z48</f>
        <v>0</v>
      </c>
      <c r="Y9" s="131" t="b">
        <f>MIN(B9:T9)&gt;1</f>
        <v>1</v>
      </c>
      <c r="Z9" s="124" t="b" cm="1">
        <f t="array" ref="Z9">MAX(ABS(AG5:AG26))&gt;0.1</f>
        <v>1</v>
      </c>
      <c r="AC9" s="125">
        <f t="shared" si="1"/>
        <v>-0.22672536645155431</v>
      </c>
      <c r="AD9" s="125">
        <f t="shared" si="2"/>
        <v>-2.9160437452357735E-2</v>
      </c>
      <c r="AE9" s="125">
        <f t="shared" si="3"/>
        <v>-9.9285929127785697E-3</v>
      </c>
      <c r="AF9" s="125">
        <f t="shared" si="4"/>
        <v>-4.4871880731581375E-2</v>
      </c>
      <c r="AG9" s="125">
        <f t="shared" si="5"/>
        <v>-0.12569311461659852</v>
      </c>
      <c r="AH9" s="125">
        <f t="shared" si="6"/>
        <v>6.1086924885321234E-3</v>
      </c>
      <c r="AI9" s="125">
        <f t="shared" si="7"/>
        <v>-0.28872893585556875</v>
      </c>
      <c r="AJ9" s="125">
        <f t="shared" si="8"/>
        <v>-3.566254630627614E-2</v>
      </c>
      <c r="AK9" s="125">
        <f t="shared" si="9"/>
        <v>3.0389900571819072E-2</v>
      </c>
      <c r="AL9" s="125">
        <f t="shared" si="10"/>
        <v>2.5757456824826924E-4</v>
      </c>
      <c r="AM9" s="125">
        <f t="shared" si="11"/>
        <v>3.3535138236819827E-3</v>
      </c>
      <c r="AN9" s="125">
        <f t="shared" si="12"/>
        <v>6.3288033507318854E-4</v>
      </c>
      <c r="AO9" s="125">
        <f t="shared" si="13"/>
        <v>1.1566089950406981E-4</v>
      </c>
      <c r="AP9" s="125">
        <f t="shared" si="14"/>
        <v>-4.682364888719484E-5</v>
      </c>
      <c r="AQ9" s="125">
        <f t="shared" si="15"/>
        <v>2.3486618907336505E-5</v>
      </c>
      <c r="AR9" s="125">
        <f t="shared" si="16"/>
        <v>6.1275616889770249E-5</v>
      </c>
      <c r="AS9" s="125">
        <f t="shared" si="17"/>
        <v>-9.4755901318436908E-6</v>
      </c>
      <c r="AT9" s="125">
        <f t="shared" si="18"/>
        <v>9.9623480419656514E-7</v>
      </c>
      <c r="AU9" s="125"/>
      <c r="AV9" s="125"/>
      <c r="AW9" s="125"/>
      <c r="AX9" s="125"/>
      <c r="AY9" s="126"/>
    </row>
    <row r="10" spans="1:51" x14ac:dyDescent="0.25">
      <c r="A10" s="35" t="s">
        <v>14</v>
      </c>
      <c r="B10" s="132">
        <f>Triangulo1!D49</f>
        <v>1.4518264969574284</v>
      </c>
      <c r="C10" s="132">
        <f>Triangulo1!E49</f>
        <v>1.1842969248831126</v>
      </c>
      <c r="D10" s="132">
        <f>Triangulo1!F49</f>
        <v>1.0660674657558071</v>
      </c>
      <c r="E10" s="132">
        <f>Triangulo1!G49</f>
        <v>1.1445446166772939</v>
      </c>
      <c r="F10" s="132">
        <f>Triangulo1!H49</f>
        <v>1.1641766123813611</v>
      </c>
      <c r="G10" s="132">
        <f>Triangulo1!I49</f>
        <v>1.0590550924021385</v>
      </c>
      <c r="H10" s="134">
        <f>Triangulo1!J49</f>
        <v>1.3303074237254098</v>
      </c>
      <c r="I10" s="132">
        <f>Triangulo1!K49</f>
        <v>1.0500694064646503</v>
      </c>
      <c r="J10" s="132">
        <f>Triangulo1!L49</f>
        <v>1.0118986469183739</v>
      </c>
      <c r="K10" s="132">
        <f>Triangulo1!M49</f>
        <v>1.0071869704351923</v>
      </c>
      <c r="L10" s="132">
        <f>Triangulo1!N49</f>
        <v>1.0046378984614917</v>
      </c>
      <c r="M10" s="132">
        <f>Triangulo1!O49</f>
        <v>1.0020475555732093</v>
      </c>
      <c r="N10" s="132">
        <f>Triangulo1!P49</f>
        <v>1.0012117803114662</v>
      </c>
      <c r="O10" s="132">
        <f>Triangulo1!Q49</f>
        <v>1.000622957825855</v>
      </c>
      <c r="P10" s="132">
        <f>Triangulo1!R49</f>
        <v>1.0003159241732908</v>
      </c>
      <c r="Q10" s="132">
        <f>Triangulo1!S49</f>
        <v>1.0001289360765289</v>
      </c>
      <c r="R10" s="132">
        <f>Triangulo1!T49</f>
        <v>1.0000836213581978</v>
      </c>
      <c r="S10" s="132">
        <f>Triangulo1!U49</f>
        <v>1.0000363274148516</v>
      </c>
      <c r="T10" s="133">
        <f>Triangulo1!V49</f>
        <v>0</v>
      </c>
      <c r="U10" s="133">
        <f>Triangulo1!W49</f>
        <v>0</v>
      </c>
      <c r="V10" s="133">
        <f>Triangulo1!X49</f>
        <v>0</v>
      </c>
      <c r="W10" s="133">
        <f>Triangulo1!Y49</f>
        <v>0</v>
      </c>
      <c r="X10" s="133">
        <f>Triangulo1!Z49</f>
        <v>0</v>
      </c>
      <c r="Y10" s="131" t="b">
        <f>MIN(B10:S10)&gt;1</f>
        <v>1</v>
      </c>
      <c r="Z10" s="124" t="b" cm="1">
        <f t="array" ref="Z10">MAX(ABS(AH5:AH26))&gt;0.1</f>
        <v>1</v>
      </c>
      <c r="AC10" s="125">
        <f t="shared" si="1"/>
        <v>5.6067889387085949E-2</v>
      </c>
      <c r="AD10" s="125">
        <f t="shared" si="2"/>
        <v>3.0826740085436139E-2</v>
      </c>
      <c r="AE10" s="125">
        <f t="shared" si="3"/>
        <v>-0.12310940645483354</v>
      </c>
      <c r="AF10" s="125">
        <f t="shared" si="4"/>
        <v>9.0487450038457068E-2</v>
      </c>
      <c r="AG10" s="125">
        <f t="shared" si="5"/>
        <v>0.11889836281884573</v>
      </c>
      <c r="AH10" s="125">
        <f t="shared" si="6"/>
        <v>-2.874020769243792E-2</v>
      </c>
      <c r="AI10" s="125">
        <f t="shared" si="7"/>
        <v>0.20625639465939855</v>
      </c>
      <c r="AJ10" s="125">
        <f t="shared" si="8"/>
        <v>-2.3919514957084329E-3</v>
      </c>
      <c r="AK10" s="125">
        <f t="shared" si="9"/>
        <v>-3.62418739581917E-2</v>
      </c>
      <c r="AL10" s="125">
        <f t="shared" si="10"/>
        <v>-5.1075539719913146E-3</v>
      </c>
      <c r="AM10" s="125">
        <f t="shared" si="11"/>
        <v>-2.3356360559929688E-3</v>
      </c>
      <c r="AN10" s="125">
        <f t="shared" si="12"/>
        <v>-8.6230852998092297E-4</v>
      </c>
      <c r="AO10" s="125">
        <f t="shared" si="13"/>
        <v>-1.2846847083486867E-4</v>
      </c>
      <c r="AP10" s="125">
        <f t="shared" si="14"/>
        <v>1.6780786432957102E-5</v>
      </c>
      <c r="AQ10" s="125">
        <f t="shared" si="15"/>
        <v>-1.1655501302531166E-4</v>
      </c>
      <c r="AR10" s="125">
        <f t="shared" si="16"/>
        <v>-9.1507627061002003E-5</v>
      </c>
      <c r="AS10" s="125">
        <f t="shared" si="17"/>
        <v>-1.7585368360376207E-5</v>
      </c>
      <c r="AT10" s="125"/>
      <c r="AU10" s="125"/>
      <c r="AV10" s="125"/>
      <c r="AW10" s="125"/>
      <c r="AX10" s="125"/>
      <c r="AY10" s="126"/>
    </row>
    <row r="11" spans="1:51" x14ac:dyDescent="0.25">
      <c r="A11" s="41" t="s">
        <v>15</v>
      </c>
      <c r="B11" s="130">
        <f>Triangulo1!D50</f>
        <v>1.3704256495167788</v>
      </c>
      <c r="C11" s="130">
        <f>Triangulo1!E50</f>
        <v>1.1477889113957596</v>
      </c>
      <c r="D11" s="130">
        <f>Triangulo1!F50</f>
        <v>1.1973103987058131</v>
      </c>
      <c r="E11" s="130">
        <f>Triangulo1!G50</f>
        <v>1.0409776928589223</v>
      </c>
      <c r="F11" s="130">
        <f>Triangulo1!H50</f>
        <v>1.0257579191372272</v>
      </c>
      <c r="G11" s="130">
        <f>Triangulo1!I50</f>
        <v>1.08949255571551</v>
      </c>
      <c r="H11" s="130">
        <f>Triangulo1!J50</f>
        <v>1.0559230107191739</v>
      </c>
      <c r="I11" s="130">
        <f>Triangulo1!K50</f>
        <v>1.0525811215520411</v>
      </c>
      <c r="J11" s="130">
        <f>Triangulo1!L50</f>
        <v>1.0485717501384544</v>
      </c>
      <c r="K11" s="130">
        <f>Triangulo1!M50</f>
        <v>1.0123312322465765</v>
      </c>
      <c r="L11" s="130">
        <f>Triangulo1!N50</f>
        <v>1.0069843669603553</v>
      </c>
      <c r="M11" s="130">
        <f>Triangulo1!O50</f>
        <v>1.0029116297278267</v>
      </c>
      <c r="N11" s="130">
        <f>Triangulo1!P50</f>
        <v>1.0013404044578647</v>
      </c>
      <c r="O11" s="130">
        <f>Triangulo1!Q50</f>
        <v>1.0006061665856998</v>
      </c>
      <c r="P11" s="130">
        <f>Triangulo1!R50</f>
        <v>1.0004325160088623</v>
      </c>
      <c r="Q11" s="130">
        <f>Triangulo1!S50</f>
        <v>1.0002204555022243</v>
      </c>
      <c r="R11" s="130">
        <f>Triangulo1!T50</f>
        <v>1.0001012081970706</v>
      </c>
      <c r="S11" s="133">
        <f>Triangulo1!U50</f>
        <v>0</v>
      </c>
      <c r="T11" s="133">
        <f>Triangulo1!V50</f>
        <v>0</v>
      </c>
      <c r="U11" s="133">
        <f>Triangulo1!W50</f>
        <v>0</v>
      </c>
      <c r="V11" s="133">
        <f>Triangulo1!X50</f>
        <v>0</v>
      </c>
      <c r="W11" s="133">
        <f>Triangulo1!Y50</f>
        <v>0</v>
      </c>
      <c r="X11" s="133">
        <f>Triangulo1!Z50</f>
        <v>0</v>
      </c>
      <c r="Y11" s="131" t="b">
        <f>MIN(B11:R11)&gt;1</f>
        <v>1</v>
      </c>
      <c r="Z11" s="124" t="b" cm="1">
        <f t="array" ref="Z11">MAX(ABS(AI5:AI26))&gt;0.1</f>
        <v>1</v>
      </c>
      <c r="AC11" s="125">
        <f t="shared" si="1"/>
        <v>-1.2892695347296248E-2</v>
      </c>
      <c r="AD11" s="125">
        <f t="shared" si="2"/>
        <v>5.9560536787662953E-2</v>
      </c>
      <c r="AE11" s="125">
        <f t="shared" si="3"/>
        <v>4.2328372726266987E-2</v>
      </c>
      <c r="AF11" s="125">
        <f t="shared" si="4"/>
        <v>-2.6531237020430072E-4</v>
      </c>
      <c r="AG11" s="125">
        <f t="shared" si="5"/>
        <v>-2.8992224851606369E-2</v>
      </c>
      <c r="AH11" s="125">
        <f t="shared" si="6"/>
        <v>5.4571648850148168E-2</v>
      </c>
      <c r="AI11" s="125">
        <f t="shared" si="7"/>
        <v>8.7016210039276166E-3</v>
      </c>
      <c r="AJ11" s="125">
        <f t="shared" si="8"/>
        <v>3.8115379266982018E-2</v>
      </c>
      <c r="AK11" s="125">
        <f t="shared" si="9"/>
        <v>2.7047952116950796E-2</v>
      </c>
      <c r="AL11" s="125">
        <f t="shared" si="10"/>
        <v>3.2106840303425346E-3</v>
      </c>
      <c r="AM11" s="125">
        <f t="shared" si="11"/>
        <v>2.930533386155734E-3</v>
      </c>
      <c r="AN11" s="125">
        <f t="shared" si="12"/>
        <v>3.5922424846632385E-4</v>
      </c>
      <c r="AO11" s="125">
        <f t="shared" si="13"/>
        <v>1.9874794719741267E-4</v>
      </c>
      <c r="AP11" s="125">
        <f t="shared" si="14"/>
        <v>-4.4940908632266284E-5</v>
      </c>
      <c r="AQ11" s="125">
        <f t="shared" si="15"/>
        <v>9.5633489884160551E-5</v>
      </c>
      <c r="AR11" s="125">
        <f t="shared" si="16"/>
        <v>9.1867767630215801E-5</v>
      </c>
      <c r="AS11" s="125"/>
      <c r="AT11" s="125"/>
      <c r="AU11" s="125"/>
      <c r="AV11" s="125"/>
      <c r="AW11" s="125"/>
      <c r="AX11" s="125"/>
      <c r="AY11" s="126"/>
    </row>
    <row r="12" spans="1:51" x14ac:dyDescent="0.25">
      <c r="A12" s="35" t="s">
        <v>16</v>
      </c>
      <c r="B12" s="132">
        <f>Triangulo1!D51</f>
        <v>1.3880941299121192</v>
      </c>
      <c r="C12" s="132">
        <f>Triangulo1!E51</f>
        <v>1.0794259877141008</v>
      </c>
      <c r="D12" s="132">
        <f>Triangulo1!F51</f>
        <v>1.1466301978803581</v>
      </c>
      <c r="E12" s="132">
        <f>Triangulo1!G51</f>
        <v>1.0412538771179445</v>
      </c>
      <c r="F12" s="132">
        <f>Triangulo1!H51</f>
        <v>1.0554969233721696</v>
      </c>
      <c r="G12" s="132">
        <f>Triangulo1!I51</f>
        <v>1.0300371505401527</v>
      </c>
      <c r="H12" s="132">
        <f>Triangulo1!J51</f>
        <v>1.0467347688705695</v>
      </c>
      <c r="I12" s="132">
        <f>Triangulo1!K51</f>
        <v>1.0124615928948197</v>
      </c>
      <c r="J12" s="132">
        <f>Triangulo1!L51</f>
        <v>1.0202100316495222</v>
      </c>
      <c r="K12" s="132">
        <f>Triangulo1!M51</f>
        <v>1.0090809565257854</v>
      </c>
      <c r="L12" s="132">
        <f>Triangulo1!N51</f>
        <v>1.0040333656536411</v>
      </c>
      <c r="M12" s="132">
        <f>Triangulo1!O51</f>
        <v>1.0025513595513595</v>
      </c>
      <c r="N12" s="132">
        <f>Triangulo1!P51</f>
        <v>1.0011413901080328</v>
      </c>
      <c r="O12" s="132">
        <f>Triangulo1!Q51</f>
        <v>1.0006511347360092</v>
      </c>
      <c r="P12" s="132">
        <f>Triangulo1!R51</f>
        <v>1.0003368411559628</v>
      </c>
      <c r="Q12" s="132">
        <f>Triangulo1!S51</f>
        <v>1.0001285674818392</v>
      </c>
      <c r="R12" s="133">
        <f>Triangulo1!T51</f>
        <v>0</v>
      </c>
      <c r="S12" s="133">
        <f>Triangulo1!U51</f>
        <v>0</v>
      </c>
      <c r="T12" s="133">
        <f>Triangulo1!V51</f>
        <v>0</v>
      </c>
      <c r="U12" s="133">
        <f>Triangulo1!W51</f>
        <v>0</v>
      </c>
      <c r="V12" s="133">
        <f>Triangulo1!X51</f>
        <v>0</v>
      </c>
      <c r="W12" s="133">
        <f>Triangulo1!Y51</f>
        <v>0</v>
      </c>
      <c r="X12" s="133">
        <f>Triangulo1!Z51</f>
        <v>0</v>
      </c>
      <c r="Y12" s="131" t="b">
        <f>MIN(B12:Q12)&gt;1</f>
        <v>1</v>
      </c>
      <c r="Z12" s="124" t="b" cm="1">
        <f t="array" ref="Z12">MAX(ABS(AJ5:AJ26))&gt;0.1</f>
        <v>0</v>
      </c>
      <c r="AC12" s="125">
        <f t="shared" si="1"/>
        <v>-3.9387649489667581E-2</v>
      </c>
      <c r="AD12" s="125">
        <f t="shared" si="2"/>
        <v>-0.12621299429392629</v>
      </c>
      <c r="AE12" s="125">
        <f t="shared" si="3"/>
        <v>2.5337433461548702E-2</v>
      </c>
      <c r="AF12" s="125">
        <f t="shared" si="4"/>
        <v>7.3460979062190124E-3</v>
      </c>
      <c r="AG12" s="125">
        <f t="shared" si="5"/>
        <v>-1.9765396588547462E-2</v>
      </c>
      <c r="AH12" s="125">
        <f t="shared" si="6"/>
        <v>1.3541811424766823E-2</v>
      </c>
      <c r="AI12" s="125">
        <f t="shared" si="7"/>
        <v>-6.6009378472680659E-3</v>
      </c>
      <c r="AJ12" s="125">
        <f t="shared" si="8"/>
        <v>-2.4021528474013596E-2</v>
      </c>
      <c r="AK12" s="125">
        <f t="shared" si="9"/>
        <v>1.7093784485883159E-3</v>
      </c>
      <c r="AL12" s="125">
        <f t="shared" si="10"/>
        <v>1.9134650936604683E-3</v>
      </c>
      <c r="AM12" s="125">
        <f t="shared" si="11"/>
        <v>6.1194756729254492E-4</v>
      </c>
      <c r="AN12" s="125">
        <f t="shared" si="12"/>
        <v>5.6248141303298204E-4</v>
      </c>
      <c r="AO12" s="125">
        <f t="shared" si="13"/>
        <v>1.2341766677430587E-4</v>
      </c>
      <c r="AP12" s="125">
        <f t="shared" si="14"/>
        <v>1.1978510516061244E-4</v>
      </c>
      <c r="AQ12" s="125">
        <f t="shared" si="15"/>
        <v>8.3909253500781252E-5</v>
      </c>
      <c r="AR12" s="125"/>
      <c r="AS12" s="125"/>
      <c r="AT12" s="125"/>
      <c r="AU12" s="125"/>
      <c r="AV12" s="125"/>
      <c r="AW12" s="125"/>
      <c r="AX12" s="125"/>
      <c r="AY12" s="126"/>
    </row>
    <row r="13" spans="1:51" x14ac:dyDescent="0.25">
      <c r="A13" s="41" t="s">
        <v>17</v>
      </c>
      <c r="B13" s="130">
        <f>Triangulo1!D52</f>
        <v>1.4427678949597629</v>
      </c>
      <c r="C13" s="130">
        <f>Triangulo1!E52</f>
        <v>1.2156635737421764</v>
      </c>
      <c r="D13" s="130">
        <f>Triangulo1!F52</f>
        <v>1.1175775315365621</v>
      </c>
      <c r="E13" s="130">
        <f>Triangulo1!G52</f>
        <v>1.0336047241914059</v>
      </c>
      <c r="F13" s="130">
        <f>Triangulo1!H52</f>
        <v>1.0763592386606122</v>
      </c>
      <c r="G13" s="130">
        <f>Triangulo1!I52</f>
        <v>1.0160885816870338</v>
      </c>
      <c r="H13" s="130">
        <f>Triangulo1!J52</f>
        <v>1.0536442000224586</v>
      </c>
      <c r="I13" s="130">
        <f>Triangulo1!K52</f>
        <v>1.0367824678773878</v>
      </c>
      <c r="J13" s="130">
        <f>Triangulo1!L52</f>
        <v>1.0184661066083869</v>
      </c>
      <c r="K13" s="130">
        <f>Triangulo1!M52</f>
        <v>1.0071501153387958</v>
      </c>
      <c r="L13" s="130">
        <f>Triangulo1!N52</f>
        <v>1.0034189498780488</v>
      </c>
      <c r="M13" s="130">
        <f>Triangulo1!O52</f>
        <v>1.001987443046001</v>
      </c>
      <c r="N13" s="130">
        <f>Triangulo1!P52</f>
        <v>1.0010178315735545</v>
      </c>
      <c r="O13" s="130">
        <f>Triangulo1!Q52</f>
        <v>1.0005312716346058</v>
      </c>
      <c r="P13" s="130">
        <f>Triangulo1!R52</f>
        <v>1.000252903638372</v>
      </c>
      <c r="Q13" s="133">
        <f>Triangulo1!S52</f>
        <v>0</v>
      </c>
      <c r="R13" s="133">
        <f>Triangulo1!T52</f>
        <v>0</v>
      </c>
      <c r="S13" s="133">
        <f>Triangulo1!U52</f>
        <v>0</v>
      </c>
      <c r="T13" s="133">
        <f>Triangulo1!V52</f>
        <v>0</v>
      </c>
      <c r="U13" s="133">
        <f>Triangulo1!W52</f>
        <v>0</v>
      </c>
      <c r="V13" s="133">
        <f>Triangulo1!X52</f>
        <v>0</v>
      </c>
      <c r="W13" s="133">
        <f>Triangulo1!Y52</f>
        <v>0</v>
      </c>
      <c r="X13" s="133">
        <f>Triangulo1!Z52</f>
        <v>0</v>
      </c>
      <c r="Y13" s="131" t="b">
        <f>MIN(B13:P13)&gt;1</f>
        <v>1</v>
      </c>
      <c r="Z13" s="124" t="b" cm="1">
        <f t="array" ref="Z13">MAX(ABS(AK5:AK26))&gt;0.1</f>
        <v>0</v>
      </c>
      <c r="AC13" s="125">
        <f t="shared" si="1"/>
        <v>-2.4858597846991473E-2</v>
      </c>
      <c r="AD13" s="125">
        <f t="shared" si="2"/>
        <v>-3.1209529603646795E-3</v>
      </c>
      <c r="AE13" s="125">
        <f t="shared" si="3"/>
        <v>-4.2055781336077513E-2</v>
      </c>
      <c r="AF13" s="125">
        <f t="shared" si="4"/>
        <v>-3.2112795947531449E-2</v>
      </c>
      <c r="AG13" s="125">
        <f t="shared" si="5"/>
        <v>1.7875511509982737E-2</v>
      </c>
      <c r="AH13" s="125">
        <f t="shared" si="6"/>
        <v>-2.7833126986416865E-2</v>
      </c>
      <c r="AI13" s="125">
        <f t="shared" si="7"/>
        <v>-3.1639031309591219E-2</v>
      </c>
      <c r="AJ13" s="125">
        <f t="shared" si="8"/>
        <v>-4.292900363927806E-3</v>
      </c>
      <c r="AK13" s="125">
        <f t="shared" si="9"/>
        <v>2.2601599787077757E-3</v>
      </c>
      <c r="AL13" s="125">
        <f t="shared" si="10"/>
        <v>-1.7262632622263598E-3</v>
      </c>
      <c r="AM13" s="125">
        <f t="shared" si="11"/>
        <v>-3.6072523907525823E-4</v>
      </c>
      <c r="AN13" s="125">
        <f t="shared" si="12"/>
        <v>-2.6285031979158033E-4</v>
      </c>
      <c r="AO13" s="125">
        <f t="shared" si="13"/>
        <v>-2.428525040616242E-4</v>
      </c>
      <c r="AP13" s="125">
        <f t="shared" si="14"/>
        <v>-5.0972301267478262E-5</v>
      </c>
      <c r="AQ13" s="125"/>
      <c r="AR13" s="125"/>
      <c r="AS13" s="125"/>
      <c r="AT13" s="125"/>
      <c r="AU13" s="125"/>
      <c r="AV13" s="125"/>
      <c r="AW13" s="125"/>
      <c r="AX13" s="125"/>
      <c r="AY13" s="126"/>
    </row>
    <row r="14" spans="1:51" x14ac:dyDescent="0.25">
      <c r="A14" s="35" t="s">
        <v>18</v>
      </c>
      <c r="B14" s="132">
        <f>Triangulo1!D53</f>
        <v>1.4786330818471181</v>
      </c>
      <c r="C14" s="132">
        <f>Triangulo1!E53</f>
        <v>1.2194576025714545</v>
      </c>
      <c r="D14" s="132">
        <f>Triangulo1!F53</f>
        <v>1.1645781278289771</v>
      </c>
      <c r="E14" s="132">
        <f>Triangulo1!G53</f>
        <v>1.0667966617897691</v>
      </c>
      <c r="F14" s="132">
        <f>Triangulo1!H53</f>
        <v>1.0571187667010582</v>
      </c>
      <c r="G14" s="132">
        <f>Triangulo1!I53</f>
        <v>1.0443695042105772</v>
      </c>
      <c r="H14" s="132">
        <f>Triangulo1!J53</f>
        <v>1.0869804818561384</v>
      </c>
      <c r="I14" s="132">
        <f>Triangulo1!K53</f>
        <v>1.0412332717110526</v>
      </c>
      <c r="J14" s="132">
        <f>Triangulo1!L53</f>
        <v>1.0161642102745603</v>
      </c>
      <c r="K14" s="132">
        <f>Triangulo1!M53</f>
        <v>1.0088887215824522</v>
      </c>
      <c r="L14" s="132">
        <f>Triangulo1!N53</f>
        <v>1.0037809084186362</v>
      </c>
      <c r="M14" s="132">
        <f>Triangulo1!O53</f>
        <v>1.0022508157658327</v>
      </c>
      <c r="N14" s="132">
        <f>Triangulo1!P53</f>
        <v>1.0012609312605625</v>
      </c>
      <c r="O14" s="132">
        <f>Triangulo1!Q53</f>
        <v>1.000582271016011</v>
      </c>
      <c r="P14" s="133">
        <f>Triangulo1!R53</f>
        <v>0</v>
      </c>
      <c r="Q14" s="133">
        <f>Triangulo1!S53</f>
        <v>0</v>
      </c>
      <c r="R14" s="133">
        <f>Triangulo1!T53</f>
        <v>0</v>
      </c>
      <c r="S14" s="133">
        <f>Triangulo1!U53</f>
        <v>0</v>
      </c>
      <c r="T14" s="133">
        <f>Triangulo1!V53</f>
        <v>0</v>
      </c>
      <c r="U14" s="133">
        <f>Triangulo1!W53</f>
        <v>0</v>
      </c>
      <c r="V14" s="133">
        <f>Triangulo1!X53</f>
        <v>0</v>
      </c>
      <c r="W14" s="133">
        <f>Triangulo1!Y53</f>
        <v>0</v>
      </c>
      <c r="X14" s="133">
        <f>Triangulo1!Z53</f>
        <v>0</v>
      </c>
      <c r="Y14" s="131" t="b">
        <f>MIN(B14:O14)&gt;1</f>
        <v>1</v>
      </c>
      <c r="Z14" s="124" t="b" cm="1">
        <f t="array" ref="Z14">MAX(ABS(AL5:AL26))&gt;0.1</f>
        <v>0</v>
      </c>
      <c r="AC14" s="125">
        <f t="shared" si="1"/>
        <v>0.15477114928834307</v>
      </c>
      <c r="AD14" s="125">
        <f t="shared" si="2"/>
        <v>5.6386283786560914E-3</v>
      </c>
      <c r="AE14" s="125">
        <f t="shared" si="3"/>
        <v>0.10953102289092252</v>
      </c>
      <c r="AF14" s="125">
        <f t="shared" si="4"/>
        <v>-5.5827615131806597E-2</v>
      </c>
      <c r="AG14" s="125">
        <f t="shared" si="5"/>
        <v>2.1026369430797477E-2</v>
      </c>
      <c r="AH14" s="125">
        <f t="shared" si="6"/>
        <v>-0.1024603052653224</v>
      </c>
      <c r="AI14" s="125">
        <f t="shared" si="7"/>
        <v>5.5599510075462393E-3</v>
      </c>
      <c r="AJ14" s="125">
        <f t="shared" si="8"/>
        <v>6.7200416161438655E-3</v>
      </c>
      <c r="AK14" s="125">
        <f t="shared" si="9"/>
        <v>-1.3985617760057468E-3</v>
      </c>
      <c r="AL14" s="125">
        <f t="shared" si="10"/>
        <v>-1.239825453754254E-3</v>
      </c>
      <c r="AM14" s="125">
        <f t="shared" si="11"/>
        <v>-3.2212539232056729E-4</v>
      </c>
      <c r="AN14" s="125">
        <f t="shared" si="12"/>
        <v>2.5277888347559514E-4</v>
      </c>
      <c r="AO14" s="125">
        <f t="shared" si="13"/>
        <v>2.5172231659854075E-4</v>
      </c>
      <c r="AP14" s="125"/>
      <c r="AQ14" s="125"/>
      <c r="AR14" s="125"/>
      <c r="AS14" s="125"/>
      <c r="AT14" s="125"/>
      <c r="AU14" s="125"/>
      <c r="AV14" s="125"/>
      <c r="AW14" s="125"/>
      <c r="AX14" s="125"/>
      <c r="AY14" s="126"/>
    </row>
    <row r="15" spans="1:51" x14ac:dyDescent="0.25">
      <c r="A15" s="41" t="s">
        <v>19</v>
      </c>
      <c r="B15" s="130">
        <f>Triangulo1!D54</f>
        <v>1.249783340393875</v>
      </c>
      <c r="C15" s="130">
        <f>Triangulo1!E54</f>
        <v>1.2125815343270272</v>
      </c>
      <c r="D15" s="130">
        <f>Triangulo1!F54</f>
        <v>1.0370206942514737</v>
      </c>
      <c r="E15" s="130">
        <f>Triangulo1!G54</f>
        <v>1.1263533752480643</v>
      </c>
      <c r="F15" s="130">
        <f>Triangulo1!H54</f>
        <v>1.0348913969801727</v>
      </c>
      <c r="G15" s="130">
        <f>Triangulo1!I54</f>
        <v>1.1513759224217863</v>
      </c>
      <c r="H15" s="130">
        <f>Triangulo1!J54</f>
        <v>1.0809369236308592</v>
      </c>
      <c r="I15" s="130">
        <f>Triangulo1!K54</f>
        <v>1.0342361407930407</v>
      </c>
      <c r="J15" s="130">
        <f>Triangulo1!L54</f>
        <v>1.0175853786971953</v>
      </c>
      <c r="K15" s="130">
        <f>Triangulo1!M54</f>
        <v>1.0101395674994758</v>
      </c>
      <c r="L15" s="130">
        <f>Triangulo1!N54</f>
        <v>1.0041042517375645</v>
      </c>
      <c r="M15" s="130">
        <f>Triangulo1!O54</f>
        <v>1.001997467923661</v>
      </c>
      <c r="N15" s="130">
        <f>Triangulo1!P54</f>
        <v>1.001008891539426</v>
      </c>
      <c r="O15" s="133">
        <f>Triangulo1!Q54</f>
        <v>0</v>
      </c>
      <c r="P15" s="133">
        <f>Triangulo1!R54</f>
        <v>0</v>
      </c>
      <c r="Q15" s="133">
        <f>Triangulo1!S54</f>
        <v>0</v>
      </c>
      <c r="R15" s="133">
        <f>Triangulo1!T54</f>
        <v>0</v>
      </c>
      <c r="S15" s="133">
        <f>Triangulo1!U54</f>
        <v>0</v>
      </c>
      <c r="T15" s="133">
        <f>Triangulo1!V54</f>
        <v>0</v>
      </c>
      <c r="U15" s="133">
        <f>Triangulo1!W54</f>
        <v>0</v>
      </c>
      <c r="V15" s="133">
        <f>Triangulo1!X54</f>
        <v>0</v>
      </c>
      <c r="W15" s="133">
        <f>Triangulo1!Y54</f>
        <v>0</v>
      </c>
      <c r="X15" s="133">
        <f>Triangulo1!Z54</f>
        <v>0</v>
      </c>
      <c r="Y15" s="131" t="b">
        <f>MIN(B15:N15)&gt;1</f>
        <v>1</v>
      </c>
      <c r="Z15" s="124" t="b" cm="1">
        <f t="array" ref="Z15">MAX(ABS(AM5:AM26))&gt;0.1</f>
        <v>0</v>
      </c>
      <c r="AC15" s="125">
        <f t="shared" si="1"/>
        <v>-0.16145049507414758</v>
      </c>
      <c r="AD15" s="125">
        <f t="shared" si="2"/>
        <v>-9.687310240309846E-3</v>
      </c>
      <c r="AE15" s="125">
        <f t="shared" si="3"/>
        <v>-1.2495702865218634E-2</v>
      </c>
      <c r="AF15" s="125">
        <f t="shared" si="4"/>
        <v>2.1485338450499419E-2</v>
      </c>
      <c r="AG15" s="125">
        <f t="shared" si="5"/>
        <v>-8.6319269256211389E-2</v>
      </c>
      <c r="AH15" s="125">
        <f t="shared" si="6"/>
        <v>3.5158389902575221E-2</v>
      </c>
      <c r="AI15" s="125">
        <f t="shared" si="7"/>
        <v>1.2192634422380444E-2</v>
      </c>
      <c r="AJ15" s="125">
        <f t="shared" si="8"/>
        <v>7.8240551970488528E-3</v>
      </c>
      <c r="AK15" s="125">
        <f t="shared" si="9"/>
        <v>5.0181256322274093E-3</v>
      </c>
      <c r="AL15" s="125">
        <f t="shared" si="10"/>
        <v>3.6710490968733388E-3</v>
      </c>
      <c r="AM15" s="125">
        <f t="shared" si="11"/>
        <v>1.3308979044102469E-3</v>
      </c>
      <c r="AN15" s="125">
        <f t="shared" si="12"/>
        <v>4.8200519833293692E-5</v>
      </c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6"/>
    </row>
    <row r="16" spans="1:51" x14ac:dyDescent="0.25">
      <c r="A16" s="35" t="s">
        <v>20</v>
      </c>
      <c r="B16" s="132">
        <f>Triangulo1!D55</f>
        <v>1.451561479435888</v>
      </c>
      <c r="C16" s="132">
        <f>Triangulo1!E55</f>
        <v>1.224328187841724</v>
      </c>
      <c r="D16" s="132">
        <f>Triangulo1!F55</f>
        <v>1.0499789967119229</v>
      </c>
      <c r="E16" s="132">
        <f>Triangulo1!G55</f>
        <v>1.1021532917659973</v>
      </c>
      <c r="F16" s="132">
        <f>Triangulo1!H55</f>
        <v>1.124222466127041</v>
      </c>
      <c r="G16" s="132">
        <f>Triangulo1!I55</f>
        <v>1.110895398816844</v>
      </c>
      <c r="H16" s="132">
        <f>Triangulo1!J55</f>
        <v>1.0677574548873756</v>
      </c>
      <c r="I16" s="132">
        <f>Triangulo1!K55</f>
        <v>1.0261442201406932</v>
      </c>
      <c r="J16" s="132">
        <f>Triangulo1!L55</f>
        <v>1.0124790074253751</v>
      </c>
      <c r="K16" s="132">
        <f>Triangulo1!M55</f>
        <v>1.0064312955524908</v>
      </c>
      <c r="L16" s="132">
        <f>Triangulo1!N55</f>
        <v>1.0027678914931175</v>
      </c>
      <c r="M16" s="132">
        <f>Triangulo1!O55</f>
        <v>1.0019491711248354</v>
      </c>
      <c r="N16" s="133">
        <f>Triangulo1!P55</f>
        <v>0</v>
      </c>
      <c r="O16" s="133">
        <f>Triangulo1!Q55</f>
        <v>0</v>
      </c>
      <c r="P16" s="133">
        <f>Triangulo1!R55</f>
        <v>0</v>
      </c>
      <c r="Q16" s="133">
        <f>Triangulo1!S55</f>
        <v>0</v>
      </c>
      <c r="R16" s="133">
        <f>Triangulo1!T55</f>
        <v>0</v>
      </c>
      <c r="S16" s="133">
        <f>Triangulo1!U55</f>
        <v>0</v>
      </c>
      <c r="T16" s="133">
        <f>Triangulo1!V55</f>
        <v>0</v>
      </c>
      <c r="U16" s="133">
        <f>Triangulo1!W55</f>
        <v>0</v>
      </c>
      <c r="V16" s="133">
        <f>Triangulo1!X55</f>
        <v>0</v>
      </c>
      <c r="W16" s="133">
        <f>Triangulo1!Y55</f>
        <v>0</v>
      </c>
      <c r="X16" s="133">
        <f>Triangulo1!Z55</f>
        <v>0</v>
      </c>
      <c r="Y16" s="131" t="b">
        <f>MIN(B16:M16)&gt;1</f>
        <v>1</v>
      </c>
      <c r="Z16" s="124" t="b" cm="1">
        <f t="array" ref="Z16">MAX(ABS(AN5:AN26))&gt;0.1</f>
        <v>0</v>
      </c>
      <c r="AC16" s="125">
        <f t="shared" si="1"/>
        <v>-2.5991573251105311E-2</v>
      </c>
      <c r="AD16" s="125">
        <f t="shared" si="2"/>
        <v>8.4323865066055562E-3</v>
      </c>
      <c r="AE16" s="125">
        <f t="shared" si="3"/>
        <v>-9.3499204855956905E-2</v>
      </c>
      <c r="AF16" s="125">
        <f t="shared" si="4"/>
        <v>-0.11543023287317442</v>
      </c>
      <c r="AG16" s="125">
        <f t="shared" si="5"/>
        <v>-3.0150627371443136E-2</v>
      </c>
      <c r="AH16" s="125">
        <f t="shared" si="6"/>
        <v>-2.0357074439492182E-2</v>
      </c>
      <c r="AI16" s="125">
        <f t="shared" si="7"/>
        <v>5.7159137509773927E-3</v>
      </c>
      <c r="AJ16" s="125">
        <f t="shared" si="8"/>
        <v>-6.7165083556038566E-3</v>
      </c>
      <c r="AK16" s="125">
        <f t="shared" si="9"/>
        <v>-3.4437767845097653E-3</v>
      </c>
      <c r="AL16" s="125">
        <f t="shared" si="10"/>
        <v>-8.6005636328009957E-4</v>
      </c>
      <c r="AM16" s="125">
        <f t="shared" si="11"/>
        <v>-1.8166430746796432E-5</v>
      </c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6"/>
    </row>
    <row r="17" spans="1:51" x14ac:dyDescent="0.25">
      <c r="A17" s="41" t="s">
        <v>21</v>
      </c>
      <c r="B17" s="130">
        <f>Triangulo1!D56</f>
        <v>1.4892898459571287</v>
      </c>
      <c r="C17" s="130">
        <f>Triangulo1!E56</f>
        <v>1.2140041793509107</v>
      </c>
      <c r="D17" s="130">
        <f>Triangulo1!F56</f>
        <v>1.148151198019943</v>
      </c>
      <c r="E17" s="130">
        <f>Triangulo1!G56</f>
        <v>1.2293751028964821</v>
      </c>
      <c r="F17" s="130">
        <f>Triangulo1!H56</f>
        <v>1.1581184787858423</v>
      </c>
      <c r="G17" s="130">
        <f>Triangulo1!I56</f>
        <v>1.1335099791450478</v>
      </c>
      <c r="H17" s="130">
        <f>Triangulo1!J56</f>
        <v>1.0616542453682762</v>
      </c>
      <c r="I17" s="130">
        <f>Triangulo1!K56</f>
        <v>1.0330363263693227</v>
      </c>
      <c r="J17" s="130">
        <f>Triangulo1!L56</f>
        <v>1.0159657591259501</v>
      </c>
      <c r="K17" s="130">
        <f>Triangulo1!M56</f>
        <v>1.0072968831924349</v>
      </c>
      <c r="L17" s="130">
        <f>Triangulo1!N56</f>
        <v>1.0027861082065734</v>
      </c>
      <c r="M17" s="133">
        <f>Triangulo1!O56</f>
        <v>0</v>
      </c>
      <c r="N17" s="133">
        <f>Triangulo1!P56</f>
        <v>0</v>
      </c>
      <c r="O17" s="133">
        <f>Triangulo1!Q56</f>
        <v>0</v>
      </c>
      <c r="P17" s="133">
        <f>Triangulo1!R56</f>
        <v>0</v>
      </c>
      <c r="Q17" s="133">
        <f>Triangulo1!S56</f>
        <v>0</v>
      </c>
      <c r="R17" s="133">
        <f>Triangulo1!T56</f>
        <v>0</v>
      </c>
      <c r="S17" s="133">
        <f>Triangulo1!U56</f>
        <v>0</v>
      </c>
      <c r="T17" s="133">
        <f>Triangulo1!V56</f>
        <v>0</v>
      </c>
      <c r="U17" s="133">
        <f>Triangulo1!W56</f>
        <v>0</v>
      </c>
      <c r="V17" s="133">
        <f>Triangulo1!X56</f>
        <v>0</v>
      </c>
      <c r="W17" s="133">
        <f>Triangulo1!Y56</f>
        <v>0</v>
      </c>
      <c r="X17" s="133">
        <f>Triangulo1!Z56</f>
        <v>0</v>
      </c>
      <c r="Y17" s="131" t="b">
        <f>MIN(B17:L17)&gt;1</f>
        <v>1</v>
      </c>
      <c r="Z17" s="124" t="b" cm="1">
        <f t="array" ref="Z17">MAX(ABS(AO5:AO26))&gt;0.1</f>
        <v>0</v>
      </c>
      <c r="AC17" s="125">
        <f t="shared" si="1"/>
        <v>5.777774531834378E-2</v>
      </c>
      <c r="AD17" s="125">
        <f t="shared" si="2"/>
        <v>9.7061027625754623E-2</v>
      </c>
      <c r="AE17" s="125">
        <f t="shared" si="3"/>
        <v>-0.26659573634316869</v>
      </c>
      <c r="AF17" s="125">
        <f t="shared" si="4"/>
        <v>-2.303957351660357E-2</v>
      </c>
      <c r="AG17" s="125">
        <f t="shared" si="5"/>
        <v>3.5937693504267926E-2</v>
      </c>
      <c r="AH17" s="125">
        <f t="shared" si="6"/>
        <v>6.522735773589191E-3</v>
      </c>
      <c r="AI17" s="125">
        <f t="shared" si="7"/>
        <v>1.3104779221977515E-2</v>
      </c>
      <c r="AJ17" s="125">
        <f t="shared" si="8"/>
        <v>7.4860924214794934E-3</v>
      </c>
      <c r="AK17" s="125">
        <f t="shared" si="9"/>
        <v>4.4121610306710511E-3</v>
      </c>
      <c r="AL17" s="125">
        <f t="shared" si="10"/>
        <v>1.1280878865606507E-3</v>
      </c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6"/>
    </row>
    <row r="18" spans="1:51" x14ac:dyDescent="0.25">
      <c r="A18" s="35" t="s">
        <v>22</v>
      </c>
      <c r="B18" s="132">
        <f>Triangulo1!D57</f>
        <v>1.4032420365322222</v>
      </c>
      <c r="C18" s="132">
        <f>Triangulo1!E57</f>
        <v>1.0961716861611503</v>
      </c>
      <c r="D18" s="132">
        <f>Triangulo1!F57</f>
        <v>1.454243412089361</v>
      </c>
      <c r="E18" s="132">
        <f>Triangulo1!G57</f>
        <v>1.2576993809591477</v>
      </c>
      <c r="F18" s="132">
        <f>Triangulo1!H57</f>
        <v>1.1164983718536077</v>
      </c>
      <c r="G18" s="132">
        <f>Triangulo1!I57</f>
        <v>1.1261163930543581</v>
      </c>
      <c r="H18" s="132">
        <f>Triangulo1!J57</f>
        <v>1.0477415008726498</v>
      </c>
      <c r="I18" s="132">
        <f>Triangulo1!K57</f>
        <v>1.0253029209553763</v>
      </c>
      <c r="J18" s="132">
        <f>Triangulo1!L57</f>
        <v>1.0114831545950385</v>
      </c>
      <c r="K18" s="132">
        <f>Triangulo1!M57</f>
        <v>1.0061605637803352</v>
      </c>
      <c r="L18" s="133">
        <f>Triangulo1!N57</f>
        <v>0</v>
      </c>
      <c r="M18" s="133">
        <f>Triangulo1!O57</f>
        <v>0</v>
      </c>
      <c r="N18" s="133">
        <f>Triangulo1!P57</f>
        <v>0</v>
      </c>
      <c r="O18" s="133">
        <f>Triangulo1!Q57</f>
        <v>0</v>
      </c>
      <c r="P18" s="133">
        <f>Triangulo1!R57</f>
        <v>0</v>
      </c>
      <c r="Q18" s="133">
        <f>Triangulo1!S57</f>
        <v>0</v>
      </c>
      <c r="R18" s="133">
        <f>Triangulo1!T57</f>
        <v>0</v>
      </c>
      <c r="S18" s="133">
        <f>Triangulo1!U57</f>
        <v>0</v>
      </c>
      <c r="T18" s="133">
        <f>Triangulo1!V57</f>
        <v>0</v>
      </c>
      <c r="U18" s="133">
        <f>Triangulo1!W57</f>
        <v>0</v>
      </c>
      <c r="V18" s="133">
        <f>Triangulo1!X57</f>
        <v>0</v>
      </c>
      <c r="W18" s="133">
        <f>Triangulo1!Y57</f>
        <v>0</v>
      </c>
      <c r="X18" s="133">
        <f>Triangulo1!Z57</f>
        <v>0</v>
      </c>
      <c r="Y18" s="131" t="b">
        <f>MIN(B18:K18)&gt;1</f>
        <v>1</v>
      </c>
      <c r="Z18" s="124" t="b" cm="1">
        <f t="array" ref="Z18">MAX(ABS(AP5:AP26))&gt;0.1</f>
        <v>0</v>
      </c>
      <c r="AC18" s="125">
        <f t="shared" si="1"/>
        <v>5.0845110733769867E-3</v>
      </c>
      <c r="AD18" s="125">
        <f t="shared" si="2"/>
        <v>-0.66231302922490864</v>
      </c>
      <c r="AE18" s="125">
        <f t="shared" si="3"/>
        <v>3.3857934296192486E-2</v>
      </c>
      <c r="AF18" s="125">
        <f t="shared" si="4"/>
        <v>5.899505405200945E-2</v>
      </c>
      <c r="AG18" s="125">
        <f t="shared" si="5"/>
        <v>-3.1507808686692756E-2</v>
      </c>
      <c r="AH18" s="125">
        <f t="shared" si="6"/>
        <v>-1.3866092741293331E-2</v>
      </c>
      <c r="AI18" s="125">
        <f t="shared" si="7"/>
        <v>-7.0357412904358191E-4</v>
      </c>
      <c r="AJ18" s="125">
        <f t="shared" si="8"/>
        <v>2.9252490035832522E-3</v>
      </c>
      <c r="AK18" s="125">
        <f t="shared" si="9"/>
        <v>-3.4029805026280641E-3</v>
      </c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6"/>
    </row>
    <row r="19" spans="1:51" x14ac:dyDescent="0.25">
      <c r="A19" s="41" t="s">
        <v>23</v>
      </c>
      <c r="B19" s="130">
        <f>Triangulo1!D58</f>
        <v>1.3961072368588461</v>
      </c>
      <c r="C19" s="135">
        <f>Triangulo1!E58</f>
        <v>1.8221804761731177</v>
      </c>
      <c r="D19" s="130">
        <f>Triangulo1!F58</f>
        <v>1.4050057341921687</v>
      </c>
      <c r="E19" s="130">
        <f>Triangulo1!G58</f>
        <v>1.1835013379982839</v>
      </c>
      <c r="F19" s="130">
        <f>Triangulo1!H58</f>
        <v>1.1516767889529751</v>
      </c>
      <c r="G19" s="130">
        <f>Triangulo1!I58</f>
        <v>1.1417312273979405</v>
      </c>
      <c r="H19" s="130">
        <f>Triangulo1!J58</f>
        <v>1.0484786646865891</v>
      </c>
      <c r="I19" s="130">
        <f>Triangulo1!K58</f>
        <v>1.0223036546074806</v>
      </c>
      <c r="J19" s="130">
        <f>Triangulo1!L58</f>
        <v>1.0149252120488621</v>
      </c>
      <c r="K19" s="133">
        <f>Triangulo1!M58</f>
        <v>0</v>
      </c>
      <c r="L19" s="133">
        <f>Triangulo1!N58</f>
        <v>0</v>
      </c>
      <c r="M19" s="133">
        <f>Triangulo1!O58</f>
        <v>0</v>
      </c>
      <c r="N19" s="133">
        <f>Triangulo1!P58</f>
        <v>0</v>
      </c>
      <c r="O19" s="133">
        <f>Triangulo1!Q58</f>
        <v>0</v>
      </c>
      <c r="P19" s="133">
        <f>Triangulo1!R58</f>
        <v>0</v>
      </c>
      <c r="Q19" s="133">
        <f>Triangulo1!S58</f>
        <v>0</v>
      </c>
      <c r="R19" s="133">
        <f>Triangulo1!T58</f>
        <v>0</v>
      </c>
      <c r="S19" s="133">
        <f>Triangulo1!U58</f>
        <v>0</v>
      </c>
      <c r="T19" s="133">
        <f>Triangulo1!V58</f>
        <v>0</v>
      </c>
      <c r="U19" s="133">
        <f>Triangulo1!W58</f>
        <v>0</v>
      </c>
      <c r="V19" s="133">
        <f>Triangulo1!X58</f>
        <v>0</v>
      </c>
      <c r="W19" s="133">
        <f>Triangulo1!Y58</f>
        <v>0</v>
      </c>
      <c r="X19" s="133">
        <f>Triangulo1!Z58</f>
        <v>0</v>
      </c>
      <c r="Y19" s="131" t="b">
        <f>MIN(B19:J19)&gt;1</f>
        <v>1</v>
      </c>
      <c r="Z19" s="124" t="b" cm="1">
        <f t="array" ref="Z19">MAX(ABS(AQ5:AQ26))&gt;0.1</f>
        <v>0</v>
      </c>
      <c r="AC19" s="125">
        <f t="shared" si="1"/>
        <v>-0.38997831199738892</v>
      </c>
      <c r="AD19" s="125">
        <f t="shared" si="2"/>
        <v>0.25827168048187948</v>
      </c>
      <c r="AE19" s="125">
        <f t="shared" si="3"/>
        <v>0.11958285215700529</v>
      </c>
      <c r="AF19" s="125">
        <f t="shared" si="4"/>
        <v>4.1124799734691991E-2</v>
      </c>
      <c r="AG19" s="125">
        <f t="shared" si="5"/>
        <v>4.8664832689422621E-2</v>
      </c>
      <c r="AH19" s="125">
        <f t="shared" si="6"/>
        <v>4.6079029198950502E-2</v>
      </c>
      <c r="AI19" s="125">
        <f t="shared" si="7"/>
        <v>7.1659880409048445E-3</v>
      </c>
      <c r="AJ19" s="125">
        <f t="shared" si="8"/>
        <v>2.2720262263421758E-3</v>
      </c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6"/>
    </row>
    <row r="20" spans="1:51" x14ac:dyDescent="0.25">
      <c r="A20" s="35" t="s">
        <v>24</v>
      </c>
      <c r="B20" s="132">
        <f>Triangulo1!D59</f>
        <v>1.9405587804563977</v>
      </c>
      <c r="C20" s="132">
        <f>Triangulo1!E59</f>
        <v>1.3515628624506153</v>
      </c>
      <c r="D20" s="132">
        <f>Triangulo1!F59</f>
        <v>1.2369911412005219</v>
      </c>
      <c r="E20" s="132">
        <f>Triangulo1!G59</f>
        <v>1.1348300824873645</v>
      </c>
      <c r="F20" s="132">
        <f>Triangulo1!H59</f>
        <v>1.0956306307062871</v>
      </c>
      <c r="G20" s="132">
        <f>Triangulo1!I59</f>
        <v>1.0891213608333172</v>
      </c>
      <c r="H20" s="132">
        <f>Triangulo1!J59</f>
        <v>1.0409652791143011</v>
      </c>
      <c r="I20" s="132">
        <f>Triangulo1!K59</f>
        <v>1.019980953892927</v>
      </c>
      <c r="J20" s="133">
        <f>Triangulo1!L59</f>
        <v>0</v>
      </c>
      <c r="K20" s="133">
        <f>Triangulo1!M59</f>
        <v>0</v>
      </c>
      <c r="L20" s="133">
        <f>Triangulo1!N59</f>
        <v>0</v>
      </c>
      <c r="M20" s="133">
        <f>Triangulo1!O59</f>
        <v>0</v>
      </c>
      <c r="N20" s="133">
        <f>Triangulo1!P59</f>
        <v>0</v>
      </c>
      <c r="O20" s="133">
        <f>Triangulo1!Q59</f>
        <v>0</v>
      </c>
      <c r="P20" s="133">
        <f>Triangulo1!R59</f>
        <v>0</v>
      </c>
      <c r="Q20" s="133">
        <f>Triangulo1!S59</f>
        <v>0</v>
      </c>
      <c r="R20" s="133">
        <f>Triangulo1!T59</f>
        <v>0</v>
      </c>
      <c r="S20" s="133">
        <f>Triangulo1!U59</f>
        <v>0</v>
      </c>
      <c r="T20" s="133">
        <f>Triangulo1!V59</f>
        <v>0</v>
      </c>
      <c r="U20" s="133">
        <f>Triangulo1!W59</f>
        <v>0</v>
      </c>
      <c r="V20" s="133">
        <f>Triangulo1!X59</f>
        <v>0</v>
      </c>
      <c r="W20" s="133">
        <f>Triangulo1!Y59</f>
        <v>0</v>
      </c>
      <c r="X20" s="133">
        <f>Triangulo1!Z59</f>
        <v>0</v>
      </c>
      <c r="Y20" s="131" t="b">
        <f>MIN(B20:I20)&gt;1</f>
        <v>1</v>
      </c>
      <c r="Z20" s="124" t="b" cm="1">
        <f t="array" ref="Z20">MAX(ABS(AR5:AR26))&gt;0.1</f>
        <v>0</v>
      </c>
      <c r="AC20" s="125">
        <f t="shared" si="1"/>
        <v>0.15543845791920868</v>
      </c>
      <c r="AD20" s="125">
        <f t="shared" si="2"/>
        <v>-7.8084910480721748E-2</v>
      </c>
      <c r="AE20" s="125">
        <f t="shared" si="3"/>
        <v>-1.1739090087342413E-2</v>
      </c>
      <c r="AF20" s="125">
        <f t="shared" si="4"/>
        <v>-1.2041280684390383E-2</v>
      </c>
      <c r="AG20" s="125">
        <f t="shared" si="5"/>
        <v>2.7085737076902542E-3</v>
      </c>
      <c r="AH20" s="125">
        <f t="shared" si="6"/>
        <v>1.6070715044961121E-2</v>
      </c>
      <c r="AI20" s="125">
        <f t="shared" si="7"/>
        <v>-4.0241902247026952E-3</v>
      </c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6"/>
    </row>
    <row r="21" spans="1:51" x14ac:dyDescent="0.25">
      <c r="A21" s="41" t="s">
        <v>25</v>
      </c>
      <c r="B21" s="130">
        <f>Triangulo1!D60</f>
        <v>1.638921316120675</v>
      </c>
      <c r="C21" s="130">
        <f>Triangulo1!E60</f>
        <v>1.4570995275741396</v>
      </c>
      <c r="D21" s="130">
        <f>Triangulo1!F60</f>
        <v>1.2515122916443193</v>
      </c>
      <c r="E21" s="130">
        <f>Triangulo1!G60</f>
        <v>1.1484948900396847</v>
      </c>
      <c r="F21" s="130">
        <f>Triangulo1!H60</f>
        <v>1.0926630343866159</v>
      </c>
      <c r="G21" s="130">
        <f>Triangulo1!I60</f>
        <v>1.0716184017939847</v>
      </c>
      <c r="H21" s="130">
        <f>Triangulo1!J60</f>
        <v>1.0451543214147678</v>
      </c>
      <c r="I21" s="133">
        <f>Triangulo1!K60</f>
        <v>0</v>
      </c>
      <c r="J21" s="133">
        <f>Triangulo1!L60</f>
        <v>0</v>
      </c>
      <c r="K21" s="133">
        <f>Triangulo1!M60</f>
        <v>0</v>
      </c>
      <c r="L21" s="133">
        <f>Triangulo1!N60</f>
        <v>0</v>
      </c>
      <c r="M21" s="133">
        <f>Triangulo1!O60</f>
        <v>0</v>
      </c>
      <c r="N21" s="133">
        <f>Triangulo1!P60</f>
        <v>0</v>
      </c>
      <c r="O21" s="133">
        <f>Triangulo1!Q60</f>
        <v>0</v>
      </c>
      <c r="P21" s="133">
        <f>Triangulo1!R60</f>
        <v>0</v>
      </c>
      <c r="Q21" s="133">
        <f>Triangulo1!S60</f>
        <v>0</v>
      </c>
      <c r="R21" s="133">
        <f>Triangulo1!T60</f>
        <v>0</v>
      </c>
      <c r="S21" s="133">
        <f>Triangulo1!U60</f>
        <v>0</v>
      </c>
      <c r="T21" s="133">
        <f>Triangulo1!V60</f>
        <v>0</v>
      </c>
      <c r="U21" s="133">
        <f>Triangulo1!W60</f>
        <v>0</v>
      </c>
      <c r="V21" s="133">
        <f>Triangulo1!X60</f>
        <v>0</v>
      </c>
      <c r="W21" s="133">
        <f>Triangulo1!Y60</f>
        <v>0</v>
      </c>
      <c r="X21" s="133">
        <f>Triangulo1!Z60</f>
        <v>0</v>
      </c>
      <c r="Y21" s="131" t="b">
        <f>MIN(B21:H21)&gt;1</f>
        <v>1</v>
      </c>
      <c r="Z21" s="124" t="b" cm="1">
        <f t="array" ref="Z21">MAX(ABS(AS5:AS26))&gt;0.1</f>
        <v>0</v>
      </c>
      <c r="AC21" s="125">
        <f t="shared" si="1"/>
        <v>-0.59448485153489494</v>
      </c>
      <c r="AD21" s="125">
        <f t="shared" si="2"/>
        <v>2.178750187444034E-2</v>
      </c>
      <c r="AE21" s="125">
        <f t="shared" si="3"/>
        <v>-2.8850701760174569E-2</v>
      </c>
      <c r="AF21" s="125">
        <f t="shared" si="4"/>
        <v>-3.4281648338917732E-2</v>
      </c>
      <c r="AG21" s="125">
        <f t="shared" si="5"/>
        <v>-2.2182568942053178E-2</v>
      </c>
      <c r="AH21" s="125">
        <f t="shared" si="6"/>
        <v>-3.8191006405958225E-2</v>
      </c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6"/>
    </row>
    <row r="22" spans="1:51" x14ac:dyDescent="0.25">
      <c r="A22" s="35" t="s">
        <v>26</v>
      </c>
      <c r="B22" s="134">
        <f>Triangulo1!D61</f>
        <v>2.6132352114120492</v>
      </c>
      <c r="C22" s="132">
        <f>Triangulo1!E61</f>
        <v>1.4253529688858719</v>
      </c>
      <c r="D22" s="132">
        <f>Triangulo1!F61</f>
        <v>1.2876192995197422</v>
      </c>
      <c r="E22" s="132">
        <f>Triangulo1!G61</f>
        <v>1.1878671879790692</v>
      </c>
      <c r="F22" s="132">
        <f>Triangulo1!H61</f>
        <v>1.1169011074773301</v>
      </c>
      <c r="G22" s="132">
        <f>Triangulo1!I61</f>
        <v>1.1125445870416415</v>
      </c>
      <c r="H22" s="133">
        <f>Triangulo1!J61</f>
        <v>0</v>
      </c>
      <c r="I22" s="133">
        <f>Triangulo1!K61</f>
        <v>0</v>
      </c>
      <c r="J22" s="133">
        <f>Triangulo1!L61</f>
        <v>0</v>
      </c>
      <c r="K22" s="133">
        <f>Triangulo1!M61</f>
        <v>0</v>
      </c>
      <c r="L22" s="133">
        <f>Triangulo1!N61</f>
        <v>0</v>
      </c>
      <c r="M22" s="133">
        <f>Triangulo1!O61</f>
        <v>0</v>
      </c>
      <c r="N22" s="133">
        <f>Triangulo1!P61</f>
        <v>0</v>
      </c>
      <c r="O22" s="133">
        <f>Triangulo1!Q61</f>
        <v>0</v>
      </c>
      <c r="P22" s="133">
        <f>Triangulo1!R61</f>
        <v>0</v>
      </c>
      <c r="Q22" s="133">
        <f>Triangulo1!S61</f>
        <v>0</v>
      </c>
      <c r="R22" s="133">
        <f>Triangulo1!T61</f>
        <v>0</v>
      </c>
      <c r="S22" s="133">
        <f>Triangulo1!U61</f>
        <v>0</v>
      </c>
      <c r="T22" s="133">
        <f>Triangulo1!V61</f>
        <v>0</v>
      </c>
      <c r="U22" s="133">
        <f>Triangulo1!W61</f>
        <v>0</v>
      </c>
      <c r="V22" s="133">
        <f>Triangulo1!X61</f>
        <v>0</v>
      </c>
      <c r="W22" s="133">
        <f>Triangulo1!Y61</f>
        <v>0</v>
      </c>
      <c r="X22" s="133">
        <f>Triangulo1!Z61</f>
        <v>0</v>
      </c>
      <c r="Y22" s="131" t="b">
        <f>MIN(B22:G22)&gt;1</f>
        <v>1</v>
      </c>
      <c r="Z22" s="124" t="b" cm="1">
        <f t="array" ref="Z22">MAX(ABS(AT5:AT26))&gt;0.1</f>
        <v>0</v>
      </c>
      <c r="AC22" s="125">
        <f t="shared" si="1"/>
        <v>-0.21020187250402353</v>
      </c>
      <c r="AD22" s="125">
        <f t="shared" si="2"/>
        <v>0.19563387443479402</v>
      </c>
      <c r="AE22" s="125">
        <f t="shared" si="3"/>
        <v>0.10762772154792163</v>
      </c>
      <c r="AF22" s="125">
        <f t="shared" si="4"/>
        <v>7.0603615422860935E-2</v>
      </c>
      <c r="AG22" s="125">
        <f t="shared" si="5"/>
        <v>5.7363738373880056E-2</v>
      </c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6"/>
    </row>
    <row r="23" spans="1:51" x14ac:dyDescent="0.25">
      <c r="A23" s="41" t="s">
        <v>27</v>
      </c>
      <c r="B23" s="135">
        <f>Triangulo1!D62</f>
        <v>3.1625421461443097</v>
      </c>
      <c r="C23" s="130">
        <f>Triangulo1!E62</f>
        <v>1.1465056451455924</v>
      </c>
      <c r="D23" s="130">
        <f>Triangulo1!F62</f>
        <v>1.1490357680913015</v>
      </c>
      <c r="E23" s="130">
        <f>Triangulo1!G62</f>
        <v>1.1039994698655597</v>
      </c>
      <c r="F23" s="130">
        <f>Triangulo1!H62</f>
        <v>1.0528314845585036</v>
      </c>
      <c r="G23" s="133">
        <f>Triangulo1!I62</f>
        <v>0</v>
      </c>
      <c r="H23" s="133">
        <f>Triangulo1!J62</f>
        <v>0</v>
      </c>
      <c r="I23" s="133">
        <f>Triangulo1!K62</f>
        <v>0</v>
      </c>
      <c r="J23" s="133">
        <f>Triangulo1!L62</f>
        <v>0</v>
      </c>
      <c r="K23" s="133">
        <f>Triangulo1!M62</f>
        <v>0</v>
      </c>
      <c r="L23" s="133">
        <f>Triangulo1!N62</f>
        <v>0</v>
      </c>
      <c r="M23" s="133">
        <f>Triangulo1!O62</f>
        <v>0</v>
      </c>
      <c r="N23" s="133">
        <f>Triangulo1!P62</f>
        <v>0</v>
      </c>
      <c r="O23" s="133">
        <f>Triangulo1!Q62</f>
        <v>0</v>
      </c>
      <c r="P23" s="133">
        <f>Triangulo1!R62</f>
        <v>0</v>
      </c>
      <c r="Q23" s="133">
        <f>Triangulo1!S62</f>
        <v>0</v>
      </c>
      <c r="R23" s="133">
        <f>Triangulo1!T62</f>
        <v>0</v>
      </c>
      <c r="S23" s="133">
        <f>Triangulo1!U62</f>
        <v>0</v>
      </c>
      <c r="T23" s="133">
        <f>Triangulo1!V62</f>
        <v>0</v>
      </c>
      <c r="U23" s="133">
        <f>Triangulo1!W62</f>
        <v>0</v>
      </c>
      <c r="V23" s="133">
        <f>Triangulo1!X62</f>
        <v>0</v>
      </c>
      <c r="W23" s="133">
        <f>Triangulo1!Y62</f>
        <v>0</v>
      </c>
      <c r="X23" s="133">
        <f>Triangulo1!Z62</f>
        <v>0</v>
      </c>
      <c r="Y23" s="131" t="b">
        <f>MIN(B23:F23)&gt;1</f>
        <v>1</v>
      </c>
      <c r="Z23" s="124" t="b" cm="1">
        <f t="array" ref="Z23">MAX(ABS(AU5:AU26))&gt;0.1</f>
        <v>0</v>
      </c>
      <c r="AC23" s="125">
        <f t="shared" si="1"/>
        <v>0.44445836946992495</v>
      </c>
      <c r="AD23" s="125">
        <f t="shared" si="2"/>
        <v>-0.14192841274013251</v>
      </c>
      <c r="AE23" s="125">
        <f t="shared" si="3"/>
        <v>-5.9448284912573111E-2</v>
      </c>
      <c r="AF23" s="125">
        <f t="shared" si="4"/>
        <v>-4.9344735043748894E-2</v>
      </c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6"/>
    </row>
    <row r="24" spans="1:51" x14ac:dyDescent="0.25">
      <c r="A24" s="35" t="s">
        <v>28</v>
      </c>
      <c r="B24" s="132">
        <f>Triangulo1!D63</f>
        <v>1.7569238204890927</v>
      </c>
      <c r="C24" s="132">
        <f>Triangulo1!E63</f>
        <v>1.3092273715587079</v>
      </c>
      <c r="D24" s="132">
        <f>Triangulo1!F63</f>
        <v>1.2173439738075305</v>
      </c>
      <c r="E24" s="132">
        <f>Triangulo1!G63</f>
        <v>1.158476031194515</v>
      </c>
      <c r="F24" s="133">
        <f>Triangulo1!H63</f>
        <v>0</v>
      </c>
      <c r="G24" s="133">
        <f>Triangulo1!I63</f>
        <v>0</v>
      </c>
      <c r="H24" s="133">
        <f>Triangulo1!J63</f>
        <v>0</v>
      </c>
      <c r="I24" s="133">
        <f>Triangulo1!K63</f>
        <v>0</v>
      </c>
      <c r="J24" s="133">
        <f>Triangulo1!L63</f>
        <v>0</v>
      </c>
      <c r="K24" s="133">
        <f>Triangulo1!M63</f>
        <v>0</v>
      </c>
      <c r="L24" s="133">
        <f>Triangulo1!N63</f>
        <v>0</v>
      </c>
      <c r="M24" s="133">
        <f>Triangulo1!O63</f>
        <v>0</v>
      </c>
      <c r="N24" s="133">
        <f>Triangulo1!P63</f>
        <v>0</v>
      </c>
      <c r="O24" s="133">
        <f>Triangulo1!Q63</f>
        <v>0</v>
      </c>
      <c r="P24" s="133">
        <f>Triangulo1!R63</f>
        <v>0</v>
      </c>
      <c r="Q24" s="133">
        <f>Triangulo1!S63</f>
        <v>0</v>
      </c>
      <c r="R24" s="133">
        <f>Triangulo1!T63</f>
        <v>0</v>
      </c>
      <c r="S24" s="133">
        <f>Triangulo1!U63</f>
        <v>0</v>
      </c>
      <c r="T24" s="133">
        <f>Triangulo1!V63</f>
        <v>0</v>
      </c>
      <c r="U24" s="133">
        <f>Triangulo1!W63</f>
        <v>0</v>
      </c>
      <c r="V24" s="133">
        <f>Triangulo1!X63</f>
        <v>0</v>
      </c>
      <c r="W24" s="133">
        <f>Triangulo1!Y63</f>
        <v>0</v>
      </c>
      <c r="X24" s="133">
        <f>Triangulo1!Z63</f>
        <v>0</v>
      </c>
      <c r="Y24" s="131" t="b">
        <f>MIN(B24:E24)&gt;1</f>
        <v>1</v>
      </c>
      <c r="Z24" s="124" t="b" cm="1">
        <f t="array" ref="Z24">MAX(ABS(AV5:AV25))&gt;0.1</f>
        <v>0</v>
      </c>
      <c r="AC24" s="125">
        <f t="shared" si="1"/>
        <v>-0.32733795459981352</v>
      </c>
      <c r="AD24" s="125">
        <f t="shared" si="2"/>
        <v>-0.12315346002919764</v>
      </c>
      <c r="AE24" s="125">
        <f t="shared" si="3"/>
        <v>1.1003365624157862E-2</v>
      </c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6"/>
    </row>
    <row r="25" spans="1:51" x14ac:dyDescent="0.25">
      <c r="A25" s="41" t="s">
        <v>29</v>
      </c>
      <c r="B25" s="130">
        <f>Triangulo1!D64</f>
        <v>2.3320316702756823</v>
      </c>
      <c r="C25" s="130">
        <f>Triangulo1!E64</f>
        <v>1.4704632523310948</v>
      </c>
      <c r="D25" s="130">
        <f>Triangulo1!F64</f>
        <v>1.2039490929733609</v>
      </c>
      <c r="E25" s="133">
        <f>Triangulo1!G64</f>
        <v>0</v>
      </c>
      <c r="F25" s="133">
        <f>Triangulo1!H64</f>
        <v>0</v>
      </c>
      <c r="G25" s="133">
        <f>Triangulo1!I64</f>
        <v>0</v>
      </c>
      <c r="H25" s="133">
        <f>Triangulo1!J64</f>
        <v>0</v>
      </c>
      <c r="I25" s="133">
        <f>Triangulo1!K64</f>
        <v>0</v>
      </c>
      <c r="J25" s="133">
        <f>Triangulo1!L64</f>
        <v>0</v>
      </c>
      <c r="K25" s="133">
        <f>Triangulo1!M64</f>
        <v>0</v>
      </c>
      <c r="L25" s="133">
        <f>Triangulo1!N64</f>
        <v>0</v>
      </c>
      <c r="M25" s="133">
        <f>Triangulo1!O64</f>
        <v>0</v>
      </c>
      <c r="N25" s="133">
        <f>Triangulo1!P64</f>
        <v>0</v>
      </c>
      <c r="O25" s="133">
        <f>Triangulo1!Q64</f>
        <v>0</v>
      </c>
      <c r="P25" s="133">
        <f>Triangulo1!R64</f>
        <v>0</v>
      </c>
      <c r="Q25" s="133">
        <f>Triangulo1!S64</f>
        <v>0</v>
      </c>
      <c r="R25" s="133">
        <f>Triangulo1!T64</f>
        <v>0</v>
      </c>
      <c r="S25" s="133">
        <f>Triangulo1!U64</f>
        <v>0</v>
      </c>
      <c r="T25" s="133">
        <f>Triangulo1!V64</f>
        <v>0</v>
      </c>
      <c r="U25" s="133">
        <f>Triangulo1!W64</f>
        <v>0</v>
      </c>
      <c r="V25" s="133">
        <f>Triangulo1!X64</f>
        <v>0</v>
      </c>
      <c r="W25" s="133">
        <f>Triangulo1!Y64</f>
        <v>0</v>
      </c>
      <c r="X25" s="133">
        <f>Triangulo1!Z64</f>
        <v>0</v>
      </c>
      <c r="Y25" s="131" t="b">
        <f>MIN(B25:D25)&gt;1</f>
        <v>1</v>
      </c>
      <c r="Z25" s="124" t="b" cm="1">
        <f t="array" ref="Z25">MAX(ABS(AW5:AW24))&gt;0.1</f>
        <v>0</v>
      </c>
      <c r="AC25" s="125">
        <f t="shared" si="1"/>
        <v>0.15085734511362706</v>
      </c>
      <c r="AD25" s="125">
        <f t="shared" si="2"/>
        <v>0.10761301118771886</v>
      </c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6"/>
    </row>
    <row r="26" spans="1:51" x14ac:dyDescent="0.25">
      <c r="A26" s="35" t="s">
        <v>30</v>
      </c>
      <c r="B26" s="132">
        <f>Triangulo1!D65</f>
        <v>1.9802275637769955</v>
      </c>
      <c r="C26" s="132">
        <f>Triangulo1!E65</f>
        <v>1.3122222739068592</v>
      </c>
      <c r="D26" s="133">
        <f>Triangulo1!F65</f>
        <v>0</v>
      </c>
      <c r="E26" s="133">
        <f>Triangulo1!G65</f>
        <v>0</v>
      </c>
      <c r="F26" s="133">
        <f>Triangulo1!H65</f>
        <v>0</v>
      </c>
      <c r="G26" s="133">
        <f>Triangulo1!I65</f>
        <v>0</v>
      </c>
      <c r="H26" s="133">
        <f>Triangulo1!J65</f>
        <v>0</v>
      </c>
      <c r="I26" s="133">
        <f>Triangulo1!K65</f>
        <v>0</v>
      </c>
      <c r="J26" s="133">
        <f>Triangulo1!L65</f>
        <v>0</v>
      </c>
      <c r="K26" s="133">
        <f>Triangulo1!M65</f>
        <v>0</v>
      </c>
      <c r="L26" s="133">
        <f>Triangulo1!N65</f>
        <v>0</v>
      </c>
      <c r="M26" s="133">
        <f>Triangulo1!O65</f>
        <v>0</v>
      </c>
      <c r="N26" s="133">
        <f>Triangulo1!P65</f>
        <v>0</v>
      </c>
      <c r="O26" s="133">
        <f>Triangulo1!Q65</f>
        <v>0</v>
      </c>
      <c r="P26" s="133">
        <f>Triangulo1!R65</f>
        <v>0</v>
      </c>
      <c r="Q26" s="133">
        <f>Triangulo1!S65</f>
        <v>0</v>
      </c>
      <c r="R26" s="133">
        <f>Triangulo1!T65</f>
        <v>0</v>
      </c>
      <c r="S26" s="133">
        <f>Triangulo1!U65</f>
        <v>0</v>
      </c>
      <c r="T26" s="133">
        <f>Triangulo1!V65</f>
        <v>0</v>
      </c>
      <c r="U26" s="133">
        <f>Triangulo1!W65</f>
        <v>0</v>
      </c>
      <c r="V26" s="133">
        <f>Triangulo1!X65</f>
        <v>0</v>
      </c>
      <c r="W26" s="133">
        <f>Triangulo1!Y65</f>
        <v>0</v>
      </c>
      <c r="X26" s="133">
        <f>Triangulo1!Z65</f>
        <v>0</v>
      </c>
      <c r="Y26" s="131" t="b">
        <f>MIN(B26:C26)&gt;1</f>
        <v>1</v>
      </c>
      <c r="Z26" s="124" t="b">
        <f>MAX(ABS(AX5))&gt;0.1</f>
        <v>0</v>
      </c>
      <c r="AC26" s="125">
        <f t="shared" si="1"/>
        <v>4.4462410203001006E-2</v>
      </c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6"/>
    </row>
    <row r="27" spans="1:51" x14ac:dyDescent="0.25">
      <c r="A27" s="41" t="s">
        <v>31</v>
      </c>
      <c r="B27" s="130">
        <f>Triangulo1!D66</f>
        <v>1.8921818735410534</v>
      </c>
      <c r="C27" s="133">
        <f>Triangulo1!E66</f>
        <v>0</v>
      </c>
      <c r="D27" s="133">
        <f>Triangulo1!F66</f>
        <v>0</v>
      </c>
      <c r="E27" s="133">
        <f>Triangulo1!G66</f>
        <v>0</v>
      </c>
      <c r="F27" s="133">
        <f>Triangulo1!H66</f>
        <v>0</v>
      </c>
      <c r="G27" s="133">
        <f>Triangulo1!I66</f>
        <v>0</v>
      </c>
      <c r="H27" s="133">
        <f>Triangulo1!J66</f>
        <v>0</v>
      </c>
      <c r="I27" s="133">
        <f>Triangulo1!K66</f>
        <v>0</v>
      </c>
      <c r="J27" s="133">
        <f>Triangulo1!L66</f>
        <v>0</v>
      </c>
      <c r="K27" s="133">
        <f>Triangulo1!M66</f>
        <v>0</v>
      </c>
      <c r="L27" s="133">
        <f>Triangulo1!N66</f>
        <v>0</v>
      </c>
      <c r="M27" s="133">
        <f>Triangulo1!O66</f>
        <v>0</v>
      </c>
      <c r="N27" s="133">
        <f>Triangulo1!P66</f>
        <v>0</v>
      </c>
      <c r="O27" s="133">
        <f>Triangulo1!Q66</f>
        <v>0</v>
      </c>
      <c r="P27" s="133">
        <f>Triangulo1!R66</f>
        <v>0</v>
      </c>
      <c r="Q27" s="133">
        <f>Triangulo1!S66</f>
        <v>0</v>
      </c>
      <c r="R27" s="133">
        <f>Triangulo1!T66</f>
        <v>0</v>
      </c>
      <c r="S27" s="133">
        <f>Triangulo1!U66</f>
        <v>0</v>
      </c>
      <c r="T27" s="133">
        <f>Triangulo1!V66</f>
        <v>0</v>
      </c>
      <c r="U27" s="133">
        <f>Triangulo1!W66</f>
        <v>0</v>
      </c>
      <c r="V27" s="133">
        <f>Triangulo1!X66</f>
        <v>0</v>
      </c>
      <c r="W27" s="133">
        <f>Triangulo1!Y66</f>
        <v>0</v>
      </c>
      <c r="X27" s="133">
        <f>Triangulo1!Z66</f>
        <v>0</v>
      </c>
      <c r="Y27" s="131" t="b">
        <f>MIN(B27:B27)&gt;1</f>
        <v>1</v>
      </c>
      <c r="Z27" s="124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6"/>
    </row>
    <row r="28" spans="1:51" x14ac:dyDescent="0.25">
      <c r="A28" s="35" t="s">
        <v>32</v>
      </c>
      <c r="B28" s="133"/>
      <c r="C28" s="133">
        <f>Triangulo1!E67</f>
        <v>0</v>
      </c>
      <c r="D28" s="133">
        <f>Triangulo1!F67</f>
        <v>0</v>
      </c>
      <c r="E28" s="133">
        <f>Triangulo1!G67</f>
        <v>0</v>
      </c>
      <c r="F28" s="133">
        <f>Triangulo1!H67</f>
        <v>0</v>
      </c>
      <c r="G28" s="133">
        <f>Triangulo1!I67</f>
        <v>0</v>
      </c>
      <c r="H28" s="133">
        <f>Triangulo1!J67</f>
        <v>0</v>
      </c>
      <c r="I28" s="133">
        <f>Triangulo1!K67</f>
        <v>0</v>
      </c>
      <c r="J28" s="133">
        <f>Triangulo1!L67</f>
        <v>0</v>
      </c>
      <c r="K28" s="133">
        <f>Triangulo1!M67</f>
        <v>0</v>
      </c>
      <c r="L28" s="133">
        <f>Triangulo1!N67</f>
        <v>0</v>
      </c>
      <c r="M28" s="133">
        <f>Triangulo1!O67</f>
        <v>0</v>
      </c>
      <c r="N28" s="133">
        <f>Triangulo1!P67</f>
        <v>0</v>
      </c>
      <c r="O28" s="133">
        <f>Triangulo1!Q67</f>
        <v>0</v>
      </c>
      <c r="P28" s="133">
        <f>Triangulo1!R67</f>
        <v>0</v>
      </c>
      <c r="Q28" s="133">
        <f>Triangulo1!S67</f>
        <v>0</v>
      </c>
      <c r="R28" s="133">
        <f>Triangulo1!T67</f>
        <v>0</v>
      </c>
      <c r="S28" s="133">
        <f>Triangulo1!U67</f>
        <v>0</v>
      </c>
      <c r="T28" s="133">
        <f>Triangulo1!V67</f>
        <v>0</v>
      </c>
      <c r="U28" s="133">
        <f>Triangulo1!W67</f>
        <v>0</v>
      </c>
      <c r="V28" s="133">
        <f>Triangulo1!X67</f>
        <v>0</v>
      </c>
      <c r="W28" s="133">
        <f>Triangulo1!Y67</f>
        <v>0</v>
      </c>
      <c r="X28" s="133">
        <f>Triangulo1!Z67</f>
        <v>0</v>
      </c>
      <c r="Y28" s="133"/>
      <c r="Z28" s="127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6"/>
    </row>
    <row r="29" spans="1:51" x14ac:dyDescent="0.25">
      <c r="B29" s="28">
        <f>'1_CL'!C30</f>
        <v>2.1469743178085405</v>
      </c>
      <c r="C29" s="28">
        <f>'1_CL'!D30</f>
        <v>1.3475033729698969</v>
      </c>
      <c r="D29" s="28">
        <f>'1_CL'!E30</f>
        <v>1.245842143220341</v>
      </c>
      <c r="E29" s="28">
        <f>'1_CL'!F30</f>
        <v>1.1619344109197116</v>
      </c>
      <c r="F29" s="28">
        <f>'1_CL'!G30</f>
        <v>1.1042248311428209</v>
      </c>
      <c r="G29" s="28">
        <f>'1_CL'!H30</f>
        <v>1.1121613312682059</v>
      </c>
      <c r="H29" s="28">
        <f>'1_CL'!I30</f>
        <v>1.0564418803131088</v>
      </c>
      <c r="I29" s="28">
        <f>'1_CL'!J30</f>
        <v>1.0286062858582918</v>
      </c>
      <c r="J29" s="28">
        <f>'1_CL'!K30</f>
        <v>1.0155861850347698</v>
      </c>
      <c r="K29" s="28">
        <f>'1_CL'!L30</f>
        <v>1.0080991162324702</v>
      </c>
      <c r="L29" s="28">
        <f>'1_CL'!M30</f>
        <v>1.0038616965180895</v>
      </c>
      <c r="M29" s="28">
        <f>'1_CL'!N30</f>
        <v>1.0022524789263829</v>
      </c>
      <c r="N29" s="28">
        <f>'1_CL'!O30</f>
        <v>1.0011360935367282</v>
      </c>
      <c r="O29" s="28">
        <f>'1_CL'!P30</f>
        <v>1.0005890309091159</v>
      </c>
      <c r="P29" s="28">
        <f>'1_CL'!Q30</f>
        <v>1.0003076143784837</v>
      </c>
      <c r="Q29" s="28">
        <f>'1_CL'!R30</f>
        <v>1.0001400258321513</v>
      </c>
      <c r="R29" s="28">
        <f>'1_CL'!S30</f>
        <v>1.0000689259420603</v>
      </c>
      <c r="S29" s="28">
        <f>'1_CL'!T30</f>
        <v>1.0000326172228817</v>
      </c>
      <c r="T29" s="28">
        <f>'1_CL'!U30</f>
        <v>1.0000097065250659</v>
      </c>
      <c r="U29" s="28">
        <f>'1_CL'!V30</f>
        <v>1.0000030248983931</v>
      </c>
      <c r="V29" s="28">
        <f>'1_CL'!W30</f>
        <v>1.0000011501423054</v>
      </c>
      <c r="W29" s="28">
        <f>'1_CL'!X30</f>
        <v>1.0000005853244556</v>
      </c>
      <c r="X29" s="28">
        <f>'1_CL'!Y30</f>
        <v>1.0000010865602078</v>
      </c>
    </row>
    <row r="31" spans="1:51" x14ac:dyDescent="0.25">
      <c r="A31" s="148" t="s">
        <v>207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</row>
    <row r="32" spans="1:51" x14ac:dyDescent="0.25">
      <c r="A32" s="107" t="s">
        <v>208</v>
      </c>
      <c r="B32" s="107" t="s">
        <v>209</v>
      </c>
      <c r="C32" s="107" t="s">
        <v>210</v>
      </c>
      <c r="D32" s="107" t="s">
        <v>211</v>
      </c>
      <c r="E32" s="107" t="s">
        <v>212</v>
      </c>
    </row>
    <row r="33" spans="1:28" x14ac:dyDescent="0.25">
      <c r="A33" s="128" t="str" cm="1">
        <f t="array" ref="A33:A55">TRANSPOSE(B4:X4)</f>
        <v>D1/D0</v>
      </c>
      <c r="B33" s="124" cm="1">
        <f t="array" ref="B33:B55">TRANSPOSE(B29:X29)</f>
        <v>2.1469743178085405</v>
      </c>
      <c r="C33" s="124">
        <f t="shared" ref="C33:C45" si="22">B33*0.8</f>
        <v>1.7175794542468326</v>
      </c>
      <c r="D33" s="124">
        <f>B33*1.2</f>
        <v>2.5763691813702487</v>
      </c>
      <c r="E33" s="124" t="str">
        <f t="shared" ref="E33:E45" si="23">IF(F33, "No", "Sí")</f>
        <v>Sí</v>
      </c>
      <c r="F33" s="28" t="b">
        <f>AND(MIN($B$5:$B$27)&gt;=$C$33,MAX($B$5:$B$27)&lt;=$D$33)</f>
        <v>0</v>
      </c>
    </row>
    <row r="34" spans="1:28" x14ac:dyDescent="0.25">
      <c r="A34" s="128" t="str">
        <v>D2/D1</v>
      </c>
      <c r="B34" s="124">
        <v>1.3475033729698969</v>
      </c>
      <c r="C34" s="124">
        <f t="shared" si="22"/>
        <v>1.0780026983759174</v>
      </c>
      <c r="D34" s="124">
        <f t="shared" ref="D34:D45" si="24">B34*1.2</f>
        <v>1.6170040475638763</v>
      </c>
      <c r="E34" s="124" t="str">
        <f t="shared" si="23"/>
        <v>Sí</v>
      </c>
      <c r="F34" s="28" t="b">
        <f>AND(MIN($C$5:$C$26)&gt;=$C$34,MAX($C$5:$C$26)&lt;=$D$34)</f>
        <v>0</v>
      </c>
    </row>
    <row r="35" spans="1:28" x14ac:dyDescent="0.25">
      <c r="A35" s="128" t="str">
        <v>D3/D2</v>
      </c>
      <c r="B35" s="124">
        <v>1.245842143220341</v>
      </c>
      <c r="C35" s="124">
        <f t="shared" si="22"/>
        <v>0.99667371457627285</v>
      </c>
      <c r="D35" s="124">
        <f t="shared" si="24"/>
        <v>1.4950105718644091</v>
      </c>
      <c r="E35" s="124" t="str">
        <f t="shared" si="23"/>
        <v>No</v>
      </c>
      <c r="F35" s="28" t="b">
        <f>AND(MIN($D$5:$D$25)&gt;=$C$35,MAX($D$5:$D$25)&lt;=$D$35)</f>
        <v>1</v>
      </c>
    </row>
    <row r="36" spans="1:28" x14ac:dyDescent="0.25">
      <c r="A36" s="128" t="str">
        <v>D4/D3</v>
      </c>
      <c r="B36" s="124">
        <v>1.1619344109197116</v>
      </c>
      <c r="C36" s="124">
        <f t="shared" si="22"/>
        <v>0.92954752873576929</v>
      </c>
      <c r="D36" s="124">
        <f t="shared" si="24"/>
        <v>1.3943212931036539</v>
      </c>
      <c r="E36" s="124" t="str">
        <f t="shared" si="23"/>
        <v>No</v>
      </c>
      <c r="F36" s="28" t="b">
        <f>AND(MIN($E$5:$E$24)&gt;=$C$36,MAX($E$5:$E$24)&lt;=$D$36)</f>
        <v>1</v>
      </c>
    </row>
    <row r="37" spans="1:28" x14ac:dyDescent="0.25">
      <c r="A37" s="128" t="str">
        <v>D5/D4</v>
      </c>
      <c r="B37" s="124">
        <v>1.1042248311428209</v>
      </c>
      <c r="C37" s="124">
        <f t="shared" si="22"/>
        <v>0.8833798649142568</v>
      </c>
      <c r="D37" s="124">
        <f t="shared" si="24"/>
        <v>1.325069797371385</v>
      </c>
      <c r="E37" s="124" t="str">
        <f t="shared" si="23"/>
        <v>No</v>
      </c>
      <c r="F37" s="28" t="b">
        <f>AND(MIN($F$5:$F$23)&gt;=C37,MAX($F$5:$F$23)&lt;=D37)</f>
        <v>1</v>
      </c>
    </row>
    <row r="38" spans="1:28" x14ac:dyDescent="0.25">
      <c r="A38" s="128" t="str">
        <v>D6/D5</v>
      </c>
      <c r="B38" s="124">
        <v>1.1121613312682059</v>
      </c>
      <c r="C38" s="124">
        <f t="shared" si="22"/>
        <v>0.88972906501456483</v>
      </c>
      <c r="D38" s="124">
        <f t="shared" si="24"/>
        <v>1.334593597521847</v>
      </c>
      <c r="E38" s="124" t="str">
        <f t="shared" si="23"/>
        <v>No</v>
      </c>
      <c r="F38" s="28" t="b">
        <f>AND(MIN($G$5:$G$22)&gt;=C38,MAX($G$5:$G$22)&lt;=D38)</f>
        <v>1</v>
      </c>
    </row>
    <row r="39" spans="1:28" x14ac:dyDescent="0.25">
      <c r="A39" s="128" t="str">
        <v>D7/D6</v>
      </c>
      <c r="B39" s="124">
        <v>1.0564418803131088</v>
      </c>
      <c r="C39" s="124">
        <f t="shared" si="22"/>
        <v>0.84515350425048708</v>
      </c>
      <c r="D39" s="124">
        <f t="shared" si="24"/>
        <v>1.2677302563757304</v>
      </c>
      <c r="E39" s="124" t="str">
        <f t="shared" si="23"/>
        <v>Sí</v>
      </c>
      <c r="F39" s="28" t="b">
        <f>AND(MIN($H$5:$H$21)&gt;=C39,MAX($H$5:$H$21)&lt;=D39)</f>
        <v>0</v>
      </c>
    </row>
    <row r="40" spans="1:28" x14ac:dyDescent="0.25">
      <c r="A40" s="128" t="str">
        <v>D8/D7</v>
      </c>
      <c r="B40" s="124">
        <v>1.0286062858582918</v>
      </c>
      <c r="C40" s="124">
        <f t="shared" si="22"/>
        <v>0.82288502868663349</v>
      </c>
      <c r="D40" s="124">
        <f t="shared" si="24"/>
        <v>1.2343275430299501</v>
      </c>
      <c r="E40" s="124" t="str">
        <f t="shared" si="23"/>
        <v>No</v>
      </c>
      <c r="F40" s="28" t="b">
        <f>AND(MIN($I$5:$I$20)&gt;=C40,MAX($I$5:$I$20)&lt;=D40)</f>
        <v>1</v>
      </c>
    </row>
    <row r="41" spans="1:28" x14ac:dyDescent="0.25">
      <c r="A41" s="128" t="str">
        <v>D9/D8</v>
      </c>
      <c r="B41" s="124">
        <v>1.0155861850347698</v>
      </c>
      <c r="C41" s="124">
        <f t="shared" si="22"/>
        <v>0.81246894802781588</v>
      </c>
      <c r="D41" s="124">
        <f t="shared" si="24"/>
        <v>1.2187034220417237</v>
      </c>
      <c r="E41" s="124" t="str">
        <f t="shared" si="23"/>
        <v>No</v>
      </c>
      <c r="F41" s="28" t="b">
        <f>AND(MIN($J$5:$J$19)&gt;=C41,MAX($J$5:$J$19)&lt;=D41)</f>
        <v>1</v>
      </c>
    </row>
    <row r="42" spans="1:28" x14ac:dyDescent="0.25">
      <c r="A42" s="128" t="str">
        <v>D10/D9</v>
      </c>
      <c r="B42" s="124">
        <v>1.0080991162324702</v>
      </c>
      <c r="C42" s="124">
        <f t="shared" si="22"/>
        <v>0.8064792929859762</v>
      </c>
      <c r="D42" s="124">
        <f t="shared" si="24"/>
        <v>1.2097189394789643</v>
      </c>
      <c r="E42" s="124" t="str">
        <f t="shared" si="23"/>
        <v>No</v>
      </c>
      <c r="F42" s="28" t="b">
        <f>AND(MIN($K$5:$K$18)&gt;=C42,MAX($K$5:$K$18)&lt;=D42)</f>
        <v>1</v>
      </c>
    </row>
    <row r="43" spans="1:28" x14ac:dyDescent="0.25">
      <c r="A43" s="128" t="str">
        <v>D11/D10</v>
      </c>
      <c r="B43" s="124">
        <v>1.0038616965180895</v>
      </c>
      <c r="C43" s="124">
        <f t="shared" si="22"/>
        <v>0.80308935721447172</v>
      </c>
      <c r="D43" s="124">
        <f t="shared" si="24"/>
        <v>1.2046340358217074</v>
      </c>
      <c r="E43" s="124" t="str">
        <f t="shared" si="23"/>
        <v>No</v>
      </c>
      <c r="F43" s="28" t="b">
        <f>AND(MIN($L$5:$L$17)&gt;=C43,MAX($L$5:$L$17)&lt;=D43)</f>
        <v>1</v>
      </c>
    </row>
    <row r="44" spans="1:28" x14ac:dyDescent="0.25">
      <c r="A44" s="128" t="str">
        <v>D12/D11</v>
      </c>
      <c r="B44" s="124">
        <v>1.0022524789263829</v>
      </c>
      <c r="C44" s="124">
        <f t="shared" si="22"/>
        <v>0.8018019831411064</v>
      </c>
      <c r="D44" s="124">
        <f t="shared" si="24"/>
        <v>1.2027029747116595</v>
      </c>
      <c r="E44" s="124" t="str">
        <f t="shared" si="23"/>
        <v>No</v>
      </c>
      <c r="F44" s="28" t="b">
        <f>AND(MIN($M$5:$M$16)&gt;=C44,MAX($M$5:$M$16)&lt;=D44)</f>
        <v>1</v>
      </c>
    </row>
    <row r="45" spans="1:28" x14ac:dyDescent="0.25">
      <c r="A45" s="128" t="str">
        <v>D13/D12</v>
      </c>
      <c r="B45" s="124">
        <v>1.0011360935367282</v>
      </c>
      <c r="C45" s="124">
        <f t="shared" si="22"/>
        <v>0.80090887482938256</v>
      </c>
      <c r="D45" s="124">
        <f t="shared" si="24"/>
        <v>1.2013633122440737</v>
      </c>
      <c r="E45" s="124" t="str">
        <f t="shared" si="23"/>
        <v>No</v>
      </c>
      <c r="F45" s="28" t="b">
        <f>AND(MIN($N$5:$N$15)&gt;=C45,MAX($N$5:$N$15)&lt;=D45)</f>
        <v>1</v>
      </c>
    </row>
    <row r="46" spans="1:28" x14ac:dyDescent="0.25">
      <c r="A46" s="128" t="str">
        <v>D14/D13</v>
      </c>
      <c r="B46" s="124">
        <v>1.0005890309091159</v>
      </c>
      <c r="C46" s="124">
        <f>B46*0.8</f>
        <v>0.80047122472729271</v>
      </c>
      <c r="D46" s="124">
        <f>B46*1.2</f>
        <v>1.2007068370909391</v>
      </c>
      <c r="E46" s="124" t="str">
        <f>IF(F46, "No", "Sí")</f>
        <v>No</v>
      </c>
      <c r="F46" s="28" t="b">
        <f>AND(MIN($O$5:$O$14)&gt;=C46,MAX($O$5:$O$14)&lt;=D46)</f>
        <v>1</v>
      </c>
    </row>
    <row r="47" spans="1:28" x14ac:dyDescent="0.25">
      <c r="A47" s="128" t="str">
        <v>D15/D14</v>
      </c>
      <c r="B47" s="124">
        <v>1.0003076143784837</v>
      </c>
      <c r="C47" s="124">
        <f t="shared" ref="C47:C55" si="25">B47*0.8</f>
        <v>0.80024609150278703</v>
      </c>
      <c r="D47" s="124">
        <f t="shared" ref="D47:D55" si="26">B47*1.2</f>
        <v>1.2003691372541805</v>
      </c>
      <c r="E47" s="124" t="str">
        <f>IF(F47, "No", "Sí")</f>
        <v>No</v>
      </c>
      <c r="F47" s="28" t="b">
        <f>AND(MIN($P$5:$P$13)&gt;=C47,MAX($P$5:$P$13)&lt;=D47)</f>
        <v>1</v>
      </c>
      <c r="I47" s="129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x14ac:dyDescent="0.25">
      <c r="A48" s="128" t="str">
        <v>D16/D15</v>
      </c>
      <c r="B48" s="124">
        <v>1.0001400258321513</v>
      </c>
      <c r="C48" s="124">
        <f t="shared" si="25"/>
        <v>0.80011202066572107</v>
      </c>
      <c r="D48" s="124">
        <f t="shared" si="26"/>
        <v>1.2001680309985816</v>
      </c>
      <c r="E48" s="124" t="str">
        <f t="shared" ref="E48:E55" si="27">IF(F48, "No", "Sí")</f>
        <v>No</v>
      </c>
      <c r="F48" s="28" t="b">
        <f>AND(MIN($Q$5:$Q$12)&gt;=C48,MAX($Q$5:$Q$12)&lt;=D48)</f>
        <v>1</v>
      </c>
    </row>
    <row r="49" spans="1:37" x14ac:dyDescent="0.25">
      <c r="A49" s="128" t="str">
        <v>D17/D16</v>
      </c>
      <c r="B49" s="124">
        <v>1.0000689259420603</v>
      </c>
      <c r="C49" s="124">
        <f t="shared" si="25"/>
        <v>0.80005514075364825</v>
      </c>
      <c r="D49" s="124">
        <f t="shared" si="26"/>
        <v>1.2000827111304724</v>
      </c>
      <c r="E49" s="124" t="str">
        <f t="shared" si="27"/>
        <v>No</v>
      </c>
      <c r="F49" s="28" t="b">
        <f>AND(MIN($R$5:$R$11)&gt;=C49,MAX($R$5:$R$11)&lt;=D49)</f>
        <v>1</v>
      </c>
    </row>
    <row r="50" spans="1:37" x14ac:dyDescent="0.25">
      <c r="A50" s="128" t="str">
        <v>D18/D17</v>
      </c>
      <c r="B50" s="124">
        <v>1.0000326172228817</v>
      </c>
      <c r="C50" s="124">
        <f t="shared" si="25"/>
        <v>0.80002609377830547</v>
      </c>
      <c r="D50" s="124">
        <f t="shared" si="26"/>
        <v>1.200039140667458</v>
      </c>
      <c r="E50" s="124" t="str">
        <f t="shared" si="27"/>
        <v>No</v>
      </c>
      <c r="F50" s="28" t="b">
        <f>AND(MIN($S$5:$S$10)&gt;=C50,MAX($S$5:$S$10)&lt;=D50)</f>
        <v>1</v>
      </c>
    </row>
    <row r="51" spans="1:37" x14ac:dyDescent="0.25">
      <c r="A51" s="128" t="str">
        <v>D19/D18</v>
      </c>
      <c r="B51" s="124">
        <v>1.0000097065250659</v>
      </c>
      <c r="C51" s="124">
        <f t="shared" si="25"/>
        <v>0.80000776522005279</v>
      </c>
      <c r="D51" s="124">
        <f t="shared" si="26"/>
        <v>1.2000116478300791</v>
      </c>
      <c r="E51" s="124" t="str">
        <f t="shared" si="27"/>
        <v>No</v>
      </c>
      <c r="F51" s="28" t="b">
        <f>AND(MIN($T$5:$T$9)&gt;=C51,MAX($T$5:$T$9)&lt;=D51)</f>
        <v>1</v>
      </c>
    </row>
    <row r="52" spans="1:37" x14ac:dyDescent="0.25">
      <c r="A52" s="128" t="str">
        <v>D20/D19</v>
      </c>
      <c r="B52" s="124">
        <v>1.0000030248983931</v>
      </c>
      <c r="C52" s="124">
        <f t="shared" si="25"/>
        <v>0.80000241991871457</v>
      </c>
      <c r="D52" s="124">
        <f t="shared" si="26"/>
        <v>1.2000036298780716</v>
      </c>
      <c r="E52" s="124" t="str">
        <f t="shared" si="27"/>
        <v>No</v>
      </c>
      <c r="F52" s="28" t="b">
        <f>AND(MIN($U$5:$U$8)&gt;=C52,MAX($U$5:$U$8)&lt;=D52)</f>
        <v>1</v>
      </c>
    </row>
    <row r="53" spans="1:37" x14ac:dyDescent="0.25">
      <c r="A53" s="128" t="str">
        <v>D21/D20</v>
      </c>
      <c r="B53" s="124">
        <v>1.0000011501423054</v>
      </c>
      <c r="C53" s="124">
        <f t="shared" si="25"/>
        <v>0.80000092011384438</v>
      </c>
      <c r="D53" s="124">
        <f t="shared" si="26"/>
        <v>1.2000013801707665</v>
      </c>
      <c r="E53" s="124" t="str">
        <f t="shared" si="27"/>
        <v>No</v>
      </c>
      <c r="F53" s="28" t="b">
        <f>AND(MIN($V$5:$V$7)&gt;=C53,MAX($V$5:$V$7)&lt;=D53)</f>
        <v>1</v>
      </c>
    </row>
    <row r="54" spans="1:37" x14ac:dyDescent="0.25">
      <c r="A54" s="128" t="str">
        <v>D22/D21</v>
      </c>
      <c r="B54" s="124">
        <v>1.0000005853244556</v>
      </c>
      <c r="C54" s="124">
        <f t="shared" si="25"/>
        <v>0.8000004682595645</v>
      </c>
      <c r="D54" s="124">
        <f t="shared" si="26"/>
        <v>1.2000007023893466</v>
      </c>
      <c r="E54" s="124" t="str">
        <f t="shared" si="27"/>
        <v>No</v>
      </c>
      <c r="F54" s="28" t="b">
        <f>AND(MIN($W$5:$W$6)&gt;=C54,MAX($W$5:$W$6)&lt;=D54)</f>
        <v>1</v>
      </c>
    </row>
    <row r="55" spans="1:37" x14ac:dyDescent="0.25">
      <c r="A55" s="128" t="str">
        <v>D23/D22</v>
      </c>
      <c r="B55" s="124">
        <v>1.0000010865602078</v>
      </c>
      <c r="C55" s="124">
        <f t="shared" si="25"/>
        <v>0.80000086924816627</v>
      </c>
      <c r="D55" s="124">
        <f t="shared" si="26"/>
        <v>1.2000013038722492</v>
      </c>
      <c r="E55" s="124" t="str">
        <f t="shared" si="27"/>
        <v>No</v>
      </c>
      <c r="F55" s="28" t="b">
        <f>AND(MIN($X$5:$X$5)&gt;=C55,MAX($X$5:$X$5)&lt;=D55)</f>
        <v>1</v>
      </c>
    </row>
    <row r="56" spans="1:37" ht="21.75" customHeight="1" x14ac:dyDescent="0.25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</row>
    <row r="57" spans="1:37" ht="15" customHeight="1" x14ac:dyDescent="0.25">
      <c r="Z57" s="142"/>
      <c r="AA57" s="142"/>
      <c r="AB57" s="142"/>
      <c r="AC57" s="142"/>
      <c r="AD57" s="142"/>
      <c r="AE57" s="142"/>
    </row>
    <row r="58" spans="1:37" ht="15" customHeight="1" x14ac:dyDescent="0.25">
      <c r="A58" s="171" t="s">
        <v>240</v>
      </c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7" t="s">
        <v>243</v>
      </c>
      <c r="AA58" s="167"/>
      <c r="AB58" s="167"/>
      <c r="AC58" s="167"/>
      <c r="AD58" s="167"/>
      <c r="AE58" s="167"/>
      <c r="AF58" s="167" t="s">
        <v>244</v>
      </c>
      <c r="AG58" s="167"/>
      <c r="AH58" s="167"/>
      <c r="AI58" s="167"/>
      <c r="AJ58" s="167"/>
      <c r="AK58" s="167"/>
    </row>
    <row r="59" spans="1:37" x14ac:dyDescent="0.25">
      <c r="A59" s="173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</row>
    <row r="60" spans="1:37" ht="22.5" x14ac:dyDescent="0.25">
      <c r="A60" s="107" t="s">
        <v>213</v>
      </c>
      <c r="B60" s="30" t="s">
        <v>55</v>
      </c>
      <c r="C60" s="30" t="s">
        <v>56</v>
      </c>
      <c r="D60" s="30" t="s">
        <v>57</v>
      </c>
      <c r="E60" s="30" t="s">
        <v>58</v>
      </c>
      <c r="F60" s="30" t="s">
        <v>59</v>
      </c>
      <c r="G60" s="30" t="s">
        <v>60</v>
      </c>
      <c r="H60" s="30" t="s">
        <v>61</v>
      </c>
      <c r="I60" s="30" t="s">
        <v>62</v>
      </c>
      <c r="J60" s="30" t="s">
        <v>63</v>
      </c>
      <c r="K60" s="30" t="s">
        <v>64</v>
      </c>
      <c r="L60" s="30" t="s">
        <v>65</v>
      </c>
      <c r="M60" s="30" t="s">
        <v>66</v>
      </c>
      <c r="N60" s="30" t="s">
        <v>67</v>
      </c>
      <c r="O60" s="30" t="s">
        <v>68</v>
      </c>
      <c r="P60" s="30" t="s">
        <v>69</v>
      </c>
      <c r="Q60" s="30" t="s">
        <v>70</v>
      </c>
      <c r="R60" s="30" t="s">
        <v>71</v>
      </c>
      <c r="S60" s="30" t="s">
        <v>72</v>
      </c>
      <c r="T60" s="30" t="s">
        <v>73</v>
      </c>
      <c r="U60" s="30" t="s">
        <v>74</v>
      </c>
      <c r="V60" s="30" t="s">
        <v>75</v>
      </c>
      <c r="W60" s="30" t="s">
        <v>76</v>
      </c>
      <c r="X60" s="30" t="s">
        <v>77</v>
      </c>
      <c r="Y60" s="30" t="s">
        <v>78</v>
      </c>
      <c r="Z60" s="31" t="s">
        <v>79</v>
      </c>
      <c r="AA60" s="32" t="s">
        <v>80</v>
      </c>
      <c r="AB60" s="33" t="s">
        <v>239</v>
      </c>
      <c r="AC60" s="139" t="s">
        <v>81</v>
      </c>
      <c r="AD60" s="139" t="s">
        <v>241</v>
      </c>
      <c r="AE60" s="139" t="s">
        <v>242</v>
      </c>
      <c r="AF60" s="31" t="s">
        <v>79</v>
      </c>
      <c r="AG60" s="32" t="s">
        <v>80</v>
      </c>
      <c r="AH60" s="33" t="s">
        <v>239</v>
      </c>
      <c r="AI60" s="139" t="s">
        <v>81</v>
      </c>
      <c r="AJ60" s="139" t="s">
        <v>241</v>
      </c>
      <c r="AK60" s="139" t="s">
        <v>242</v>
      </c>
    </row>
    <row r="61" spans="1:37" x14ac:dyDescent="0.25">
      <c r="A61" s="41" t="s">
        <v>8</v>
      </c>
      <c r="B61" s="42">
        <f>'1_CL'!C4</f>
        <v>0</v>
      </c>
      <c r="C61" s="42">
        <f>'1_CL'!D4</f>
        <v>0</v>
      </c>
      <c r="D61" s="42">
        <f>'1_CL'!E4</f>
        <v>0</v>
      </c>
      <c r="E61" s="42">
        <f>'1_CL'!F4</f>
        <v>0</v>
      </c>
      <c r="F61" s="42">
        <f>'1_CL'!G4</f>
        <v>0</v>
      </c>
      <c r="G61" s="42">
        <f>'1_CL'!H4</f>
        <v>0</v>
      </c>
      <c r="H61" s="42">
        <f>'1_CL'!I4</f>
        <v>0</v>
      </c>
      <c r="I61" s="42">
        <f>'1_CL'!J4</f>
        <v>0</v>
      </c>
      <c r="J61" s="42">
        <f>'1_CL'!K4</f>
        <v>0</v>
      </c>
      <c r="K61" s="42">
        <f>'1_CL'!L4</f>
        <v>0</v>
      </c>
      <c r="L61" s="42">
        <f>'1_CL'!M4</f>
        <v>0</v>
      </c>
      <c r="M61" s="42">
        <f>'1_CL'!N4</f>
        <v>0</v>
      </c>
      <c r="N61" s="42">
        <f>'1_CL'!O4</f>
        <v>0</v>
      </c>
      <c r="O61" s="42">
        <f>'1_CL'!P4</f>
        <v>0</v>
      </c>
      <c r="P61" s="42">
        <f>'1_CL'!Q4</f>
        <v>0</v>
      </c>
      <c r="Q61" s="42">
        <f>'1_CL'!R4</f>
        <v>14721902</v>
      </c>
      <c r="R61" s="42">
        <f>'1_CL'!S4</f>
        <v>14723975</v>
      </c>
      <c r="S61" s="42">
        <f>'1_CL'!T4</f>
        <v>14724778</v>
      </c>
      <c r="T61" s="42">
        <f>'1_CL'!U4</f>
        <v>14725216</v>
      </c>
      <c r="U61" s="42">
        <f>'1_CL'!V4</f>
        <v>14725343</v>
      </c>
      <c r="V61" s="42">
        <f>'1_CL'!W4</f>
        <v>14725356</v>
      </c>
      <c r="W61" s="42">
        <f>'1_CL'!X4</f>
        <v>14725361</v>
      </c>
      <c r="X61" s="42">
        <f>'1_CL'!Y4</f>
        <v>14725369</v>
      </c>
      <c r="Y61" s="37">
        <f>'1_CL'!Z4</f>
        <v>14725385</v>
      </c>
      <c r="Z61" s="43">
        <f t="shared" ref="Z61:Z75" si="28">+Y61</f>
        <v>14725385</v>
      </c>
      <c r="AA61" s="39">
        <f>+Y61</f>
        <v>14725385</v>
      </c>
      <c r="AB61" s="138">
        <f>Z61-AA61</f>
        <v>0</v>
      </c>
      <c r="AC61" s="140">
        <f>'1_CL'!AC4</f>
        <v>0</v>
      </c>
      <c r="AD61" s="140">
        <f t="shared" ref="AD61:AD68" si="29">AC61-AB61</f>
        <v>0</v>
      </c>
      <c r="AE61" s="141" t="str">
        <f t="shared" ref="AE61:AE68" si="30">IF(AD61=0,"No hay cambio",IF(AD61&gt;0,"Sobreestimando la reserva","Subestimando la reserva"))</f>
        <v>No hay cambio</v>
      </c>
      <c r="AF61" s="43">
        <f t="shared" ref="AF61:AF68" si="31">Y61</f>
        <v>14725385</v>
      </c>
      <c r="AG61" s="39">
        <f>Y61</f>
        <v>14725385</v>
      </c>
      <c r="AH61" s="138">
        <f>AF61-AG61</f>
        <v>0</v>
      </c>
      <c r="AI61" s="43">
        <f>'1_CL'!Z4-AG61</f>
        <v>0</v>
      </c>
      <c r="AJ61" s="140"/>
      <c r="AK61" s="141"/>
    </row>
    <row r="62" spans="1:37" x14ac:dyDescent="0.25">
      <c r="A62" s="35" t="s">
        <v>9</v>
      </c>
      <c r="B62" s="36">
        <f>'1_CL'!C5</f>
        <v>0</v>
      </c>
      <c r="C62" s="36">
        <f>'1_CL'!D5</f>
        <v>0</v>
      </c>
      <c r="D62" s="36">
        <f>'1_CL'!E5</f>
        <v>0</v>
      </c>
      <c r="E62" s="36">
        <f>'1_CL'!F5</f>
        <v>0</v>
      </c>
      <c r="F62" s="36">
        <f>'1_CL'!G5</f>
        <v>0</v>
      </c>
      <c r="G62" s="36">
        <f>'1_CL'!H5</f>
        <v>0</v>
      </c>
      <c r="H62" s="36">
        <f>'1_CL'!I5</f>
        <v>0</v>
      </c>
      <c r="I62" s="36">
        <f>'1_CL'!J5</f>
        <v>0</v>
      </c>
      <c r="J62" s="36">
        <f>'1_CL'!K5</f>
        <v>0</v>
      </c>
      <c r="K62" s="36">
        <f>'1_CL'!L5</f>
        <v>0</v>
      </c>
      <c r="L62" s="36">
        <f>'1_CL'!M5</f>
        <v>0</v>
      </c>
      <c r="M62" s="36">
        <f>'1_CL'!N5</f>
        <v>0</v>
      </c>
      <c r="N62" s="36">
        <f>'1_CL'!O5</f>
        <v>0</v>
      </c>
      <c r="O62" s="36">
        <f>'1_CL'!P5</f>
        <v>0</v>
      </c>
      <c r="P62" s="36">
        <f>'1_CL'!Q5</f>
        <v>17727251</v>
      </c>
      <c r="Q62" s="36">
        <f>'1_CL'!R5</f>
        <v>17731572</v>
      </c>
      <c r="R62" s="36">
        <f>'1_CL'!S5</f>
        <v>17733454</v>
      </c>
      <c r="S62" s="36">
        <f>'1_CL'!T5</f>
        <v>17734435</v>
      </c>
      <c r="T62" s="36">
        <f>'1_CL'!U5</f>
        <v>17734974</v>
      </c>
      <c r="U62" s="36">
        <f>'1_CL'!V5</f>
        <v>17735197</v>
      </c>
      <c r="V62" s="36">
        <f>'1_CL'!W5</f>
        <v>17735258</v>
      </c>
      <c r="W62" s="36">
        <f>'1_CL'!X5</f>
        <v>17735268</v>
      </c>
      <c r="X62" s="37">
        <f>'1_CL'!Y5</f>
        <v>17735279</v>
      </c>
      <c r="Y62" s="136">
        <f>Triangulo1!AA112</f>
        <v>17735298.270448435</v>
      </c>
      <c r="Z62" s="43">
        <f t="shared" si="28"/>
        <v>17735298.270448435</v>
      </c>
      <c r="AA62" s="39">
        <f>+X62</f>
        <v>17735279</v>
      </c>
      <c r="AB62" s="138">
        <f>Z62-AA62</f>
        <v>19.270448435097933</v>
      </c>
      <c r="AC62" s="140">
        <f>'1_CL'!AC5</f>
        <v>19.270448435097933</v>
      </c>
      <c r="AD62" s="140">
        <f t="shared" si="29"/>
        <v>0</v>
      </c>
      <c r="AE62" s="141" t="str">
        <f t="shared" si="30"/>
        <v>No hay cambio</v>
      </c>
      <c r="AF62" s="43">
        <f t="shared" si="31"/>
        <v>17735298.270448435</v>
      </c>
      <c r="AG62" s="39">
        <f>X62</f>
        <v>17735279</v>
      </c>
      <c r="AH62" s="138">
        <f>AF62-AG62</f>
        <v>19.270448435097933</v>
      </c>
      <c r="AI62" s="43">
        <f>'1_CL'!Z5-AG62</f>
        <v>19.270448435097933</v>
      </c>
      <c r="AJ62" s="140">
        <f t="shared" ref="AJ62:AJ68" si="32">AI62-AH62</f>
        <v>0</v>
      </c>
      <c r="AK62" s="141" t="str">
        <f t="shared" ref="AK62:AK68" si="33">IF(AJ62=0,"No hay cambio",IF(AJ62&gt;0,"Sobreestimando la reserva","Subestimando la reserva"))</f>
        <v>No hay cambio</v>
      </c>
    </row>
    <row r="63" spans="1:37" x14ac:dyDescent="0.25">
      <c r="A63" s="41" t="s">
        <v>11</v>
      </c>
      <c r="B63" s="42">
        <f>'1_CL'!C6</f>
        <v>0</v>
      </c>
      <c r="C63" s="42">
        <f>'1_CL'!D6</f>
        <v>0</v>
      </c>
      <c r="D63" s="42">
        <f>'1_CL'!E6</f>
        <v>0</v>
      </c>
      <c r="E63" s="42">
        <f>'1_CL'!F6</f>
        <v>0</v>
      </c>
      <c r="F63" s="42">
        <f>'1_CL'!G6</f>
        <v>0</v>
      </c>
      <c r="G63" s="42">
        <f>'1_CL'!H6</f>
        <v>0</v>
      </c>
      <c r="H63" s="42">
        <f>'1_CL'!I6</f>
        <v>0</v>
      </c>
      <c r="I63" s="42">
        <f>'1_CL'!J6</f>
        <v>0</v>
      </c>
      <c r="J63" s="42">
        <f>'1_CL'!K6</f>
        <v>0</v>
      </c>
      <c r="K63" s="42">
        <f>'1_CL'!L6</f>
        <v>0</v>
      </c>
      <c r="L63" s="42">
        <f>'1_CL'!M6</f>
        <v>0</v>
      </c>
      <c r="M63" s="42">
        <f>'1_CL'!N6</f>
        <v>0</v>
      </c>
      <c r="N63" s="42">
        <f>'1_CL'!O6</f>
        <v>0</v>
      </c>
      <c r="O63" s="42">
        <f>'1_CL'!P6</f>
        <v>11864201</v>
      </c>
      <c r="P63" s="42">
        <f>'1_CL'!Q6</f>
        <v>11873586</v>
      </c>
      <c r="Q63" s="42">
        <f>'1_CL'!R6</f>
        <v>11878223</v>
      </c>
      <c r="R63" s="42">
        <f>'1_CL'!S6</f>
        <v>11880065</v>
      </c>
      <c r="S63" s="42">
        <f>'1_CL'!T6</f>
        <v>11880905</v>
      </c>
      <c r="T63" s="42">
        <f>'1_CL'!U6</f>
        <v>11881492</v>
      </c>
      <c r="U63" s="42">
        <f>'1_CL'!V6</f>
        <v>11881607</v>
      </c>
      <c r="V63" s="42">
        <f>'1_CL'!W6</f>
        <v>11881725</v>
      </c>
      <c r="W63" s="37">
        <f>'1_CL'!X6</f>
        <v>11881761</v>
      </c>
      <c r="X63" s="136">
        <f>Triangulo1!Z113</f>
        <v>11881768.369461289</v>
      </c>
      <c r="Y63" s="136">
        <f>Triangulo1!AA113</f>
        <v>11881781.279717997</v>
      </c>
      <c r="Z63" s="43">
        <f t="shared" si="28"/>
        <v>11881781.279717997</v>
      </c>
      <c r="AA63" s="39">
        <f>+W63</f>
        <v>11881761</v>
      </c>
      <c r="AB63" s="138">
        <f t="shared" ref="AB63:AB83" si="34">Z63-AA63</f>
        <v>20.279717996716499</v>
      </c>
      <c r="AC63" s="140">
        <f>'1_CL'!AC6</f>
        <v>19.864941546693444</v>
      </c>
      <c r="AD63" s="140">
        <f t="shared" si="29"/>
        <v>-0.41477645002305508</v>
      </c>
      <c r="AE63" s="141" t="str">
        <f t="shared" si="30"/>
        <v>Subestimando la reserva</v>
      </c>
      <c r="AF63" s="43">
        <f t="shared" si="31"/>
        <v>11881781.279717997</v>
      </c>
      <c r="AG63" s="39">
        <f>W63</f>
        <v>11881761</v>
      </c>
      <c r="AH63" s="138">
        <f t="shared" ref="AH63:AH73" si="35">AF63-AG63</f>
        <v>20.279717996716499</v>
      </c>
      <c r="AI63" s="43">
        <f>'1_CL'!Z6-'1_Validacion_BT'!AG63</f>
        <v>19.864941546693444</v>
      </c>
      <c r="AJ63" s="140">
        <f t="shared" si="32"/>
        <v>-0.41477645002305508</v>
      </c>
      <c r="AK63" s="141" t="str">
        <f>IF(AJ63=0,"No hay cambio",IF(AJ63&gt;0,"Sobreestimando la reserva","Subestimando la reserva"))</f>
        <v>Subestimando la reserva</v>
      </c>
    </row>
    <row r="64" spans="1:37" x14ac:dyDescent="0.25">
      <c r="A64" s="35" t="s">
        <v>12</v>
      </c>
      <c r="B64" s="36">
        <f>'1_CL'!C7</f>
        <v>0</v>
      </c>
      <c r="C64" s="36">
        <f>'1_CL'!D7</f>
        <v>0</v>
      </c>
      <c r="D64" s="36">
        <f>'1_CL'!E7</f>
        <v>0</v>
      </c>
      <c r="E64" s="36">
        <f>'1_CL'!F7</f>
        <v>0</v>
      </c>
      <c r="F64" s="36">
        <f>'1_CL'!G7</f>
        <v>0</v>
      </c>
      <c r="G64" s="36">
        <f>'1_CL'!H7</f>
        <v>0</v>
      </c>
      <c r="H64" s="36">
        <f>'1_CL'!I7</f>
        <v>0</v>
      </c>
      <c r="I64" s="36">
        <f>'1_CL'!J7</f>
        <v>0</v>
      </c>
      <c r="J64" s="36">
        <f>'1_CL'!K7</f>
        <v>0</v>
      </c>
      <c r="K64" s="36">
        <f>'1_CL'!L7</f>
        <v>0</v>
      </c>
      <c r="L64" s="36">
        <f>'1_CL'!M7</f>
        <v>0</v>
      </c>
      <c r="M64" s="36">
        <f>'1_CL'!N7</f>
        <v>0</v>
      </c>
      <c r="N64" s="36">
        <f>'1_CL'!O7</f>
        <v>19426010</v>
      </c>
      <c r="O64" s="36">
        <f>'1_CL'!P7</f>
        <v>19444545</v>
      </c>
      <c r="P64" s="36">
        <f>'1_CL'!Q7</f>
        <v>19453256</v>
      </c>
      <c r="Q64" s="36">
        <f>'1_CL'!R7</f>
        <v>19457999</v>
      </c>
      <c r="R64" s="36">
        <f>'1_CL'!S7</f>
        <v>19459976</v>
      </c>
      <c r="S64" s="36">
        <f>'1_CL'!T7</f>
        <v>19461146</v>
      </c>
      <c r="T64" s="36">
        <f>'1_CL'!U7</f>
        <v>19461559</v>
      </c>
      <c r="U64" s="36">
        <f>'1_CL'!V7</f>
        <v>19461649</v>
      </c>
      <c r="V64" s="37">
        <f>'1_CL'!W7</f>
        <v>19461650</v>
      </c>
      <c r="W64" s="136">
        <f>Triangulo1!Y114</f>
        <v>19461708.966134965</v>
      </c>
      <c r="X64" s="136">
        <f>Triangulo1!Z114</f>
        <v>19461719.53929998</v>
      </c>
      <c r="Y64" s="136">
        <f>Triangulo1!AA114</f>
        <v>19461740.685630009</v>
      </c>
      <c r="Z64" s="43">
        <f t="shared" si="28"/>
        <v>19461740.685630009</v>
      </c>
      <c r="AA64" s="39">
        <f>+V64</f>
        <v>19461650</v>
      </c>
      <c r="AB64" s="138">
        <f t="shared" si="34"/>
        <v>90.6856300085783</v>
      </c>
      <c r="AC64" s="140">
        <f>'1_CL'!AC7</f>
        <v>54.921350959688425</v>
      </c>
      <c r="AD64" s="140">
        <f t="shared" si="29"/>
        <v>-35.764279048889875</v>
      </c>
      <c r="AE64" s="141" t="str">
        <f t="shared" si="30"/>
        <v>Subestimando la reserva</v>
      </c>
      <c r="AF64" s="43">
        <f t="shared" si="31"/>
        <v>19461740.685630009</v>
      </c>
      <c r="AG64" s="39">
        <f>V64</f>
        <v>19461650</v>
      </c>
      <c r="AH64" s="138">
        <f t="shared" si="35"/>
        <v>90.6856300085783</v>
      </c>
      <c r="AI64" s="43">
        <f>'1_CL'!Z7-'1_Validacion_BT'!AG64</f>
        <v>54.921350959688425</v>
      </c>
      <c r="AJ64" s="140">
        <f t="shared" si="32"/>
        <v>-35.764279048889875</v>
      </c>
      <c r="AK64" s="141" t="str">
        <f t="shared" si="33"/>
        <v>Subestimando la reserva</v>
      </c>
    </row>
    <row r="65" spans="1:37" x14ac:dyDescent="0.25">
      <c r="A65" s="41" t="s">
        <v>13</v>
      </c>
      <c r="B65" s="42">
        <f>'1_CL'!C8</f>
        <v>0</v>
      </c>
      <c r="C65" s="42">
        <f>'1_CL'!D8</f>
        <v>0</v>
      </c>
      <c r="D65" s="42">
        <f>'1_CL'!E8</f>
        <v>0</v>
      </c>
      <c r="E65" s="42">
        <f>'1_CL'!F8</f>
        <v>0</v>
      </c>
      <c r="F65" s="42">
        <f>'1_CL'!G8</f>
        <v>0</v>
      </c>
      <c r="G65" s="42">
        <f>'1_CL'!H8</f>
        <v>0</v>
      </c>
      <c r="H65" s="42">
        <f>'1_CL'!I8</f>
        <v>0</v>
      </c>
      <c r="I65" s="42">
        <f>'1_CL'!J8</f>
        <v>0</v>
      </c>
      <c r="J65" s="42">
        <f>'1_CL'!K8</f>
        <v>0</v>
      </c>
      <c r="K65" s="42">
        <f>'1_CL'!L8</f>
        <v>0</v>
      </c>
      <c r="L65" s="42">
        <f>'1_CL'!M8</f>
        <v>0</v>
      </c>
      <c r="M65" s="42">
        <f>'1_CL'!N8</f>
        <v>11754449</v>
      </c>
      <c r="N65" s="42">
        <f>'1_CL'!O8</f>
        <v>11785976</v>
      </c>
      <c r="O65" s="42">
        <f>'1_CL'!P8</f>
        <v>11801623</v>
      </c>
      <c r="P65" s="42">
        <f>'1_CL'!Q8</f>
        <v>11808422</v>
      </c>
      <c r="Q65" s="42">
        <f>'1_CL'!R8</f>
        <v>11812430</v>
      </c>
      <c r="R65" s="42">
        <f>'1_CL'!S8</f>
        <v>11814677</v>
      </c>
      <c r="S65" s="42">
        <f>'1_CL'!T8</f>
        <v>11815553</v>
      </c>
      <c r="T65" s="42">
        <f>'1_CL'!U8</f>
        <v>11815994</v>
      </c>
      <c r="U65" s="37">
        <f>'1_CL'!V8</f>
        <v>11816173</v>
      </c>
      <c r="V65" s="136">
        <f>Triangulo1!X115</f>
        <v>11816183.431692421</v>
      </c>
      <c r="W65" s="136">
        <f>Triangulo1!Y115</f>
        <v>11816219.233110443</v>
      </c>
      <c r="X65" s="136">
        <f>Triangulo1!Z115</f>
        <v>11816225.652630745</v>
      </c>
      <c r="Y65" s="136">
        <f>Triangulo1!AA115</f>
        <v>11816238.491671344</v>
      </c>
      <c r="Z65" s="43">
        <f t="shared" si="28"/>
        <v>11816238.491671344</v>
      </c>
      <c r="AA65" s="39">
        <f>+U65</f>
        <v>11816173</v>
      </c>
      <c r="AB65" s="138">
        <f t="shared" si="34"/>
        <v>65.491671344265342</v>
      </c>
      <c r="AC65" s="140">
        <f>'1_CL'!AC8</f>
        <v>69.088412698358297</v>
      </c>
      <c r="AD65" s="140">
        <f t="shared" si="29"/>
        <v>3.5967413540929556</v>
      </c>
      <c r="AE65" s="141" t="str">
        <f t="shared" si="30"/>
        <v>Sobreestimando la reserva</v>
      </c>
      <c r="AF65" s="43">
        <f t="shared" si="31"/>
        <v>11816238.491671344</v>
      </c>
      <c r="AG65" s="39">
        <f>U65</f>
        <v>11816173</v>
      </c>
      <c r="AH65" s="138">
        <f t="shared" si="35"/>
        <v>65.491671344265342</v>
      </c>
      <c r="AI65" s="43">
        <f>'1_CL'!Y8-'1_Validacion_BT'!AG65</f>
        <v>56.249368188902736</v>
      </c>
      <c r="AJ65" s="140">
        <f t="shared" si="32"/>
        <v>-9.242303155362606</v>
      </c>
      <c r="AK65" s="141" t="str">
        <f t="shared" si="33"/>
        <v>Subestimando la reserva</v>
      </c>
    </row>
    <row r="66" spans="1:37" x14ac:dyDescent="0.25">
      <c r="A66" s="35" t="s">
        <v>14</v>
      </c>
      <c r="B66" s="36">
        <f>'1_CL'!C9</f>
        <v>0</v>
      </c>
      <c r="C66" s="36">
        <f>'1_CL'!D9</f>
        <v>0</v>
      </c>
      <c r="D66" s="36">
        <f>'1_CL'!E9</f>
        <v>0</v>
      </c>
      <c r="E66" s="36">
        <f>'1_CL'!F9</f>
        <v>0</v>
      </c>
      <c r="F66" s="36">
        <f>'1_CL'!G9</f>
        <v>0</v>
      </c>
      <c r="G66" s="36">
        <f>'1_CL'!H9</f>
        <v>0</v>
      </c>
      <c r="H66" s="36">
        <f>'1_CL'!I9</f>
        <v>0</v>
      </c>
      <c r="I66" s="36">
        <f>'1_CL'!J9</f>
        <v>0</v>
      </c>
      <c r="J66" s="36">
        <f>'1_CL'!K9</f>
        <v>0</v>
      </c>
      <c r="K66" s="36">
        <f>'1_CL'!L9</f>
        <v>0</v>
      </c>
      <c r="L66" s="36">
        <f>'1_CL'!M9</f>
        <v>12930641</v>
      </c>
      <c r="M66" s="36">
        <f>'1_CL'!N9</f>
        <v>12990612</v>
      </c>
      <c r="N66" s="36">
        <f>'1_CL'!O9</f>
        <v>13017211</v>
      </c>
      <c r="O66" s="36">
        <f>'1_CL'!P9</f>
        <v>13032985</v>
      </c>
      <c r="P66" s="36">
        <f>'1_CL'!Q9</f>
        <v>13041104</v>
      </c>
      <c r="Q66" s="36">
        <f>'1_CL'!R9</f>
        <v>13045224</v>
      </c>
      <c r="R66" s="36">
        <f>'1_CL'!S9</f>
        <v>13046906</v>
      </c>
      <c r="S66" s="36">
        <f>'1_CL'!T9</f>
        <v>13047997</v>
      </c>
      <c r="T66" s="37">
        <f>'1_CL'!U9</f>
        <v>13048471</v>
      </c>
      <c r="U66" s="136">
        <f>Triangulo1!W116</f>
        <v>13048635.071795821</v>
      </c>
      <c r="V66" s="136">
        <f>Triangulo1!X116</f>
        <v>13048764.661921002</v>
      </c>
      <c r="W66" s="136">
        <f>Triangulo1!Y116</f>
        <v>13048804.197891396</v>
      </c>
      <c r="X66" s="136">
        <f>Triangulo1!Z116</f>
        <v>13048812.291191489</v>
      </c>
      <c r="Y66" s="136">
        <f>Triangulo1!AA116</f>
        <v>13048826.469511684</v>
      </c>
      <c r="Z66" s="43">
        <f t="shared" si="28"/>
        <v>13048826.469511684</v>
      </c>
      <c r="AA66" s="39">
        <f>+T66</f>
        <v>13048471</v>
      </c>
      <c r="AB66" s="138">
        <f t="shared" si="34"/>
        <v>355.46951168403029</v>
      </c>
      <c r="AC66" s="140">
        <f>'1_CL'!AC9</f>
        <v>202.94963217712939</v>
      </c>
      <c r="AD66" s="140">
        <f t="shared" si="29"/>
        <v>-152.51987950690091</v>
      </c>
      <c r="AE66" s="141" t="str">
        <f t="shared" si="30"/>
        <v>Subestimando la reserva</v>
      </c>
      <c r="AF66" s="43">
        <f t="shared" si="31"/>
        <v>13048826.469511684</v>
      </c>
      <c r="AG66" s="39">
        <f>T66</f>
        <v>13048471</v>
      </c>
      <c r="AH66" s="138">
        <f t="shared" si="35"/>
        <v>355.46951168403029</v>
      </c>
      <c r="AI66" s="43">
        <f>'1_CL'!Z9-'1_Validacion_BT'!AG66</f>
        <v>202.94963217712939</v>
      </c>
      <c r="AJ66" s="140">
        <f t="shared" si="32"/>
        <v>-152.51987950690091</v>
      </c>
      <c r="AK66" s="141" t="str">
        <f t="shared" si="33"/>
        <v>Subestimando la reserva</v>
      </c>
    </row>
    <row r="67" spans="1:37" x14ac:dyDescent="0.25">
      <c r="A67" s="41" t="s">
        <v>15</v>
      </c>
      <c r="B67" s="42">
        <f>'1_CL'!C10</f>
        <v>0</v>
      </c>
      <c r="C67" s="42">
        <f>'1_CL'!D10</f>
        <v>0</v>
      </c>
      <c r="D67" s="42">
        <f>'1_CL'!E10</f>
        <v>0</v>
      </c>
      <c r="E67" s="42">
        <f>'1_CL'!F10</f>
        <v>0</v>
      </c>
      <c r="F67" s="42">
        <f>'1_CL'!G10</f>
        <v>0</v>
      </c>
      <c r="G67" s="42">
        <f>'1_CL'!H10</f>
        <v>0</v>
      </c>
      <c r="H67" s="42">
        <f>'1_CL'!I10</f>
        <v>0</v>
      </c>
      <c r="I67" s="42">
        <f>'1_CL'!J10</f>
        <v>0</v>
      </c>
      <c r="J67" s="42">
        <f>'1_CL'!K10</f>
        <v>0</v>
      </c>
      <c r="K67" s="42">
        <f>'1_CL'!L10</f>
        <v>10574369</v>
      </c>
      <c r="L67" s="42">
        <f>'1_CL'!M10</f>
        <v>10704764</v>
      </c>
      <c r="M67" s="42">
        <f>'1_CL'!N10</f>
        <v>10779530</v>
      </c>
      <c r="N67" s="42">
        <f>'1_CL'!O10</f>
        <v>10810916</v>
      </c>
      <c r="O67" s="42">
        <f>'1_CL'!P10</f>
        <v>10825407</v>
      </c>
      <c r="P67" s="42">
        <f>'1_CL'!Q10</f>
        <v>10831969</v>
      </c>
      <c r="Q67" s="42">
        <f>'1_CL'!R10</f>
        <v>10836654</v>
      </c>
      <c r="R67" s="42">
        <f>'1_CL'!S10</f>
        <v>10839043</v>
      </c>
      <c r="S67" s="37">
        <f>'1_CL'!T10</f>
        <v>10840140</v>
      </c>
      <c r="T67" s="136">
        <f>Triangulo1!V117</f>
        <v>10840675.578912549</v>
      </c>
      <c r="U67" s="136">
        <f>Triangulo1!W117</f>
        <v>10840839.803854488</v>
      </c>
      <c r="V67" s="136">
        <f>Triangulo1!X117</f>
        <v>10840840.360890523</v>
      </c>
      <c r="W67" s="136">
        <f>Triangulo1!Y117</f>
        <v>10840846.473482942</v>
      </c>
      <c r="X67" s="136">
        <f>Triangulo1!Z117</f>
        <v>10840852.363102341</v>
      </c>
      <c r="Y67" s="136">
        <f>Triangulo1!AA117</f>
        <v>10840864.142341137</v>
      </c>
      <c r="Z67" s="43">
        <f t="shared" si="28"/>
        <v>10840864.142341137</v>
      </c>
      <c r="AA67" s="39">
        <f>+S67</f>
        <v>10840140</v>
      </c>
      <c r="AB67" s="138">
        <f t="shared" si="34"/>
        <v>724.14234113693237</v>
      </c>
      <c r="AC67" s="140">
        <f>'1_CL'!AC10</f>
        <v>522.1830773986876</v>
      </c>
      <c r="AD67" s="140">
        <f t="shared" si="29"/>
        <v>-201.95926373824477</v>
      </c>
      <c r="AE67" s="141" t="str">
        <f t="shared" si="30"/>
        <v>Subestimando la reserva</v>
      </c>
      <c r="AF67" s="43">
        <f t="shared" si="31"/>
        <v>10840864.142341137</v>
      </c>
      <c r="AG67" s="39">
        <f>S67</f>
        <v>10840140</v>
      </c>
      <c r="AH67" s="138">
        <f t="shared" si="35"/>
        <v>724.14234113693237</v>
      </c>
      <c r="AI67" s="43">
        <f>'1_CL'!Z10-'1_Validacion_BT'!AG67</f>
        <v>522.1830773986876</v>
      </c>
      <c r="AJ67" s="140">
        <f t="shared" si="32"/>
        <v>-201.95926373824477</v>
      </c>
      <c r="AK67" s="141" t="str">
        <f t="shared" si="33"/>
        <v>Subestimando la reserva</v>
      </c>
    </row>
    <row r="68" spans="1:37" x14ac:dyDescent="0.25">
      <c r="A68" s="35" t="s">
        <v>16</v>
      </c>
      <c r="B68" s="36">
        <f>'1_CL'!C11</f>
        <v>0</v>
      </c>
      <c r="C68" s="36">
        <f>'1_CL'!D11</f>
        <v>0</v>
      </c>
      <c r="D68" s="36">
        <f>'1_CL'!E11</f>
        <v>0</v>
      </c>
      <c r="E68" s="36">
        <f>'1_CL'!F11</f>
        <v>0</v>
      </c>
      <c r="F68" s="36">
        <f>'1_CL'!G11</f>
        <v>0</v>
      </c>
      <c r="G68" s="36">
        <f>'1_CL'!H11</f>
        <v>0</v>
      </c>
      <c r="H68" s="36">
        <f>'1_CL'!I11</f>
        <v>0</v>
      </c>
      <c r="I68" s="36">
        <f>'1_CL'!J11</f>
        <v>0</v>
      </c>
      <c r="J68" s="36">
        <f>'1_CL'!K11</f>
        <v>13586619</v>
      </c>
      <c r="K68" s="36">
        <f>'1_CL'!L11</f>
        <v>13861205</v>
      </c>
      <c r="L68" s="36">
        <f>'1_CL'!M11</f>
        <v>13987078</v>
      </c>
      <c r="M68" s="36">
        <f>'1_CL'!N11</f>
        <v>14043493</v>
      </c>
      <c r="N68" s="36">
        <f>'1_CL'!O11</f>
        <v>14079323</v>
      </c>
      <c r="O68" s="36">
        <f>'1_CL'!P11</f>
        <v>14095393</v>
      </c>
      <c r="P68" s="36">
        <f>'1_CL'!Q11</f>
        <v>14104571</v>
      </c>
      <c r="Q68" s="36">
        <f>'1_CL'!R11</f>
        <v>14109322</v>
      </c>
      <c r="R68" s="37">
        <f>'1_CL'!S11</f>
        <v>14111136</v>
      </c>
      <c r="S68" s="136">
        <f>Triangulo1!U118</f>
        <v>14111984.409531439</v>
      </c>
      <c r="T68" s="136">
        <f>Triangulo1!V118</f>
        <v>14112283.890844673</v>
      </c>
      <c r="U68" s="136">
        <f>Triangulo1!W118</f>
        <v>14112349.153116323</v>
      </c>
      <c r="V68" s="136">
        <f>Triangulo1!X118</f>
        <v>14112489.307322742</v>
      </c>
      <c r="W68" s="136">
        <f>Triangulo1!Y118</f>
        <v>14112494.099223634</v>
      </c>
      <c r="X68" s="136">
        <f>Triangulo1!Z118</f>
        <v>14112501.766265061</v>
      </c>
      <c r="Y68" s="136">
        <f>Triangulo1!AA118</f>
        <v>14112517.100347912</v>
      </c>
      <c r="Z68" s="43">
        <f t="shared" si="28"/>
        <v>14112517.100347912</v>
      </c>
      <c r="AA68" s="39">
        <f>+R68</f>
        <v>14111136</v>
      </c>
      <c r="AB68" s="138">
        <f t="shared" si="34"/>
        <v>1381.100347911939</v>
      </c>
      <c r="AC68" s="140">
        <f>'1_CL'!AC11</f>
        <v>1652.4212332814932</v>
      </c>
      <c r="AD68" s="140">
        <f t="shared" si="29"/>
        <v>271.32088536955416</v>
      </c>
      <c r="AE68" s="141" t="str">
        <f t="shared" si="30"/>
        <v>Sobreestimando la reserva</v>
      </c>
      <c r="AF68" s="43">
        <f t="shared" si="31"/>
        <v>14112517.100347912</v>
      </c>
      <c r="AG68" s="39">
        <f>R68</f>
        <v>14111136</v>
      </c>
      <c r="AH68" s="138">
        <f t="shared" si="35"/>
        <v>1381.100347911939</v>
      </c>
      <c r="AI68" s="43">
        <f>'1_CL'!Z11-'1_Validacion_BT'!AG68</f>
        <v>1652.4212332814932</v>
      </c>
      <c r="AJ68" s="140">
        <f t="shared" si="32"/>
        <v>271.32088536955416</v>
      </c>
      <c r="AK68" s="141" t="str">
        <f t="shared" si="33"/>
        <v>Sobreestimando la reserva</v>
      </c>
    </row>
    <row r="69" spans="1:37" x14ac:dyDescent="0.25">
      <c r="A69" s="41" t="s">
        <v>17</v>
      </c>
      <c r="B69" s="42">
        <f>'1_CL'!C12</f>
        <v>0</v>
      </c>
      <c r="C69" s="42">
        <f>'1_CL'!D12</f>
        <v>0</v>
      </c>
      <c r="D69" s="42">
        <f>'1_CL'!E12</f>
        <v>0</v>
      </c>
      <c r="E69" s="42">
        <f>'1_CL'!F12</f>
        <v>0</v>
      </c>
      <c r="F69" s="42">
        <f>'1_CL'!G12</f>
        <v>0</v>
      </c>
      <c r="G69" s="42">
        <f>'1_CL'!H12</f>
        <v>0</v>
      </c>
      <c r="H69" s="42">
        <f>'1_CL'!I12</f>
        <v>0</v>
      </c>
      <c r="I69" s="42">
        <f>'1_CL'!J12</f>
        <v>14684360</v>
      </c>
      <c r="J69" s="42">
        <f>'1_CL'!K12</f>
        <v>15224487</v>
      </c>
      <c r="K69" s="42">
        <f>'1_CL'!L12</f>
        <v>15505624</v>
      </c>
      <c r="L69" s="42">
        <f>'1_CL'!M12</f>
        <v>15616491</v>
      </c>
      <c r="M69" s="42">
        <f>'1_CL'!N12</f>
        <v>15669883</v>
      </c>
      <c r="N69" s="42">
        <f>'1_CL'!O12</f>
        <v>15701026</v>
      </c>
      <c r="O69" s="42">
        <f>'1_CL'!P12</f>
        <v>15717007</v>
      </c>
      <c r="P69" s="42">
        <f>'1_CL'!Q12</f>
        <v>15725357</v>
      </c>
      <c r="Q69" s="37">
        <f>'1_CL'!R12</f>
        <v>15729334</v>
      </c>
      <c r="R69" s="136">
        <f>Triangulo1!T119</f>
        <v>15731356.280863388</v>
      </c>
      <c r="S69" s="136">
        <f>Triangulo1!U119</f>
        <v>15732522.6833052</v>
      </c>
      <c r="T69" s="136">
        <f>Triangulo1!V119</f>
        <v>15732856.555311924</v>
      </c>
      <c r="U69" s="136">
        <f>Triangulo1!W119</f>
        <v>15732929.31192356</v>
      </c>
      <c r="V69" s="136">
        <f>Triangulo1!X119</f>
        <v>15732930.120330354</v>
      </c>
      <c r="W69" s="136">
        <f>Triangulo1!Y119</f>
        <v>15732977.788954591</v>
      </c>
      <c r="X69" s="136">
        <f>Triangulo1!Z119</f>
        <v>15732987.547067953</v>
      </c>
      <c r="Y69" s="50">
        <f>X69*X87</f>
        <v>15733004.641906168</v>
      </c>
      <c r="Z69" s="43">
        <f t="shared" si="28"/>
        <v>15733004.641906168</v>
      </c>
      <c r="AA69" s="39">
        <f>+Q69</f>
        <v>15729334</v>
      </c>
      <c r="AB69" s="138">
        <f t="shared" si="34"/>
        <v>3670.6419061683118</v>
      </c>
      <c r="AC69" s="140">
        <f>'1_CL'!AC12</f>
        <v>4044.6840435676277</v>
      </c>
      <c r="AD69" s="140">
        <f t="shared" ref="AD69:AD84" si="36">AC69-AB69</f>
        <v>374.04213739931583</v>
      </c>
      <c r="AE69" s="141" t="str">
        <f>IF(AD69=0,"No hay cambio",IF(AD69&gt;0,"Sobreestimando la reserva","Subestimando la reserva"))</f>
        <v>Sobreestimando la reserva</v>
      </c>
      <c r="AF69" s="43">
        <f>X69</f>
        <v>15732987.547067953</v>
      </c>
      <c r="AG69" s="39">
        <f>Q69</f>
        <v>15729334</v>
      </c>
      <c r="AH69" s="138">
        <f t="shared" si="35"/>
        <v>3653.5470679532737</v>
      </c>
      <c r="AI69" s="43">
        <f>'1_CL'!Y12-'1_Validacion_BT'!AG69</f>
        <v>4027.5887989308685</v>
      </c>
      <c r="AJ69" s="140">
        <f>AI69-AH69</f>
        <v>374.04173097759485</v>
      </c>
      <c r="AK69" s="141" t="str">
        <f>IF(AJ69=0,"No hay cambio",IF(AJ69&gt;0,"Sobreestimando la reserva","Subestimando la reserva"))</f>
        <v>Sobreestimando la reserva</v>
      </c>
    </row>
    <row r="70" spans="1:37" x14ac:dyDescent="0.25">
      <c r="A70" s="35" t="s">
        <v>18</v>
      </c>
      <c r="B70" s="36">
        <f>'1_CL'!C13</f>
        <v>0</v>
      </c>
      <c r="C70" s="36">
        <f>'1_CL'!D13</f>
        <v>0</v>
      </c>
      <c r="D70" s="36">
        <f>'1_CL'!E13</f>
        <v>0</v>
      </c>
      <c r="E70" s="36">
        <f>'1_CL'!F13</f>
        <v>0</v>
      </c>
      <c r="F70" s="36">
        <f>'1_CL'!G13</f>
        <v>0</v>
      </c>
      <c r="G70" s="36">
        <f>'1_CL'!H13</f>
        <v>0</v>
      </c>
      <c r="H70" s="36">
        <f>'1_CL'!I13</f>
        <v>12264947</v>
      </c>
      <c r="I70" s="36">
        <f>'1_CL'!J13</f>
        <v>13331758</v>
      </c>
      <c r="J70" s="36">
        <f>'1_CL'!K13</f>
        <v>13881470</v>
      </c>
      <c r="K70" s="36">
        <f>'1_CL'!L13</f>
        <v>14105853</v>
      </c>
      <c r="L70" s="36">
        <f>'1_CL'!M13</f>
        <v>14231236</v>
      </c>
      <c r="M70" s="36">
        <f>'1_CL'!N13</f>
        <v>14285043</v>
      </c>
      <c r="N70" s="36">
        <f>'1_CL'!O13</f>
        <v>14317196</v>
      </c>
      <c r="O70" s="36">
        <f>'1_CL'!P13</f>
        <v>14335249</v>
      </c>
      <c r="P70" s="37">
        <f>'1_CL'!Q13</f>
        <v>14343596</v>
      </c>
      <c r="Q70" s="136">
        <f>Triangulo1!S120</f>
        <v>14348127.488708317</v>
      </c>
      <c r="R70" s="136">
        <f>Triangulo1!T120</f>
        <v>14349977.479972247</v>
      </c>
      <c r="S70" s="136">
        <f>Triangulo1!U120</f>
        <v>14350771.308851147</v>
      </c>
      <c r="T70" s="136">
        <f>Triangulo1!V120</f>
        <v>14351198.183730569</v>
      </c>
      <c r="U70" s="136">
        <f>Triangulo1!W120</f>
        <v>14351415.589432947</v>
      </c>
      <c r="V70" s="136">
        <f>Triangulo1!X120</f>
        <v>14351558.117883816</v>
      </c>
      <c r="W70" s="136">
        <f>Triangulo1!Y120</f>
        <v>14351562.990960609</v>
      </c>
      <c r="X70" s="50">
        <f>W70*W87</f>
        <v>14351571.286472023</v>
      </c>
      <c r="Y70" s="50">
        <f>X70*X87</f>
        <v>14351586.880318299</v>
      </c>
      <c r="Z70" s="43">
        <f t="shared" si="28"/>
        <v>14351586.880318299</v>
      </c>
      <c r="AA70" s="39">
        <f>+P70</f>
        <v>14343596</v>
      </c>
      <c r="AB70" s="138">
        <f t="shared" si="34"/>
        <v>7990.8803182989359</v>
      </c>
      <c r="AC70" s="140">
        <f>'1_CL'!AC13</f>
        <v>8101.782536027953</v>
      </c>
      <c r="AD70" s="140">
        <f t="shared" si="36"/>
        <v>110.90221772901714</v>
      </c>
      <c r="AE70" s="141" t="str">
        <f t="shared" ref="AE70:AE84" si="37">IF(AD70=0,"No hay cambio",IF(AD70&gt;0,"Sobreestimando la reserva","Subestimando la reserva"))</f>
        <v>Sobreestimando la reserva</v>
      </c>
      <c r="AF70" s="43">
        <f>W70</f>
        <v>14351562.990960609</v>
      </c>
      <c r="AG70" s="39">
        <f>P70</f>
        <v>14343596</v>
      </c>
      <c r="AH70" s="138">
        <f t="shared" si="35"/>
        <v>7966.9909606091678</v>
      </c>
      <c r="AI70" s="43">
        <f>'1_CL'!X13-'1_Validacion_BT'!AG70</f>
        <v>8077.7881835997105</v>
      </c>
      <c r="AJ70" s="140">
        <f>AI70-AH70</f>
        <v>110.79722299054265</v>
      </c>
      <c r="AK70" s="141" t="str">
        <f t="shared" ref="AK70:AK84" si="38">IF(AJ70=0,"No hay cambio",IF(AJ70&gt;0,"Sobreestimando la reserva","Subestimando la reserva"))</f>
        <v>Sobreestimando la reserva</v>
      </c>
    </row>
    <row r="71" spans="1:37" x14ac:dyDescent="0.25">
      <c r="A71" s="41" t="s">
        <v>19</v>
      </c>
      <c r="B71" s="42">
        <f>'1_CL'!C14</f>
        <v>0</v>
      </c>
      <c r="C71" s="42">
        <f>'1_CL'!D14</f>
        <v>0</v>
      </c>
      <c r="D71" s="42">
        <f>'1_CL'!E14</f>
        <v>0</v>
      </c>
      <c r="E71" s="42">
        <f>'1_CL'!F14</f>
        <v>0</v>
      </c>
      <c r="F71" s="42">
        <f>'1_CL'!G14</f>
        <v>0</v>
      </c>
      <c r="G71" s="42">
        <f>'1_CL'!H14</f>
        <v>11346897</v>
      </c>
      <c r="H71" s="42">
        <f>'1_CL'!I14</f>
        <v>13064544</v>
      </c>
      <c r="I71" s="42">
        <f>'1_CL'!J14</f>
        <v>14121948</v>
      </c>
      <c r="J71" s="42">
        <f>'1_CL'!K14</f>
        <v>14605429</v>
      </c>
      <c r="K71" s="42">
        <f>'1_CL'!L14</f>
        <v>14862271</v>
      </c>
      <c r="L71" s="42">
        <f>'1_CL'!M14</f>
        <v>15012968</v>
      </c>
      <c r="M71" s="42">
        <f>'1_CL'!N14</f>
        <v>15074585</v>
      </c>
      <c r="N71" s="42">
        <f>'1_CL'!O14</f>
        <v>15104696</v>
      </c>
      <c r="O71" s="37">
        <f>'1_CL'!P14</f>
        <v>15119935</v>
      </c>
      <c r="P71" s="136">
        <f>Triangulo1!R121</f>
        <v>15129354.081834668</v>
      </c>
      <c r="Q71" s="136">
        <f>Triangulo1!S121</f>
        <v>15133042.848713083</v>
      </c>
      <c r="R71" s="136">
        <f>Triangulo1!T121</f>
        <v>15135173.741706759</v>
      </c>
      <c r="S71" s="136">
        <f>Triangulo1!U121</f>
        <v>15136439.365491601</v>
      </c>
      <c r="T71" s="136">
        <f>Triangulo1!V121</f>
        <v>15136889.610679818</v>
      </c>
      <c r="U71" s="136">
        <f>Triangulo1!W121</f>
        <v>15137118.918788835</v>
      </c>
      <c r="V71" s="136">
        <f>Triangulo1!X121</f>
        <v>15137269.250308167</v>
      </c>
      <c r="W71" s="50">
        <f>V71*V87</f>
        <v>15137295.452218113</v>
      </c>
      <c r="X71" s="50">
        <f t="shared" ref="X71:Y71" si="39">W71*W87</f>
        <v>15137304.201899752</v>
      </c>
      <c r="Y71" s="50">
        <f t="shared" si="39"/>
        <v>15137320.649492148</v>
      </c>
      <c r="Z71" s="43">
        <f t="shared" si="28"/>
        <v>15137320.649492148</v>
      </c>
      <c r="AA71" s="39">
        <f>+O71</f>
        <v>15119935</v>
      </c>
      <c r="AB71" s="138">
        <f t="shared" si="34"/>
        <v>17385.64949214831</v>
      </c>
      <c r="AC71" s="140">
        <f>'1_CL'!AC14</f>
        <v>17451.426473489031</v>
      </c>
      <c r="AD71" s="140">
        <f t="shared" si="36"/>
        <v>65.77698134072125</v>
      </c>
      <c r="AE71" s="141" t="str">
        <f t="shared" si="37"/>
        <v>Sobreestimando la reserva</v>
      </c>
      <c r="AF71" s="43">
        <f>V71</f>
        <v>15137269.250308167</v>
      </c>
      <c r="AG71" s="39">
        <f>O71</f>
        <v>15119935</v>
      </c>
      <c r="AH71" s="138">
        <f t="shared" si="35"/>
        <v>17334.250308167189</v>
      </c>
      <c r="AI71" s="43">
        <f>'1_CL'!W14-'1_Validacion_BT'!AG71</f>
        <v>17408.708442572504</v>
      </c>
      <c r="AJ71" s="140">
        <f t="shared" ref="AJ71:AJ84" si="40">AI71-AH71</f>
        <v>74.458134405314922</v>
      </c>
      <c r="AK71" s="141" t="str">
        <f t="shared" si="38"/>
        <v>Sobreestimando la reserva</v>
      </c>
    </row>
    <row r="72" spans="1:37" x14ac:dyDescent="0.25">
      <c r="A72" s="35" t="s">
        <v>20</v>
      </c>
      <c r="B72" s="36">
        <f>'1_CL'!C15</f>
        <v>0</v>
      </c>
      <c r="C72" s="36">
        <f>'1_CL'!D15</f>
        <v>0</v>
      </c>
      <c r="D72" s="36">
        <f>'1_CL'!E15</f>
        <v>0</v>
      </c>
      <c r="E72" s="36">
        <f>'1_CL'!F15</f>
        <v>0</v>
      </c>
      <c r="F72" s="36">
        <f>'1_CL'!G15</f>
        <v>13369514</v>
      </c>
      <c r="G72" s="36">
        <f>'1_CL'!H15</f>
        <v>15030308</v>
      </c>
      <c r="H72" s="36">
        <f>'1_CL'!I15</f>
        <v>16697100</v>
      </c>
      <c r="I72" s="36">
        <f>'1_CL'!J15</f>
        <v>17828453</v>
      </c>
      <c r="J72" s="36">
        <f>'1_CL'!K15</f>
        <v>18294564</v>
      </c>
      <c r="K72" s="36">
        <f>'1_CL'!L15</f>
        <v>18522862</v>
      </c>
      <c r="L72" s="36">
        <f>'1_CL'!M15</f>
        <v>18641988</v>
      </c>
      <c r="M72" s="36">
        <f>'1_CL'!N15</f>
        <v>18693587</v>
      </c>
      <c r="N72" s="37">
        <f>'1_CL'!O15</f>
        <v>18730024</v>
      </c>
      <c r="O72" s="136">
        <f>Triangulo1!Q122</f>
        <v>18748920.562746845</v>
      </c>
      <c r="P72" s="136">
        <f>Triangulo1!R122</f>
        <v>18758881.33242131</v>
      </c>
      <c r="Q72" s="136">
        <f>Triangulo1!S122</f>
        <v>18766207.251712956</v>
      </c>
      <c r="R72" s="136">
        <f>Triangulo1!T122</f>
        <v>18768199.066203389</v>
      </c>
      <c r="S72" s="136">
        <f>Triangulo1!U122</f>
        <v>18770098.561793141</v>
      </c>
      <c r="T72" s="136">
        <f>Triangulo1!V122</f>
        <v>18770656.893006694</v>
      </c>
      <c r="U72" s="136">
        <f>Triangulo1!W122</f>
        <v>18770892.915708907</v>
      </c>
      <c r="V72" s="50">
        <f>U72*U87</f>
        <v>18770983.60139795</v>
      </c>
      <c r="W72" s="50">
        <f t="shared" ref="W72:Y72" si="41">V72*V87</f>
        <v>18771016.093098652</v>
      </c>
      <c r="X72" s="50">
        <f t="shared" si="41"/>
        <v>18771026.943148807</v>
      </c>
      <c r="Y72" s="50">
        <f t="shared" si="41"/>
        <v>18771047.338999737</v>
      </c>
      <c r="Z72" s="43">
        <f t="shared" si="28"/>
        <v>18771047.338999737</v>
      </c>
      <c r="AA72" s="39">
        <f>+N72</f>
        <v>18730024</v>
      </c>
      <c r="AB72" s="138">
        <f t="shared" si="34"/>
        <v>41023.338999737054</v>
      </c>
      <c r="AC72" s="140">
        <f>'1_CL'!AC15</f>
        <v>42921.810095321387</v>
      </c>
      <c r="AD72" s="140">
        <f t="shared" si="36"/>
        <v>1898.4710955843329</v>
      </c>
      <c r="AE72" s="141" t="str">
        <f t="shared" si="37"/>
        <v>Sobreestimando la reserva</v>
      </c>
      <c r="AF72" s="43">
        <f>U72</f>
        <v>18770892.915708907</v>
      </c>
      <c r="AG72" s="39">
        <f>N72</f>
        <v>18730024</v>
      </c>
      <c r="AH72" s="138">
        <f t="shared" si="35"/>
        <v>40868.915708906949</v>
      </c>
      <c r="AI72" s="43">
        <f>'1_CL'!V15-'1_Validacion_BT'!AG72</f>
        <v>42812.046515837312</v>
      </c>
      <c r="AJ72" s="140">
        <f t="shared" si="40"/>
        <v>1943.1308069303632</v>
      </c>
      <c r="AK72" s="141" t="str">
        <f t="shared" si="38"/>
        <v>Sobreestimando la reserva</v>
      </c>
    </row>
    <row r="73" spans="1:37" x14ac:dyDescent="0.25">
      <c r="A73" s="41" t="s">
        <v>21</v>
      </c>
      <c r="B73" s="42">
        <f>'1_CL'!C16</f>
        <v>0</v>
      </c>
      <c r="C73" s="42">
        <f>'1_CL'!D16</f>
        <v>0</v>
      </c>
      <c r="D73" s="42">
        <f>'1_CL'!E16</f>
        <v>0</v>
      </c>
      <c r="E73" s="42">
        <f>'1_CL'!F16</f>
        <v>10805763</v>
      </c>
      <c r="F73" s="42">
        <f>'1_CL'!G16</f>
        <v>13284336</v>
      </c>
      <c r="G73" s="42">
        <f>'1_CL'!H16</f>
        <v>15384835</v>
      </c>
      <c r="H73" s="42">
        <f>'1_CL'!I16</f>
        <v>17438864</v>
      </c>
      <c r="I73" s="42">
        <f>'1_CL'!J16</f>
        <v>18514044</v>
      </c>
      <c r="J73" s="42">
        <f>'1_CL'!K16</f>
        <v>19125680</v>
      </c>
      <c r="K73" s="42">
        <f>'1_CL'!L16</f>
        <v>19431036</v>
      </c>
      <c r="L73" s="42">
        <f>'1_CL'!M16</f>
        <v>19572822</v>
      </c>
      <c r="M73" s="37">
        <f>'1_CL'!N16</f>
        <v>19627354</v>
      </c>
      <c r="N73" s="136">
        <f>Triangulo1!P123</f>
        <v>19663626.621461019</v>
      </c>
      <c r="O73" s="136">
        <f>Triangulo1!Q123</f>
        <v>19683640.88148693</v>
      </c>
      <c r="P73" s="136">
        <f>Triangulo1!R123</f>
        <v>19699211.333274852</v>
      </c>
      <c r="Q73" s="136">
        <f>Triangulo1!S123</f>
        <v>19705846.838391908</v>
      </c>
      <c r="R73" s="136">
        <f>Triangulo1!T123</f>
        <v>19708902.696989302</v>
      </c>
      <c r="S73" s="136">
        <f>Triangulo1!U123</f>
        <v>19710296.248141207</v>
      </c>
      <c r="T73" s="136">
        <f>Triangulo1!V123</f>
        <v>19711031.909065876</v>
      </c>
      <c r="U73" s="50">
        <f>T73*T87</f>
        <v>19711240.886190034</v>
      </c>
      <c r="V73" s="50">
        <f t="shared" ref="V73:Y73" si="42">U73*U87</f>
        <v>19711336.11487573</v>
      </c>
      <c r="W73" s="50">
        <f t="shared" si="42"/>
        <v>19711370.234282956</v>
      </c>
      <c r="X73" s="50">
        <f t="shared" si="42"/>
        <v>19711381.627877984</v>
      </c>
      <c r="Y73" s="50">
        <f t="shared" si="42"/>
        <v>19711403.045480896</v>
      </c>
      <c r="Z73" s="43">
        <f t="shared" si="28"/>
        <v>19711403.045480896</v>
      </c>
      <c r="AA73" s="39">
        <f>+M73</f>
        <v>19627354</v>
      </c>
      <c r="AB73" s="138">
        <f t="shared" si="34"/>
        <v>84049.045480895787</v>
      </c>
      <c r="AC73" s="140">
        <f>'1_CL'!AC16</f>
        <v>89289.649264484644</v>
      </c>
      <c r="AD73" s="140">
        <f t="shared" si="36"/>
        <v>5240.6037835888565</v>
      </c>
      <c r="AE73" s="141" t="str">
        <f t="shared" si="37"/>
        <v>Sobreestimando la reserva</v>
      </c>
      <c r="AF73" s="43">
        <f>T73</f>
        <v>19711031.909065876</v>
      </c>
      <c r="AG73" s="39">
        <f>M73</f>
        <v>19627354</v>
      </c>
      <c r="AH73" s="138">
        <f t="shared" si="35"/>
        <v>83677.909065876156</v>
      </c>
      <c r="AI73" s="43">
        <f>'1_CL'!U16-'1_Validacion_BT'!AG73</f>
        <v>88982.9908567518</v>
      </c>
      <c r="AJ73" s="140">
        <f t="shared" si="40"/>
        <v>5305.0817908756435</v>
      </c>
      <c r="AK73" s="141" t="str">
        <f t="shared" si="38"/>
        <v>Sobreestimando la reserva</v>
      </c>
    </row>
    <row r="74" spans="1:37" x14ac:dyDescent="0.25">
      <c r="A74" s="35" t="s">
        <v>22</v>
      </c>
      <c r="B74" s="36">
        <f>'1_CL'!C17</f>
        <v>0</v>
      </c>
      <c r="C74" s="36">
        <f>'1_CL'!D17</f>
        <v>0</v>
      </c>
      <c r="D74" s="36">
        <f>'1_CL'!E17</f>
        <v>7974797</v>
      </c>
      <c r="E74" s="36">
        <f>'1_CL'!F17</f>
        <v>11597296</v>
      </c>
      <c r="F74" s="36">
        <f>'1_CL'!G17</f>
        <v>14585912</v>
      </c>
      <c r="G74" s="36">
        <f>'1_CL'!H17</f>
        <v>16285147</v>
      </c>
      <c r="H74" s="36">
        <f>'1_CL'!I17</f>
        <v>18338971</v>
      </c>
      <c r="I74" s="36">
        <f>'1_CL'!J17</f>
        <v>19214501</v>
      </c>
      <c r="J74" s="36">
        <f>'1_CL'!K17</f>
        <v>19700684</v>
      </c>
      <c r="K74" s="36">
        <f>'1_CL'!L17</f>
        <v>19926910</v>
      </c>
      <c r="L74" s="37">
        <f>'1_CL'!M17</f>
        <v>20049671</v>
      </c>
      <c r="M74" s="136">
        <f>Triangulo1!O124</f>
        <v>20321044.693592474</v>
      </c>
      <c r="N74" s="136">
        <f>Triangulo1!P124</f>
        <v>20372890.985065077</v>
      </c>
      <c r="O74" s="136">
        <f>Triangulo1!Q124</f>
        <v>20413090.189308412</v>
      </c>
      <c r="P74" s="136">
        <f>Triangulo1!R124</f>
        <v>20424976.140072867</v>
      </c>
      <c r="Q74" s="136">
        <f>Triangulo1!S124</f>
        <v>20432952.720556766</v>
      </c>
      <c r="R74" s="136">
        <f>Triangulo1!T124</f>
        <v>20435579.733834587</v>
      </c>
      <c r="S74" s="136">
        <f>Triangulo1!U124</f>
        <v>20436694.227069344</v>
      </c>
      <c r="T74" s="50">
        <f>S74*S87</f>
        <v>20437339.697776999</v>
      </c>
      <c r="U74" s="50">
        <f t="shared" ref="U74:Y74" si="43">T74*T87</f>
        <v>20437556.375244483</v>
      </c>
      <c r="V74" s="50">
        <f t="shared" si="43"/>
        <v>20437655.112895939</v>
      </c>
      <c r="W74" s="50">
        <f t="shared" si="43"/>
        <v>20437690.489527613</v>
      </c>
      <c r="X74" s="50">
        <f t="shared" si="43"/>
        <v>20437702.302951336</v>
      </c>
      <c r="Y74" s="50">
        <f t="shared" si="43"/>
        <v>20437724.509745393</v>
      </c>
      <c r="Z74" s="43">
        <f t="shared" si="28"/>
        <v>20437724.509745393</v>
      </c>
      <c r="AA74" s="39">
        <f>+L74</f>
        <v>20049671</v>
      </c>
      <c r="AB74" s="138">
        <f t="shared" si="34"/>
        <v>388053.50974539295</v>
      </c>
      <c r="AC74" s="140">
        <f>'1_CL'!AC17</f>
        <v>168988.8463203311</v>
      </c>
      <c r="AD74" s="140">
        <f t="shared" si="36"/>
        <v>-219064.66342506185</v>
      </c>
      <c r="AE74" s="141" t="str">
        <f t="shared" si="37"/>
        <v>Subestimando la reserva</v>
      </c>
      <c r="AF74" s="43">
        <f>S74</f>
        <v>20436694.227069344</v>
      </c>
      <c r="AG74" s="39">
        <f>L74</f>
        <v>20049671</v>
      </c>
      <c r="AH74" s="138">
        <f>AF74-AG74</f>
        <v>387023.22706934437</v>
      </c>
      <c r="AI74" s="43">
        <f>'1_CL'!T17-AG74</f>
        <v>168014.93514764309</v>
      </c>
      <c r="AJ74" s="140">
        <f t="shared" si="40"/>
        <v>-219008.29192170128</v>
      </c>
      <c r="AK74" s="141" t="str">
        <f t="shared" si="38"/>
        <v>Subestimando la reserva</v>
      </c>
    </row>
    <row r="75" spans="1:37" x14ac:dyDescent="0.25">
      <c r="A75" s="41" t="s">
        <v>23</v>
      </c>
      <c r="B75" s="42">
        <f>'1_CL'!C18</f>
        <v>0</v>
      </c>
      <c r="C75" s="42">
        <f>'1_CL'!D18</f>
        <v>4773306</v>
      </c>
      <c r="D75" s="42">
        <f>'1_CL'!E18</f>
        <v>8697825</v>
      </c>
      <c r="E75" s="42">
        <f>'1_CL'!F18</f>
        <v>12220494</v>
      </c>
      <c r="F75" s="42">
        <f>'1_CL'!G18</f>
        <v>14462971</v>
      </c>
      <c r="G75" s="42">
        <f>'1_CL'!H18</f>
        <v>16656668</v>
      </c>
      <c r="H75" s="42">
        <f>'1_CL'!I18</f>
        <v>19017438</v>
      </c>
      <c r="I75" s="42">
        <f>'1_CL'!J18</f>
        <v>19939378</v>
      </c>
      <c r="J75" s="42">
        <f>'1_CL'!K18</f>
        <v>20384099</v>
      </c>
      <c r="K75" s="37">
        <f>'1_CL'!L18</f>
        <v>20688336</v>
      </c>
      <c r="L75" s="136">
        <f>Triangulo1!N125</f>
        <v>20898106.779323835</v>
      </c>
      <c r="M75" s="136">
        <f>Triangulo1!O125</f>
        <v>21111691.658187851</v>
      </c>
      <c r="N75" s="136">
        <f>Triangulo1!P125</f>
        <v>21152841.95796442</v>
      </c>
      <c r="O75" s="136">
        <f>Triangulo1!Q125</f>
        <v>21178474.555380639</v>
      </c>
      <c r="P75" s="136">
        <f>Triangulo1!R125</f>
        <v>21190675.627089337</v>
      </c>
      <c r="Q75" s="136">
        <f>Triangulo1!S125</f>
        <v>21197868.140018951</v>
      </c>
      <c r="R75" s="136">
        <f>Triangulo1!T125</f>
        <v>21200593.496546071</v>
      </c>
      <c r="S75" s="50">
        <f>R75*R87</f>
        <v>21202087.091293532</v>
      </c>
      <c r="T75" s="50">
        <f t="shared" ref="T75:Y75" si="44">S75*S87</f>
        <v>21202756.736100394</v>
      </c>
      <c r="U75" s="50">
        <f t="shared" si="44"/>
        <v>21202981.528548978</v>
      </c>
      <c r="V75" s="50">
        <f t="shared" si="44"/>
        <v>21203083.964112289</v>
      </c>
      <c r="W75" s="50">
        <f t="shared" si="44"/>
        <v>21203120.665665749</v>
      </c>
      <c r="X75" s="50">
        <f t="shared" si="44"/>
        <v>21203132.921524543</v>
      </c>
      <c r="Y75" s="50">
        <f t="shared" si="44"/>
        <v>21203155.960005052</v>
      </c>
      <c r="Z75" s="43">
        <f t="shared" si="28"/>
        <v>21203155.960005052</v>
      </c>
      <c r="AA75" s="39">
        <f>+K75</f>
        <v>20688336</v>
      </c>
      <c r="AB75" s="138">
        <f>Z75-AA75</f>
        <v>514819.96000505239</v>
      </c>
      <c r="AC75" s="140">
        <f>'1_CL'!AC18</f>
        <v>343341.33618595824</v>
      </c>
      <c r="AD75" s="140">
        <f t="shared" si="36"/>
        <v>-171478.62381909415</v>
      </c>
      <c r="AE75" s="141" t="str">
        <f t="shared" si="37"/>
        <v>Subestimando la reserva</v>
      </c>
      <c r="AF75" s="43">
        <f>R75</f>
        <v>21200593.496546071</v>
      </c>
      <c r="AG75" s="39">
        <f>K75</f>
        <v>20688336</v>
      </c>
      <c r="AH75" s="138">
        <f>AF75-AG75</f>
        <v>512257.49654607102</v>
      </c>
      <c r="AI75" s="43">
        <f>'1_CL'!S18-'1_Validacion_BT'!AG75</f>
        <v>340878.80439106375</v>
      </c>
      <c r="AJ75" s="140">
        <f t="shared" si="40"/>
        <v>-171378.69215500727</v>
      </c>
      <c r="AK75" s="141" t="str">
        <f t="shared" si="38"/>
        <v>Subestimando la reserva</v>
      </c>
    </row>
    <row r="76" spans="1:37" x14ac:dyDescent="0.25">
      <c r="A76" s="35" t="s">
        <v>24</v>
      </c>
      <c r="B76" s="36">
        <f>'1_CL'!C19</f>
        <v>5498188</v>
      </c>
      <c r="C76" s="36">
        <f>'1_CL'!D19</f>
        <v>10669557</v>
      </c>
      <c r="D76" s="36">
        <f>'1_CL'!E19</f>
        <v>14420577</v>
      </c>
      <c r="E76" s="36">
        <f>'1_CL'!F19</f>
        <v>17838126</v>
      </c>
      <c r="F76" s="36">
        <f>'1_CL'!G19</f>
        <v>20243242</v>
      </c>
      <c r="G76" s="36">
        <f>'1_CL'!H19</f>
        <v>22179116</v>
      </c>
      <c r="H76" s="36">
        <f>'1_CL'!I19</f>
        <v>24155749</v>
      </c>
      <c r="I76" s="36">
        <f>'1_CL'!J19</f>
        <v>25145296</v>
      </c>
      <c r="J76" s="37">
        <f>'1_CL'!K19</f>
        <v>25647723</v>
      </c>
      <c r="K76" s="136">
        <f>Triangulo1!M126</f>
        <v>26098747.921675768</v>
      </c>
      <c r="L76" s="136">
        <f>Triangulo1!N126</f>
        <v>26335749.516929939</v>
      </c>
      <c r="M76" s="136">
        <f>Triangulo1!O126</f>
        <v>26408644.013982724</v>
      </c>
      <c r="N76" s="136">
        <f>Triangulo1!P126</f>
        <v>26457448.898615569</v>
      </c>
      <c r="O76" s="136">
        <f>Triangulo1!Q126</f>
        <v>26487647.169072233</v>
      </c>
      <c r="P76" s="136">
        <f>Triangulo1!R126</f>
        <v>26503070.158301111</v>
      </c>
      <c r="Q76" s="136">
        <f>Triangulo1!S126</f>
        <v>26509530.255591664</v>
      </c>
      <c r="R76" s="50">
        <f>Q76*Q87</f>
        <v>26513115.345119994</v>
      </c>
      <c r="S76" s="50">
        <f t="shared" ref="S76:Y76" si="45">R76*R87</f>
        <v>26514983.210273143</v>
      </c>
      <c r="T76" s="50">
        <f t="shared" si="45"/>
        <v>26515820.65711195</v>
      </c>
      <c r="U76" s="50">
        <f t="shared" si="45"/>
        <v>26516101.778870121</v>
      </c>
      <c r="V76" s="50">
        <f t="shared" si="45"/>
        <v>26516229.883109562</v>
      </c>
      <c r="W76" s="50">
        <f t="shared" si="45"/>
        <v>26516275.781471811</v>
      </c>
      <c r="X76" s="50">
        <f t="shared" si="45"/>
        <v>26516291.108448289</v>
      </c>
      <c r="Y76" s="50">
        <f t="shared" si="45"/>
        <v>26516319.919995062</v>
      </c>
      <c r="Z76" s="43">
        <f t="shared" ref="Z76:Z84" si="46">+Y76</f>
        <v>26516319.919995062</v>
      </c>
      <c r="AA76" s="39">
        <f>+J76</f>
        <v>25647723</v>
      </c>
      <c r="AB76" s="138">
        <f t="shared" si="34"/>
        <v>868596.91999506205</v>
      </c>
      <c r="AC76" s="140">
        <f>'1_CL'!AC19</f>
        <v>832031.14012702927</v>
      </c>
      <c r="AD76" s="140">
        <f t="shared" si="36"/>
        <v>-36565.779868032783</v>
      </c>
      <c r="AE76" s="141" t="str">
        <f t="shared" si="37"/>
        <v>Subestimando la reserva</v>
      </c>
      <c r="AF76" s="43">
        <f>Q76</f>
        <v>26509530.255591664</v>
      </c>
      <c r="AG76" s="39">
        <f>+J76</f>
        <v>25647723</v>
      </c>
      <c r="AH76" s="138">
        <f t="shared" ref="AH76:AH83" si="47">AF76-AG76</f>
        <v>861807.25559166446</v>
      </c>
      <c r="AI76" s="43">
        <f>'1_CL'!R19-'1_Validacion_BT'!AG76</f>
        <v>825223.81404665485</v>
      </c>
      <c r="AJ76" s="140">
        <f t="shared" si="40"/>
        <v>-36583.441545009613</v>
      </c>
      <c r="AK76" s="141" t="str">
        <f t="shared" si="38"/>
        <v>Subestimando la reserva</v>
      </c>
    </row>
    <row r="77" spans="1:37" x14ac:dyDescent="0.25">
      <c r="A77" s="41" t="s">
        <v>25</v>
      </c>
      <c r="B77" s="42">
        <f>'1_CL'!C20</f>
        <v>6382667</v>
      </c>
      <c r="C77" s="42">
        <f>'1_CL'!D20</f>
        <v>10460689</v>
      </c>
      <c r="D77" s="42">
        <f>'1_CL'!E20</f>
        <v>15242265</v>
      </c>
      <c r="E77" s="42">
        <f>'1_CL'!F20</f>
        <v>19075882</v>
      </c>
      <c r="F77" s="42">
        <f>'1_CL'!G20</f>
        <v>21908553</v>
      </c>
      <c r="G77" s="42">
        <f>'1_CL'!H20</f>
        <v>23938666</v>
      </c>
      <c r="H77" s="42">
        <f>'1_CL'!I20</f>
        <v>25653115</v>
      </c>
      <c r="I77" s="37">
        <f>'1_CL'!J20</f>
        <v>26811464</v>
      </c>
      <c r="J77" s="136">
        <f>Triangulo1!L127</f>
        <v>28221240.847572174</v>
      </c>
      <c r="K77" s="136">
        <f>Triangulo1!M127</f>
        <v>29142397.83352071</v>
      </c>
      <c r="L77" s="136">
        <f>Triangulo1!N127</f>
        <v>29351843.385160837</v>
      </c>
      <c r="M77" s="136">
        <f>Triangulo1!O127</f>
        <v>29651827.971327163</v>
      </c>
      <c r="N77" s="136">
        <f>Triangulo1!P127</f>
        <v>29731358.128840461</v>
      </c>
      <c r="O77" s="136">
        <f>Triangulo1!Q127</f>
        <v>29798205.269866269</v>
      </c>
      <c r="P77" s="136">
        <f>Triangulo1!R127</f>
        <v>29821776.69759728</v>
      </c>
      <c r="Q77" s="50">
        <f>P77*P87</f>
        <v>29831183.534446865</v>
      </c>
      <c r="R77" s="50">
        <f t="shared" ref="R77:Y77" si="48">Q77*Q87</f>
        <v>29835217.836928874</v>
      </c>
      <c r="S77" s="50">
        <f t="shared" si="48"/>
        <v>29837319.746229567</v>
      </c>
      <c r="T77" s="50">
        <f t="shared" si="48"/>
        <v>29838262.125445947</v>
      </c>
      <c r="U77" s="50">
        <f t="shared" si="48"/>
        <v>29838578.471857321</v>
      </c>
      <c r="V77" s="50">
        <f t="shared" si="48"/>
        <v>29838722.627602119</v>
      </c>
      <c r="W77" s="50">
        <f t="shared" si="48"/>
        <v>29838774.277044982</v>
      </c>
      <c r="X77" s="50">
        <f t="shared" si="48"/>
        <v>29838791.524496894</v>
      </c>
      <c r="Y77" s="50">
        <f t="shared" si="48"/>
        <v>29838823.946140409</v>
      </c>
      <c r="Z77" s="43">
        <f>+Y77</f>
        <v>29838823.946140409</v>
      </c>
      <c r="AA77" s="39">
        <f>+I77</f>
        <v>26811464</v>
      </c>
      <c r="AB77" s="138">
        <f t="shared" si="34"/>
        <v>3027359.9461404085</v>
      </c>
      <c r="AC77" s="140">
        <f>'1_CL'!AC20</f>
        <v>1661641.4468988813</v>
      </c>
      <c r="AD77" s="140">
        <f t="shared" si="36"/>
        <v>-1365718.4992415272</v>
      </c>
      <c r="AE77" s="141" t="str">
        <f t="shared" si="37"/>
        <v>Subestimando la reserva</v>
      </c>
      <c r="AF77" s="43">
        <f>P77</f>
        <v>29821776.69759728</v>
      </c>
      <c r="AG77" s="39">
        <f>+I77</f>
        <v>26811464</v>
      </c>
      <c r="AH77" s="138">
        <f t="shared" si="47"/>
        <v>3010312.6975972801</v>
      </c>
      <c r="AI77" s="43">
        <f>'1_CL'!Q20-'1_Validacion_BT'!AG77</f>
        <v>1645567.8845962435</v>
      </c>
      <c r="AJ77" s="140">
        <f t="shared" si="40"/>
        <v>-1364744.8130010366</v>
      </c>
      <c r="AK77" s="141" t="str">
        <f t="shared" si="38"/>
        <v>Subestimando la reserva</v>
      </c>
    </row>
    <row r="78" spans="1:37" x14ac:dyDescent="0.25">
      <c r="A78" s="35" t="s">
        <v>26</v>
      </c>
      <c r="B78" s="36">
        <f>'1_CL'!C21</f>
        <v>3022770</v>
      </c>
      <c r="C78" s="36">
        <f>'1_CL'!D21</f>
        <v>7899209</v>
      </c>
      <c r="D78" s="36">
        <f>'1_CL'!E21</f>
        <v>11259161</v>
      </c>
      <c r="E78" s="36">
        <f>'1_CL'!F21</f>
        <v>14497513</v>
      </c>
      <c r="F78" s="36">
        <f>'1_CL'!G21</f>
        <v>17221120</v>
      </c>
      <c r="G78" s="36">
        <f>'1_CL'!H21</f>
        <v>19234288</v>
      </c>
      <c r="H78" s="37">
        <f>'1_CL'!I21</f>
        <v>21399003</v>
      </c>
      <c r="I78" s="136">
        <f>Triangulo1!K128</f>
        <v>22420623.520398337</v>
      </c>
      <c r="J78" s="136">
        <f>Triangulo1!L128</f>
        <v>23161318.556421932</v>
      </c>
      <c r="K78" s="136">
        <f>Triangulo1!M128</f>
        <v>23450348.822668999</v>
      </c>
      <c r="L78" s="136">
        <f>Triangulo1!N128</f>
        <v>23594816.192262162</v>
      </c>
      <c r="M78" s="136">
        <f>Triangulo1!O128</f>
        <v>23660553.903288014</v>
      </c>
      <c r="N78" s="136">
        <f>Triangulo1!P128</f>
        <v>23709000.202297911</v>
      </c>
      <c r="O78" s="136">
        <f>Triangulo1!Q128</f>
        <v>23738895.621809669</v>
      </c>
      <c r="P78" s="50">
        <f>O78*O87</f>
        <v>23753677.393315781</v>
      </c>
      <c r="Q78" s="50">
        <f t="shared" ref="Q78:Y78" si="49">P78*P87</f>
        <v>23761170.138301514</v>
      </c>
      <c r="R78" s="50">
        <f t="shared" si="49"/>
        <v>23764383.545759976</v>
      </c>
      <c r="S78" s="50">
        <f t="shared" si="49"/>
        <v>23766057.761080712</v>
      </c>
      <c r="T78" s="50">
        <f t="shared" si="49"/>
        <v>23766808.386106011</v>
      </c>
      <c r="U78" s="50">
        <f t="shared" si="49"/>
        <v>23767060.362729553</v>
      </c>
      <c r="V78" s="50">
        <f t="shared" si="49"/>
        <v>23767175.185836542</v>
      </c>
      <c r="W78" s="50">
        <f t="shared" si="49"/>
        <v>23767216.325712804</v>
      </c>
      <c r="X78" s="50">
        <f t="shared" si="49"/>
        <v>23767230.063673917</v>
      </c>
      <c r="Y78" s="50">
        <f t="shared" si="49"/>
        <v>23767255.88820035</v>
      </c>
      <c r="Z78" s="43">
        <f t="shared" si="46"/>
        <v>23767255.88820035</v>
      </c>
      <c r="AA78" s="39">
        <f>+H78</f>
        <v>21399003</v>
      </c>
      <c r="AB78" s="138">
        <f t="shared" si="34"/>
        <v>2368252.8882003501</v>
      </c>
      <c r="AC78" s="140">
        <f>'1_CL'!AC21</f>
        <v>2608857.3940589502</v>
      </c>
      <c r="AD78" s="140">
        <f t="shared" si="36"/>
        <v>240604.50585860014</v>
      </c>
      <c r="AE78" s="141" t="str">
        <f t="shared" si="37"/>
        <v>Sobreestimando la reserva</v>
      </c>
      <c r="AF78" s="43">
        <f>O78</f>
        <v>23738895.621809669</v>
      </c>
      <c r="AG78" s="39">
        <f>+H78</f>
        <v>21399003</v>
      </c>
      <c r="AH78" s="138">
        <f t="shared" si="47"/>
        <v>2339892.6218096688</v>
      </c>
      <c r="AI78" s="43">
        <f>'1_CL'!P21-'1_Validacion_BT'!AG78</f>
        <v>2581179.4714209996</v>
      </c>
      <c r="AJ78" s="140">
        <f t="shared" si="40"/>
        <v>241286.84961133078</v>
      </c>
      <c r="AK78" s="141" t="str">
        <f t="shared" si="38"/>
        <v>Sobreestimando la reserva</v>
      </c>
    </row>
    <row r="79" spans="1:37" x14ac:dyDescent="0.25">
      <c r="A79" s="41" t="s">
        <v>27</v>
      </c>
      <c r="B79" s="42">
        <f>'1_CL'!C22</f>
        <v>6936281</v>
      </c>
      <c r="C79" s="42">
        <f>'1_CL'!D22</f>
        <v>21936281</v>
      </c>
      <c r="D79" s="42">
        <f>'1_CL'!E22</f>
        <v>25150070</v>
      </c>
      <c r="E79" s="42">
        <f>'1_CL'!F22</f>
        <v>28898330</v>
      </c>
      <c r="F79" s="42">
        <f>'1_CL'!G22</f>
        <v>31903741</v>
      </c>
      <c r="G79" s="37">
        <f>'1_CL'!H22</f>
        <v>33589263</v>
      </c>
      <c r="H79" s="136">
        <f>Triangulo1!J129</f>
        <v>35791519.415994368</v>
      </c>
      <c r="I79" s="136">
        <f>Triangulo1!K129</f>
        <v>37793088.939950541</v>
      </c>
      <c r="J79" s="136">
        <f>Triangulo1!L129</f>
        <v>39020724.054758981</v>
      </c>
      <c r="K79" s="136">
        <f>Triangulo1!M129</f>
        <v>39236436.954245813</v>
      </c>
      <c r="L79" s="136">
        <f>Triangulo1!N129</f>
        <v>39592741.332454041</v>
      </c>
      <c r="M79" s="136">
        <f>Triangulo1!O129</f>
        <v>40000570.458180428</v>
      </c>
      <c r="N79" s="136">
        <f>Triangulo1!P129</f>
        <v>40080069.31377361</v>
      </c>
      <c r="O79" s="50">
        <f>N79*N87</f>
        <v>40132933.304186568</v>
      </c>
      <c r="P79" s="50">
        <f t="shared" ref="P79:Y79" si="50">O79*O87</f>
        <v>40157923.339924686</v>
      </c>
      <c r="Q79" s="50">
        <f t="shared" si="50"/>
        <v>40170590.560825281</v>
      </c>
      <c r="R79" s="50">
        <f t="shared" si="50"/>
        <v>40176023.14156805</v>
      </c>
      <c r="S79" s="50">
        <f t="shared" si="50"/>
        <v>40178853.566911936</v>
      </c>
      <c r="T79" s="50">
        <f t="shared" si="50"/>
        <v>40180122.572199993</v>
      </c>
      <c r="U79" s="50">
        <f t="shared" si="50"/>
        <v>40180548.5634166</v>
      </c>
      <c r="V79" s="50">
        <f t="shared" si="50"/>
        <v>40180742.683150224</v>
      </c>
      <c r="W79" s="50">
        <f t="shared" si="50"/>
        <v>40180812.234149419</v>
      </c>
      <c r="X79" s="50">
        <f t="shared" si="50"/>
        <v>40180835.459521227</v>
      </c>
      <c r="Y79" s="50">
        <f t="shared" si="50"/>
        <v>40180879.118418142</v>
      </c>
      <c r="Z79" s="43">
        <f t="shared" si="46"/>
        <v>40180879.118418142</v>
      </c>
      <c r="AA79" s="39">
        <f>+G79</f>
        <v>33589263</v>
      </c>
      <c r="AB79" s="138">
        <f t="shared" si="34"/>
        <v>6591616.1184181422</v>
      </c>
      <c r="AC79" s="140">
        <f>'1_CL'!AC22</f>
        <v>8321752.439681679</v>
      </c>
      <c r="AD79" s="140">
        <f t="shared" si="36"/>
        <v>1730136.3212635368</v>
      </c>
      <c r="AE79" s="141" t="str">
        <f t="shared" si="37"/>
        <v>Sobreestimando la reserva</v>
      </c>
      <c r="AF79" s="43">
        <f>N79</f>
        <v>40080069.31377361</v>
      </c>
      <c r="AG79" s="39">
        <f>+G79</f>
        <v>33589263</v>
      </c>
      <c r="AH79" s="138">
        <f t="shared" si="47"/>
        <v>6490806.3137736097</v>
      </c>
      <c r="AI79" s="43">
        <f>'1_CL'!O22-'1_Validacion_BT'!AG79</f>
        <v>8225928.5522746965</v>
      </c>
      <c r="AJ79" s="140">
        <f t="shared" si="40"/>
        <v>1735122.2385010868</v>
      </c>
      <c r="AK79" s="141" t="str">
        <f t="shared" si="38"/>
        <v>Sobreestimando la reserva</v>
      </c>
    </row>
    <row r="80" spans="1:37" x14ac:dyDescent="0.25">
      <c r="A80" s="35" t="s">
        <v>28</v>
      </c>
      <c r="B80" s="36">
        <f>'1_CL'!C23</f>
        <v>6691248</v>
      </c>
      <c r="C80" s="36">
        <f>'1_CL'!D23</f>
        <v>11756013</v>
      </c>
      <c r="D80" s="36">
        <f>'1_CL'!E23</f>
        <v>15391294</v>
      </c>
      <c r="E80" s="36">
        <f>'1_CL'!F23</f>
        <v>18736499</v>
      </c>
      <c r="F80" s="37">
        <f>'1_CL'!G23</f>
        <v>21705785</v>
      </c>
      <c r="G80" s="136">
        <f>Triangulo1!I130</f>
        <v>25137870.705052555</v>
      </c>
      <c r="H80" s="136">
        <f>Triangulo1!J130</f>
        <v>26253225.565145329</v>
      </c>
      <c r="I80" s="136">
        <f>Triangulo1!K130</f>
        <v>34924860.866050549</v>
      </c>
      <c r="J80" s="136">
        <f>Triangulo1!L130</f>
        <v>36209483.438978292</v>
      </c>
      <c r="K80" s="136">
        <f>Triangulo1!M130</f>
        <v>36787595.329640098</v>
      </c>
      <c r="L80" s="136">
        <f>Triangulo1!N130</f>
        <v>37320253.399395227</v>
      </c>
      <c r="M80" s="136">
        <f>Triangulo1!O130</f>
        <v>37580911.744190052</v>
      </c>
      <c r="N80" s="50">
        <f>M80*M87</f>
        <v>37662794.241480052</v>
      </c>
      <c r="O80" s="50">
        <f t="shared" ref="O80:Y80" si="51">N80*N87</f>
        <v>37712469.943837747</v>
      </c>
      <c r="P80" s="50">
        <f t="shared" si="51"/>
        <v>37735952.801782019</v>
      </c>
      <c r="Q80" s="50">
        <f t="shared" si="51"/>
        <v>37747856.048022829</v>
      </c>
      <c r="R80" s="50">
        <f t="shared" si="51"/>
        <v>37752960.983573548</v>
      </c>
      <c r="S80" s="50">
        <f t="shared" si="51"/>
        <v>37755620.702709965</v>
      </c>
      <c r="T80" s="50">
        <f t="shared" si="51"/>
        <v>37756813.172829747</v>
      </c>
      <c r="U80" s="50">
        <f t="shared" si="51"/>
        <v>37757213.472026192</v>
      </c>
      <c r="V80" s="50">
        <f t="shared" si="51"/>
        <v>37757395.884175442</v>
      </c>
      <c r="W80" s="50">
        <f t="shared" si="51"/>
        <v>37757461.240473889</v>
      </c>
      <c r="X80" s="50">
        <f t="shared" si="51"/>
        <v>37757483.06509681</v>
      </c>
      <c r="Y80" s="50">
        <f t="shared" si="51"/>
        <v>37757524.090875447</v>
      </c>
      <c r="Z80" s="43">
        <f t="shared" si="46"/>
        <v>37757524.090875447</v>
      </c>
      <c r="AA80" s="39">
        <f>+F80</f>
        <v>21705785</v>
      </c>
      <c r="AB80" s="138">
        <f t="shared" si="34"/>
        <v>16051739.090875447</v>
      </c>
      <c r="AC80" s="140">
        <f>'1_CL'!AC23</f>
        <v>8200379.2622825056</v>
      </c>
      <c r="AD80" s="140">
        <f t="shared" si="36"/>
        <v>-7851359.8285929412</v>
      </c>
      <c r="AE80" s="141" t="str">
        <f t="shared" si="37"/>
        <v>Subestimando la reserva</v>
      </c>
      <c r="AF80" s="43">
        <f>M80</f>
        <v>37580911.744190052</v>
      </c>
      <c r="AG80" s="39">
        <f>+F80</f>
        <v>21705785</v>
      </c>
      <c r="AH80" s="138">
        <f t="shared" si="47"/>
        <v>15875126.744190052</v>
      </c>
      <c r="AI80" s="43">
        <f>'1_CL'!N23-'1_Validacion_BT'!AG80</f>
        <v>8064944.9071596563</v>
      </c>
      <c r="AJ80" s="140">
        <f t="shared" si="40"/>
        <v>-7810181.8370303959</v>
      </c>
      <c r="AK80" s="141" t="str">
        <f t="shared" si="38"/>
        <v>Subestimando la reserva</v>
      </c>
    </row>
    <row r="81" spans="1:37" x14ac:dyDescent="0.25">
      <c r="A81" s="41" t="s">
        <v>29</v>
      </c>
      <c r="B81" s="42">
        <f>'1_CL'!C24</f>
        <v>4191817</v>
      </c>
      <c r="C81" s="42">
        <f>'1_CL'!D24</f>
        <v>9775450</v>
      </c>
      <c r="D81" s="42">
        <f>'1_CL'!E24</f>
        <v>14374440</v>
      </c>
      <c r="E81" s="37">
        <f>'1_CL'!F24</f>
        <v>17306094</v>
      </c>
      <c r="F81" s="136">
        <f>Triangulo1!H131</f>
        <v>21275681.091986191</v>
      </c>
      <c r="G81" s="136">
        <f>Triangulo1!I131</f>
        <v>24237832.499925278</v>
      </c>
      <c r="H81" s="136">
        <f>Triangulo1!J131</f>
        <v>25973707.326520227</v>
      </c>
      <c r="I81" s="136">
        <f>Triangulo1!K131</f>
        <v>26811701.60519572</v>
      </c>
      <c r="J81" s="136">
        <f>Triangulo1!L131</f>
        <v>27490115.971591122</v>
      </c>
      <c r="K81" s="136">
        <f>Triangulo1!M131</f>
        <v>27642085.797039248</v>
      </c>
      <c r="L81" s="136">
        <f>Triangulo1!N131</f>
        <v>27982946.776782334</v>
      </c>
      <c r="M81" s="50">
        <f>L81*L87</f>
        <v>28164148.706099685</v>
      </c>
      <c r="N81" s="50">
        <f t="shared" ref="N81:Y81" si="52">M81*M87</f>
        <v>28225513.657695327</v>
      </c>
      <c r="O81" s="50">
        <f t="shared" si="52"/>
        <v>28262741.968647588</v>
      </c>
      <c r="P81" s="50">
        <f t="shared" si="52"/>
        <v>28280340.655653603</v>
      </c>
      <c r="Q81" s="50">
        <f t="shared" si="52"/>
        <v>28289261.269381482</v>
      </c>
      <c r="R81" s="50">
        <f t="shared" si="52"/>
        <v>28293087.045748066</v>
      </c>
      <c r="S81" s="50">
        <f t="shared" si="52"/>
        <v>28295080.310993582</v>
      </c>
      <c r="T81" s="50">
        <f t="shared" si="52"/>
        <v>28295973.980258703</v>
      </c>
      <c r="U81" s="50">
        <f t="shared" si="52"/>
        <v>28296273.975271393</v>
      </c>
      <c r="V81" s="50">
        <f t="shared" si="52"/>
        <v>28296410.679855153</v>
      </c>
      <c r="W81" s="50">
        <f t="shared" si="52"/>
        <v>28296459.659627672</v>
      </c>
      <c r="X81" s="50">
        <f t="shared" si="52"/>
        <v>28296476.015588637</v>
      </c>
      <c r="Y81" s="50">
        <f t="shared" si="52"/>
        <v>28296506.761413492</v>
      </c>
      <c r="Z81" s="43">
        <f t="shared" si="46"/>
        <v>28296506.761413492</v>
      </c>
      <c r="AA81" s="39">
        <f>+E81</f>
        <v>17306094</v>
      </c>
      <c r="AB81" s="138">
        <f t="shared" si="34"/>
        <v>10990412.761413492</v>
      </c>
      <c r="AC81" s="140">
        <f>'1_CL'!AC24</f>
        <v>10399399.436663222</v>
      </c>
      <c r="AD81" s="140">
        <f t="shared" si="36"/>
        <v>-591013.32475027069</v>
      </c>
      <c r="AE81" s="141" t="str">
        <f t="shared" si="37"/>
        <v>Subestimando la reserva</v>
      </c>
      <c r="AF81" s="43">
        <f>L81</f>
        <v>27982946.776782334</v>
      </c>
      <c r="AG81" s="39">
        <f>+E81</f>
        <v>17306094</v>
      </c>
      <c r="AH81" s="138">
        <f t="shared" si="47"/>
        <v>10676852.776782334</v>
      </c>
      <c r="AI81" s="43">
        <f>'1_CL'!M24-'1_Validacion_BT'!AG81</f>
        <v>10167835.158507105</v>
      </c>
      <c r="AJ81" s="140">
        <f t="shared" si="40"/>
        <v>-509017.61827522889</v>
      </c>
      <c r="AK81" s="141" t="str">
        <f t="shared" si="38"/>
        <v>Subestimando la reserva</v>
      </c>
    </row>
    <row r="82" spans="1:37" x14ac:dyDescent="0.25">
      <c r="A82" s="35" t="s">
        <v>30</v>
      </c>
      <c r="B82" s="36">
        <f>'1_CL'!C25</f>
        <v>5916671</v>
      </c>
      <c r="C82" s="36">
        <f>'1_CL'!D25</f>
        <v>11716355</v>
      </c>
      <c r="D82" s="37">
        <f>'1_CL'!E25</f>
        <v>15374462</v>
      </c>
      <c r="E82" s="136">
        <f>Triangulo1!G132</f>
        <v>16390213.741698958</v>
      </c>
      <c r="F82" s="136">
        <f>Triangulo1!H132</f>
        <v>17971207.696592305</v>
      </c>
      <c r="G82" s="136">
        <f>Triangulo1!I132</f>
        <v>19689805.623171106</v>
      </c>
      <c r="H82" s="136">
        <f>Triangulo1!J132</f>
        <v>22173012.888306864</v>
      </c>
      <c r="I82" s="136">
        <f>Triangulo1!K132</f>
        <v>22978560.925680678</v>
      </c>
      <c r="J82" s="136">
        <f>Triangulo1!L132</f>
        <v>23724974.861968145</v>
      </c>
      <c r="K82" s="136">
        <f>Triangulo1!M132</f>
        <v>24640789.133049667</v>
      </c>
      <c r="L82" s="50">
        <f>K82*K87</f>
        <v>24869195.522874027</v>
      </c>
      <c r="M82" s="50">
        <f t="shared" ref="M82:Y82" si="53">L82*L87</f>
        <v>25030234.538716856</v>
      </c>
      <c r="N82" s="50">
        <f t="shared" si="53"/>
        <v>25084771.217489727</v>
      </c>
      <c r="O82" s="50">
        <f t="shared" si="53"/>
        <v>25117857.016188607</v>
      </c>
      <c r="P82" s="50">
        <f t="shared" si="53"/>
        <v>25133497.441465817</v>
      </c>
      <c r="Q82" s="50">
        <f t="shared" si="53"/>
        <v>25141425.430206686</v>
      </c>
      <c r="R82" s="50">
        <f t="shared" si="53"/>
        <v>25144825.50030103</v>
      </c>
      <c r="S82" s="50">
        <f t="shared" si="53"/>
        <v>25146596.968599744</v>
      </c>
      <c r="T82" s="50">
        <f t="shared" si="53"/>
        <v>25147391.196450885</v>
      </c>
      <c r="U82" s="50">
        <f t="shared" si="53"/>
        <v>25147657.810066886</v>
      </c>
      <c r="V82" s="50">
        <f t="shared" si="53"/>
        <v>25147779.303097963</v>
      </c>
      <c r="W82" s="50">
        <f t="shared" si="53"/>
        <v>25147822.832735825</v>
      </c>
      <c r="X82" s="50">
        <f t="shared" si="53"/>
        <v>25147837.36871713</v>
      </c>
      <c r="Y82" s="50">
        <f t="shared" si="53"/>
        <v>25147864.693356521</v>
      </c>
      <c r="Z82" s="43">
        <f t="shared" si="46"/>
        <v>25147864.693356521</v>
      </c>
      <c r="AA82" s="39">
        <f>+D82</f>
        <v>15374462</v>
      </c>
      <c r="AB82" s="138">
        <f t="shared" si="34"/>
        <v>9773402.6933565214</v>
      </c>
      <c r="AC82" s="140">
        <f>'1_CL'!AC25</f>
        <v>15289606.484099515</v>
      </c>
      <c r="AD82" s="140">
        <f t="shared" si="36"/>
        <v>5516203.7907429934</v>
      </c>
      <c r="AE82" s="141" t="str">
        <f t="shared" si="37"/>
        <v>Sobreestimando la reserva</v>
      </c>
      <c r="AF82" s="43">
        <f>K82</f>
        <v>24640789.133049667</v>
      </c>
      <c r="AG82" s="39">
        <f>+D82</f>
        <v>15374462</v>
      </c>
      <c r="AH82" s="138">
        <f t="shared" si="47"/>
        <v>9266327.1330496669</v>
      </c>
      <c r="AI82" s="43">
        <f>'1_CL'!L25-'1_Validacion_BT'!AG82</f>
        <v>14789016.727137335</v>
      </c>
      <c r="AJ82" s="140">
        <f t="shared" si="40"/>
        <v>5522689.5940876678</v>
      </c>
      <c r="AK82" s="141" t="str">
        <f t="shared" si="38"/>
        <v>Sobreestimando la reserva</v>
      </c>
    </row>
    <row r="83" spans="1:37" x14ac:dyDescent="0.25">
      <c r="A83" s="41" t="s">
        <v>31</v>
      </c>
      <c r="B83" s="42">
        <f>'1_CL'!C26</f>
        <v>4926500</v>
      </c>
      <c r="C83" s="37">
        <f>'1_CL'!D26</f>
        <v>9321834</v>
      </c>
      <c r="D83" s="136">
        <f>Triangulo1!F133</f>
        <v>10218330.49389434</v>
      </c>
      <c r="E83" s="136">
        <f>Triangulo1!G133</f>
        <v>12788366.213192735</v>
      </c>
      <c r="F83" s="136">
        <f>Triangulo1!H133</f>
        <v>13312403.956044367</v>
      </c>
      <c r="G83" s="136">
        <f>Triangulo1!I133</f>
        <v>14024370.28484544</v>
      </c>
      <c r="H83" s="136">
        <f>Triangulo1!J133</f>
        <v>14646624.641249582</v>
      </c>
      <c r="I83" s="136">
        <f>Triangulo1!K133</f>
        <v>15356673.446023054</v>
      </c>
      <c r="J83" s="136">
        <f>Triangulo1!L133</f>
        <v>16164144.559123395</v>
      </c>
      <c r="K83" s="50">
        <f>J83*J87</f>
        <v>16432873.659472913</v>
      </c>
      <c r="L83" s="50">
        <f t="shared" ref="L83:Y83" si="54">K83*K87</f>
        <v>16585197.244839171</v>
      </c>
      <c r="M83" s="50">
        <f t="shared" si="54"/>
        <v>16692593.716084551</v>
      </c>
      <c r="N83" s="50">
        <f t="shared" si="54"/>
        <v>16728964.075298404</v>
      </c>
      <c r="O83" s="50">
        <f t="shared" si="54"/>
        <v>16751028.90232183</v>
      </c>
      <c r="P83" s="50">
        <f t="shared" si="54"/>
        <v>16761459.458387753</v>
      </c>
      <c r="Q83" s="50">
        <f t="shared" si="54"/>
        <v>16766746.612003207</v>
      </c>
      <c r="R83" s="50">
        <f t="shared" si="54"/>
        <v>16769014.10928148</v>
      </c>
      <c r="S83" s="50">
        <f t="shared" si="54"/>
        <v>16770195.496557161</v>
      </c>
      <c r="T83" s="50">
        <f t="shared" si="54"/>
        <v>16770725.164899524</v>
      </c>
      <c r="U83" s="50">
        <f t="shared" si="54"/>
        <v>16770902.968777638</v>
      </c>
      <c r="V83" s="50">
        <f t="shared" si="54"/>
        <v>16770983.992141761</v>
      </c>
      <c r="W83" s="50">
        <f t="shared" si="54"/>
        <v>16771013.02193604</v>
      </c>
      <c r="X83" s="50">
        <f t="shared" si="54"/>
        <v>16771022.715941496</v>
      </c>
      <c r="Y83" s="50">
        <f t="shared" si="54"/>
        <v>16771040.93866742</v>
      </c>
      <c r="Z83" s="43">
        <f t="shared" si="46"/>
        <v>16771040.93866742</v>
      </c>
      <c r="AA83" s="39">
        <f>+C83</f>
        <v>9321834</v>
      </c>
      <c r="AB83" s="138">
        <f t="shared" si="34"/>
        <v>7449206.9386674203</v>
      </c>
      <c r="AC83" s="140">
        <f>'1_CL'!AC26</f>
        <v>15731243.082726397</v>
      </c>
      <c r="AD83" s="140">
        <f t="shared" si="36"/>
        <v>8282036.1440589763</v>
      </c>
      <c r="AE83" s="141" t="str">
        <f t="shared" si="37"/>
        <v>Sobreestimando la reserva</v>
      </c>
      <c r="AF83" s="43">
        <f>J83</f>
        <v>16164144.559123395</v>
      </c>
      <c r="AG83" s="39">
        <f>+C83</f>
        <v>9321834</v>
      </c>
      <c r="AH83" s="138">
        <f t="shared" si="47"/>
        <v>6842310.559123395</v>
      </c>
      <c r="AI83" s="43">
        <f>'1_CL'!K26-'1_Validacion_BT'!AG83</f>
        <v>14944040.143510174</v>
      </c>
      <c r="AJ83" s="140">
        <f t="shared" si="40"/>
        <v>8101729.584386779</v>
      </c>
      <c r="AK83" s="141" t="str">
        <f t="shared" si="38"/>
        <v>Sobreestimando la reserva</v>
      </c>
    </row>
    <row r="84" spans="1:37" x14ac:dyDescent="0.25">
      <c r="A84" s="35" t="s">
        <v>32</v>
      </c>
      <c r="B84" s="49">
        <f>'1_CL'!C27</f>
        <v>5149958</v>
      </c>
      <c r="C84" s="136">
        <f>Triangulo1!E134</f>
        <v>9993796.2158816699</v>
      </c>
      <c r="D84" s="136">
        <f>Triangulo1!F134</f>
        <v>12235686.410649884</v>
      </c>
      <c r="E84" s="136">
        <f>Triangulo1!G134</f>
        <v>13674328.215469556</v>
      </c>
      <c r="F84" s="136">
        <f>Triangulo1!H134</f>
        <v>15841381.480308346</v>
      </c>
      <c r="G84" s="136">
        <f>Triangulo1!I134</f>
        <v>16394109.410252141</v>
      </c>
      <c r="H84" s="136">
        <f>Triangulo1!J134</f>
        <v>16848529.133357372</v>
      </c>
      <c r="I84" s="136">
        <f>Triangulo1!K134</f>
        <v>17392116.186231982</v>
      </c>
      <c r="J84" s="50">
        <f>I84*I87</f>
        <v>17970985.391832214</v>
      </c>
      <c r="K84" s="50">
        <f>J84*J87</f>
        <v>18269753.243052378</v>
      </c>
      <c r="L84" s="50">
        <f t="shared" ref="L84:Y84" si="55">K84*K87</f>
        <v>18439103.678977765</v>
      </c>
      <c r="M84" s="50">
        <f t="shared" si="55"/>
        <v>18558505.012517296</v>
      </c>
      <c r="N84" s="50">
        <f t="shared" si="55"/>
        <v>18598940.879181143</v>
      </c>
      <c r="O84" s="50">
        <f t="shared" si="55"/>
        <v>18623472.129978914</v>
      </c>
      <c r="P84" s="50">
        <f t="shared" si="55"/>
        <v>18635068.621831838</v>
      </c>
      <c r="Q84" s="50">
        <f t="shared" si="55"/>
        <v>18640946.777650114</v>
      </c>
      <c r="R84" s="50">
        <f t="shared" si="55"/>
        <v>18643467.73756326</v>
      </c>
      <c r="S84" s="50">
        <f t="shared" si="55"/>
        <v>18644781.18124076</v>
      </c>
      <c r="T84" s="50">
        <f t="shared" si="55"/>
        <v>18645370.056328353</v>
      </c>
      <c r="U84" s="50">
        <f t="shared" si="55"/>
        <v>18645567.735264253</v>
      </c>
      <c r="V84" s="50">
        <f t="shared" si="55"/>
        <v>18645657.815483946</v>
      </c>
      <c r="W84" s="50">
        <f t="shared" si="55"/>
        <v>18645690.090251535</v>
      </c>
      <c r="X84" s="50">
        <f t="shared" si="55"/>
        <v>18645700.867860571</v>
      </c>
      <c r="Y84" s="50">
        <f t="shared" si="55"/>
        <v>18645721.127537176</v>
      </c>
      <c r="Z84" s="43">
        <f t="shared" si="46"/>
        <v>18645721.127537176</v>
      </c>
      <c r="AA84" s="39">
        <f>+B84</f>
        <v>5149958</v>
      </c>
      <c r="AB84" s="138">
        <f>Z84-AA84</f>
        <v>13495763.127537176</v>
      </c>
      <c r="AC84" s="140">
        <f>'1_CL'!AC27</f>
        <v>24566034.930802129</v>
      </c>
      <c r="AD84" s="140">
        <f t="shared" si="36"/>
        <v>11070271.803264953</v>
      </c>
      <c r="AE84" s="141" t="str">
        <f t="shared" si="37"/>
        <v>Sobreestimando la reserva</v>
      </c>
      <c r="AF84" s="43">
        <f>I84</f>
        <v>17392116.186231982</v>
      </c>
      <c r="AG84" s="39">
        <f>+B84</f>
        <v>5149958</v>
      </c>
      <c r="AH84" s="138">
        <f>AF84-AG84</f>
        <v>12242158.186231982</v>
      </c>
      <c r="AI84" s="43">
        <f>'1_CL'!J27-'1_Validacion_BT'!AG84</f>
        <v>22831860.708687101</v>
      </c>
      <c r="AJ84" s="140">
        <f t="shared" si="40"/>
        <v>10589702.522455119</v>
      </c>
      <c r="AK84" s="141" t="str">
        <f t="shared" si="38"/>
        <v>Sobreestimando la reserva</v>
      </c>
    </row>
    <row r="85" spans="1:37" ht="15" customHeight="1" x14ac:dyDescent="0.25">
      <c r="A85" s="44" t="s">
        <v>235</v>
      </c>
      <c r="B85" s="53"/>
      <c r="C85" s="53"/>
      <c r="D85" s="53"/>
      <c r="E85" s="53"/>
      <c r="F85" s="53"/>
      <c r="G85" s="53"/>
      <c r="H85" s="53"/>
      <c r="I85" s="53">
        <f>SUM(J69:J83)</f>
        <v>340856138.29041409</v>
      </c>
      <c r="J85" s="53">
        <f>SUM(K68:K82)</f>
        <v>343902498.79184031</v>
      </c>
      <c r="K85" s="53">
        <f>SUM(L67:L81)</f>
        <v>332893475.38230842</v>
      </c>
      <c r="L85" s="53">
        <f>SUM(M66:M80)</f>
        <v>319899331.44274873</v>
      </c>
      <c r="M85" s="53">
        <f>SUM(N65:N79)</f>
        <v>294713604.1080181</v>
      </c>
      <c r="N85" s="53">
        <f>SUM(O64:O78)</f>
        <v>274421018.24967098</v>
      </c>
      <c r="O85" s="53">
        <f>SUM(P63:P77)</f>
        <v>262709806.3705914</v>
      </c>
      <c r="P85" s="53">
        <f>SUM(Q62:Q76)</f>
        <v>250694333.5436936</v>
      </c>
      <c r="Q85" s="53">
        <f>SUM(R61:R75)</f>
        <v>238939014.49611574</v>
      </c>
      <c r="R85" s="53">
        <f>SUM(S61:S74)</f>
        <v>217753760.8041831</v>
      </c>
      <c r="S85" s="53">
        <f>SUM(T61:T73)</f>
        <v>197323298.62155208</v>
      </c>
      <c r="T85" s="53">
        <f>SUM(U61:U72)</f>
        <v>177614149.7646209</v>
      </c>
      <c r="U85" s="53">
        <f>SUM(V61:V71)</f>
        <v>158844024.25034899</v>
      </c>
      <c r="V85" s="53">
        <f>SUM(W61:W70)</f>
        <v>143707003.74975857</v>
      </c>
      <c r="W85" s="53">
        <f>SUM(X61:X69)</f>
        <v>129355515.52901886</v>
      </c>
      <c r="X85" s="53">
        <f>SUM(Y61:Y68)</f>
        <v>113622651.43966851</v>
      </c>
      <c r="Y85" s="53"/>
      <c r="Z85" s="43"/>
      <c r="AA85" s="39"/>
      <c r="AB85" s="38"/>
    </row>
    <row r="86" spans="1:37" ht="15" customHeight="1" x14ac:dyDescent="0.25">
      <c r="A86" s="46" t="s">
        <v>236</v>
      </c>
      <c r="B86" s="51"/>
      <c r="C86" s="51"/>
      <c r="D86" s="51"/>
      <c r="E86" s="51"/>
      <c r="F86" s="51"/>
      <c r="G86" s="51"/>
      <c r="H86" s="51"/>
      <c r="I86" s="51">
        <f>SUM(I69:I83)</f>
        <v>329876711.30329889</v>
      </c>
      <c r="J86" s="51">
        <f>SUM(J68:J82)</f>
        <v>338278612.7312907</v>
      </c>
      <c r="K86" s="51">
        <f>SUM(K67:K81)</f>
        <v>329836078.65879065</v>
      </c>
      <c r="L86" s="51">
        <f>SUM(L66:L80)</f>
        <v>317841169.60552609</v>
      </c>
      <c r="M86" s="51">
        <f>SUM(M65:M79)</f>
        <v>294072868.69855869</v>
      </c>
      <c r="N86" s="51">
        <f>SUM(N64:N78)</f>
        <v>274059544.79424447</v>
      </c>
      <c r="O86" s="51">
        <f>SUM(O63:O77)</f>
        <v>262546323.62786132</v>
      </c>
      <c r="P86" s="51">
        <f>SUM(P62:P76)</f>
        <v>250615280.67299414</v>
      </c>
      <c r="Q86" s="51">
        <f>SUM(Q61:Q75)</f>
        <v>238906705.28810194</v>
      </c>
      <c r="R86" s="51">
        <f>SUM(R61:R74)</f>
        <v>217738420.99956968</v>
      </c>
      <c r="S86" s="51">
        <f>SUM(S61:S73)</f>
        <v>197317066.57711375</v>
      </c>
      <c r="T86" s="51">
        <f>SUM(T61:T72)</f>
        <v>177612266.71248621</v>
      </c>
      <c r="U86" s="51">
        <f>SUM(U61:U71)</f>
        <v>158843256.848912</v>
      </c>
      <c r="V86" s="51">
        <f>SUM(V61:V70)</f>
        <v>143706755.00004083</v>
      </c>
      <c r="W86" s="51">
        <f>SUM(W61:W69)</f>
        <v>129355440.75879796</v>
      </c>
      <c r="X86" s="51">
        <f>SUM(X61:X68)</f>
        <v>113622527.98195091</v>
      </c>
      <c r="Y86" s="51"/>
      <c r="Z86" s="43"/>
      <c r="AA86" s="39"/>
      <c r="AB86" s="38"/>
    </row>
    <row r="87" spans="1:37" ht="15" customHeight="1" x14ac:dyDescent="0.25">
      <c r="A87" s="46" t="s">
        <v>237</v>
      </c>
      <c r="B87" s="52"/>
      <c r="C87" s="52"/>
      <c r="D87" s="52"/>
      <c r="E87" s="52"/>
      <c r="F87" s="52"/>
      <c r="G87" s="52"/>
      <c r="H87" s="52"/>
      <c r="I87" s="52">
        <f t="shared" ref="I87:X87" si="56">I85/I86</f>
        <v>1.0332834256281291</v>
      </c>
      <c r="J87" s="52">
        <f>J85/J86</f>
        <v>1.0166250121908147</v>
      </c>
      <c r="K87" s="52">
        <f t="shared" si="56"/>
        <v>1.0092694429789186</v>
      </c>
      <c r="L87" s="52">
        <f t="shared" si="56"/>
        <v>1.0064754413022612</v>
      </c>
      <c r="M87" s="52">
        <f t="shared" si="56"/>
        <v>1.0021788321115614</v>
      </c>
      <c r="N87" s="52">
        <f t="shared" si="56"/>
        <v>1.0013189595556611</v>
      </c>
      <c r="O87" s="52">
        <f t="shared" si="56"/>
        <v>1.0006226815156696</v>
      </c>
      <c r="P87" s="52">
        <f t="shared" si="56"/>
        <v>1.0003154351581722</v>
      </c>
      <c r="Q87" s="52">
        <f t="shared" si="56"/>
        <v>1.0001352377614301</v>
      </c>
      <c r="R87" s="52">
        <f t="shared" si="56"/>
        <v>1.0000704506101541</v>
      </c>
      <c r="S87" s="52">
        <f t="shared" si="56"/>
        <v>1.0000315839098282</v>
      </c>
      <c r="T87" s="52">
        <f t="shared" si="56"/>
        <v>1.0000106020387529</v>
      </c>
      <c r="U87" s="52">
        <f t="shared" si="56"/>
        <v>1.0000048311867449</v>
      </c>
      <c r="V87" s="52">
        <f t="shared" si="56"/>
        <v>1.00000173095355</v>
      </c>
      <c r="W87" s="52">
        <f t="shared" si="56"/>
        <v>1.0000005780214614</v>
      </c>
      <c r="X87" s="52">
        <f t="shared" si="56"/>
        <v>1.0000010865602076</v>
      </c>
      <c r="Y87" s="52">
        <v>1</v>
      </c>
      <c r="Z87" s="43"/>
      <c r="AA87" s="39"/>
      <c r="AB87" s="38"/>
    </row>
    <row r="88" spans="1:37" x14ac:dyDescent="0.25">
      <c r="A88" s="46" t="s">
        <v>238</v>
      </c>
      <c r="B88" s="52">
        <f>'1_CL'!C30</f>
        <v>2.1469743178085405</v>
      </c>
      <c r="C88" s="52">
        <f>'1_CL'!D30</f>
        <v>1.3475033729698969</v>
      </c>
      <c r="D88" s="52">
        <f>'1_CL'!E30</f>
        <v>1.245842143220341</v>
      </c>
      <c r="E88" s="52">
        <f>'1_CL'!F30</f>
        <v>1.1619344109197116</v>
      </c>
      <c r="F88" s="52">
        <f>'1_CL'!G30</f>
        <v>1.1042248311428209</v>
      </c>
      <c r="G88" s="52">
        <f>'1_CL'!H30</f>
        <v>1.1121613312682059</v>
      </c>
      <c r="H88" s="52">
        <f>'1_CL'!I30</f>
        <v>1.0564418803131088</v>
      </c>
      <c r="I88" s="52">
        <f>'1_CL'!J30</f>
        <v>1.0286062858582918</v>
      </c>
      <c r="J88" s="52">
        <f>'1_CL'!K30</f>
        <v>1.0155861850347698</v>
      </c>
      <c r="K88" s="52">
        <f>'1_CL'!L30</f>
        <v>1.0080991162324702</v>
      </c>
      <c r="L88" s="52">
        <f>'1_CL'!M30</f>
        <v>1.0038616965180895</v>
      </c>
      <c r="M88" s="52">
        <f>'1_CL'!N30</f>
        <v>1.0022524789263829</v>
      </c>
      <c r="N88" s="52">
        <f>'1_CL'!O30</f>
        <v>1.0011360935367282</v>
      </c>
      <c r="O88" s="52">
        <f>'1_CL'!P30</f>
        <v>1.0005890309091159</v>
      </c>
      <c r="P88" s="52">
        <f>'1_CL'!Q30</f>
        <v>1.0003076143784837</v>
      </c>
      <c r="Q88" s="52">
        <f>'1_CL'!R30</f>
        <v>1.0001400258321513</v>
      </c>
      <c r="R88" s="52">
        <f>'1_CL'!S30</f>
        <v>1.0000689259420603</v>
      </c>
      <c r="S88" s="52">
        <f>'1_CL'!T30</f>
        <v>1.0000326172228817</v>
      </c>
      <c r="T88" s="52">
        <f>'1_CL'!U30</f>
        <v>1.0000097065250659</v>
      </c>
      <c r="U88" s="52">
        <f>'1_CL'!V30</f>
        <v>1.0000030248983931</v>
      </c>
      <c r="V88" s="52">
        <f>'1_CL'!W30</f>
        <v>1.0000011501423054</v>
      </c>
      <c r="W88" s="52">
        <f>'1_CL'!X30</f>
        <v>1.0000005853244556</v>
      </c>
      <c r="X88" s="52">
        <f>'1_CL'!Y30</f>
        <v>1.0000010865602078</v>
      </c>
      <c r="Y88" s="52">
        <f>'1_CL'!Z30</f>
        <v>1</v>
      </c>
    </row>
    <row r="89" spans="1:37" x14ac:dyDescent="0.25">
      <c r="A89" s="46" t="s">
        <v>214</v>
      </c>
      <c r="B89" s="137"/>
      <c r="C89" s="137"/>
      <c r="D89" s="137"/>
      <c r="E89" s="137"/>
      <c r="F89" s="137"/>
      <c r="G89" s="137"/>
      <c r="H89" s="137"/>
      <c r="I89" s="137" t="str">
        <f>IF(ABS(I87-I88)&lt;0.001,"NO","SÍ")</f>
        <v>SÍ</v>
      </c>
      <c r="J89" s="137" t="str">
        <f t="shared" ref="J89:Y89" si="57">IF(ABS(J87-J88)&lt;0.001,"NO","SÍ")</f>
        <v>SÍ</v>
      </c>
      <c r="K89" s="137" t="str">
        <f t="shared" si="57"/>
        <v>SÍ</v>
      </c>
      <c r="L89" s="137" t="str">
        <f t="shared" si="57"/>
        <v>SÍ</v>
      </c>
      <c r="M89" s="137" t="str">
        <f t="shared" si="57"/>
        <v>NO</v>
      </c>
      <c r="N89" s="137" t="str">
        <f t="shared" si="57"/>
        <v>NO</v>
      </c>
      <c r="O89" s="137" t="str">
        <f t="shared" si="57"/>
        <v>NO</v>
      </c>
      <c r="P89" s="137" t="str">
        <f t="shared" si="57"/>
        <v>NO</v>
      </c>
      <c r="Q89" s="137" t="str">
        <f t="shared" si="57"/>
        <v>NO</v>
      </c>
      <c r="R89" s="137" t="str">
        <f t="shared" si="57"/>
        <v>NO</v>
      </c>
      <c r="S89" s="137" t="str">
        <f t="shared" si="57"/>
        <v>NO</v>
      </c>
      <c r="T89" s="137" t="str">
        <f t="shared" si="57"/>
        <v>NO</v>
      </c>
      <c r="U89" s="137" t="str">
        <f t="shared" si="57"/>
        <v>NO</v>
      </c>
      <c r="V89" s="137" t="str">
        <f t="shared" si="57"/>
        <v>NO</v>
      </c>
      <c r="W89" s="137" t="str">
        <f t="shared" si="57"/>
        <v>NO</v>
      </c>
      <c r="X89" s="137" t="str">
        <f t="shared" si="57"/>
        <v>NO</v>
      </c>
      <c r="Y89" s="137" t="str">
        <f t="shared" si="57"/>
        <v>NO</v>
      </c>
    </row>
  </sheetData>
  <mergeCells count="7">
    <mergeCell ref="AF58:AK59"/>
    <mergeCell ref="A1:AA1"/>
    <mergeCell ref="A3:Z3"/>
    <mergeCell ref="A31:Y31"/>
    <mergeCell ref="A56:Z56"/>
    <mergeCell ref="A58:Y59"/>
    <mergeCell ref="Z58:AE59"/>
  </mergeCells>
  <phoneticPr fontId="19" type="noConversion"/>
  <conditionalFormatting sqref="B89:Y89">
    <cfRule type="iconSet" priority="1">
      <iconSet showValue="0" reverse="1">
        <cfvo type="percent" val="0"/>
        <cfvo type="num" val="0" gte="0"/>
        <cfvo type="num" val="1"/>
      </iconSet>
    </cfRule>
  </conditionalFormatting>
  <conditionalFormatting sqref="Z5:Z26">
    <cfRule type="iconSet" priority="10">
      <iconSet iconSet="3Symbols2">
        <cfvo type="percent" val="0"/>
        <cfvo type="percent" val="FALSE"/>
        <cfvo type="formula" val="TRUE"/>
      </iconSet>
    </cfRule>
  </conditionalFormatting>
  <conditionalFormatting sqref="AC5:AC26">
    <cfRule type="colorScale" priority="18">
      <colorScale>
        <cfvo type="min"/>
        <cfvo type="max"/>
        <color rgb="FF63BE7B"/>
        <color rgb="FFFCFCFF"/>
      </colorScale>
    </cfRule>
  </conditionalFormatting>
  <conditionalFormatting sqref="AD5:AD26">
    <cfRule type="colorScale" priority="17">
      <colorScale>
        <cfvo type="min"/>
        <cfvo type="max"/>
        <color rgb="FF63BE7B"/>
        <color rgb="FFFCFCFF"/>
      </colorScale>
    </cfRule>
  </conditionalFormatting>
  <conditionalFormatting sqref="AE5:AE26">
    <cfRule type="colorScale" priority="16">
      <colorScale>
        <cfvo type="min"/>
        <cfvo type="max"/>
        <color rgb="FF63BE7B"/>
        <color rgb="FFFCFCFF"/>
      </colorScale>
    </cfRule>
  </conditionalFormatting>
  <conditionalFormatting sqref="AF5:AF26">
    <cfRule type="colorScale" priority="15">
      <colorScale>
        <cfvo type="min"/>
        <cfvo type="max"/>
        <color rgb="FF63BE7B"/>
        <color rgb="FFFCFCFF"/>
      </colorScale>
    </cfRule>
  </conditionalFormatting>
  <conditionalFormatting sqref="AG5:AG26">
    <cfRule type="colorScale" priority="14">
      <colorScale>
        <cfvo type="min"/>
        <cfvo type="max"/>
        <color rgb="FF63BE7B"/>
        <color rgb="FFFCFCFF"/>
      </colorScale>
    </cfRule>
  </conditionalFormatting>
  <conditionalFormatting sqref="AH5:AH26">
    <cfRule type="colorScale" priority="13">
      <colorScale>
        <cfvo type="min"/>
        <cfvo type="max"/>
        <color rgb="FF63BE7B"/>
        <color rgb="FFFCFCFF"/>
      </colorScale>
    </cfRule>
  </conditionalFormatting>
  <conditionalFormatting sqref="AI5:AX20">
    <cfRule type="colorScale" priority="12">
      <colorScale>
        <cfvo type="min"/>
        <cfvo type="max"/>
        <color rgb="FF63BE7B"/>
        <color rgb="FFFCFCFF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A690-8369-407B-9CC6-07301598932B}">
  <dimension ref="B2:AA133"/>
  <sheetViews>
    <sheetView showGridLines="0" zoomScale="70" zoomScaleNormal="70" workbookViewId="0">
      <selection activeCell="L97" sqref="L97"/>
    </sheetView>
  </sheetViews>
  <sheetFormatPr baseColWidth="10" defaultColWidth="8.85546875" defaultRowHeight="15" x14ac:dyDescent="0.25"/>
  <cols>
    <col min="4" max="4" width="17.42578125" customWidth="1"/>
    <col min="5" max="5" width="13.28515625" bestFit="1" customWidth="1"/>
    <col min="6" max="6" width="13.140625" bestFit="1" customWidth="1"/>
    <col min="7" max="7" width="14.140625" bestFit="1" customWidth="1"/>
    <col min="8" max="8" width="13.140625" bestFit="1" customWidth="1"/>
    <col min="9" max="9" width="14.85546875" bestFit="1" customWidth="1"/>
    <col min="10" max="10" width="16.85546875" bestFit="1" customWidth="1"/>
    <col min="11" max="14" width="14.85546875" bestFit="1" customWidth="1"/>
    <col min="15" max="27" width="13.140625" bestFit="1" customWidth="1"/>
  </cols>
  <sheetData>
    <row r="2" spans="3:27" x14ac:dyDescent="0.25">
      <c r="C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3:27" x14ac:dyDescent="0.25"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3:27" x14ac:dyDescent="0.25"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3:27" x14ac:dyDescent="0.25">
      <c r="D5" s="1" t="s">
        <v>197</v>
      </c>
      <c r="E5" s="120">
        <v>0.06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3:27" x14ac:dyDescent="0.2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3:27" x14ac:dyDescent="0.25">
      <c r="C7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3:27" x14ac:dyDescent="0.25">
      <c r="D8" s="1" t="s">
        <v>4</v>
      </c>
    </row>
    <row r="9" spans="3:27" x14ac:dyDescent="0.25">
      <c r="D9" s="1" t="s">
        <v>5</v>
      </c>
    </row>
    <row r="10" spans="3:27" x14ac:dyDescent="0.25">
      <c r="D10" s="1" t="s">
        <v>6</v>
      </c>
    </row>
    <row r="11" spans="3:27" x14ac:dyDescent="0.25">
      <c r="D11" s="1" t="s">
        <v>7</v>
      </c>
    </row>
    <row r="13" spans="3:27" ht="26.25" x14ac:dyDescent="0.4">
      <c r="C13" s="152" t="s">
        <v>44</v>
      </c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</row>
    <row r="15" spans="3:27" x14ac:dyDescent="0.25">
      <c r="D15" s="11">
        <v>1</v>
      </c>
      <c r="E15" s="11">
        <f>+D15+1</f>
        <v>2</v>
      </c>
      <c r="F15" s="11">
        <f t="shared" ref="F15:AA15" si="0">+E15+1</f>
        <v>3</v>
      </c>
      <c r="G15" s="11">
        <f t="shared" si="0"/>
        <v>4</v>
      </c>
      <c r="H15" s="11">
        <f t="shared" si="0"/>
        <v>5</v>
      </c>
      <c r="I15" s="11">
        <f t="shared" si="0"/>
        <v>6</v>
      </c>
      <c r="J15" s="11">
        <f t="shared" si="0"/>
        <v>7</v>
      </c>
      <c r="K15" s="11">
        <f t="shared" si="0"/>
        <v>8</v>
      </c>
      <c r="L15" s="11">
        <f t="shared" si="0"/>
        <v>9</v>
      </c>
      <c r="M15" s="11">
        <f t="shared" si="0"/>
        <v>10</v>
      </c>
      <c r="N15" s="11">
        <f t="shared" si="0"/>
        <v>11</v>
      </c>
      <c r="O15" s="11">
        <f t="shared" si="0"/>
        <v>12</v>
      </c>
      <c r="P15" s="11">
        <f t="shared" si="0"/>
        <v>13</v>
      </c>
      <c r="Q15" s="11">
        <f t="shared" si="0"/>
        <v>14</v>
      </c>
      <c r="R15" s="11">
        <f t="shared" si="0"/>
        <v>15</v>
      </c>
      <c r="S15" s="11">
        <f t="shared" si="0"/>
        <v>16</v>
      </c>
      <c r="T15" s="11">
        <f t="shared" si="0"/>
        <v>17</v>
      </c>
      <c r="U15" s="11">
        <f t="shared" si="0"/>
        <v>18</v>
      </c>
      <c r="V15" s="11">
        <f t="shared" si="0"/>
        <v>19</v>
      </c>
      <c r="W15" s="11">
        <f t="shared" si="0"/>
        <v>20</v>
      </c>
      <c r="X15" s="11">
        <f t="shared" si="0"/>
        <v>21</v>
      </c>
      <c r="Y15" s="11">
        <f t="shared" si="0"/>
        <v>22</v>
      </c>
      <c r="Z15" s="11">
        <f t="shared" si="0"/>
        <v>23</v>
      </c>
      <c r="AA15" s="11">
        <f t="shared" si="0"/>
        <v>24</v>
      </c>
    </row>
    <row r="16" spans="3:27" x14ac:dyDescent="0.25">
      <c r="C16" s="9" t="s">
        <v>8</v>
      </c>
      <c r="D16" s="3">
        <v>6418198</v>
      </c>
      <c r="E16" s="3">
        <v>8351947</v>
      </c>
      <c r="F16" s="3">
        <v>7241932</v>
      </c>
      <c r="G16" s="3">
        <v>6612057</v>
      </c>
      <c r="H16" s="3">
        <v>6678429</v>
      </c>
      <c r="I16" s="3">
        <v>6520501</v>
      </c>
      <c r="J16" s="3">
        <v>6390444</v>
      </c>
      <c r="K16" s="3">
        <v>6157365</v>
      </c>
      <c r="L16" s="3">
        <v>5998497</v>
      </c>
      <c r="M16" s="3">
        <v>5960040</v>
      </c>
      <c r="N16" s="3">
        <v>5927219</v>
      </c>
      <c r="O16" s="3">
        <v>5845151</v>
      </c>
      <c r="P16" s="3">
        <v>5844679</v>
      </c>
      <c r="Q16" s="3">
        <v>5823554</v>
      </c>
      <c r="R16" s="3">
        <v>5819414</v>
      </c>
      <c r="S16" s="3">
        <v>5817651</v>
      </c>
      <c r="T16" s="3">
        <v>5816446</v>
      </c>
      <c r="U16" s="3">
        <v>5815298</v>
      </c>
      <c r="V16" s="3">
        <v>5814997</v>
      </c>
      <c r="W16" s="3">
        <v>5814607</v>
      </c>
      <c r="X16" s="3">
        <v>5814513</v>
      </c>
      <c r="Y16" s="3">
        <v>5814520</v>
      </c>
      <c r="Z16" s="3">
        <v>5814527</v>
      </c>
      <c r="AA16" s="3">
        <v>5814528</v>
      </c>
    </row>
    <row r="17" spans="3:27" x14ac:dyDescent="0.25">
      <c r="C17" s="9" t="s">
        <v>9</v>
      </c>
      <c r="D17" s="3">
        <v>7475822</v>
      </c>
      <c r="E17" s="3">
        <v>10450029</v>
      </c>
      <c r="F17" s="3">
        <v>10185917</v>
      </c>
      <c r="G17" s="3">
        <v>9722137</v>
      </c>
      <c r="H17" s="3">
        <v>9434292</v>
      </c>
      <c r="I17" s="3">
        <v>9020873</v>
      </c>
      <c r="J17" s="3">
        <v>8704176</v>
      </c>
      <c r="K17" s="3">
        <v>8469008</v>
      </c>
      <c r="L17" s="3">
        <v>8349635</v>
      </c>
      <c r="M17" s="3">
        <v>8209160</v>
      </c>
      <c r="N17" s="3">
        <v>8096242</v>
      </c>
      <c r="O17" s="3">
        <v>8041381</v>
      </c>
      <c r="P17" s="3">
        <v>8008712</v>
      </c>
      <c r="Q17" s="3">
        <v>8003007</v>
      </c>
      <c r="R17" s="3">
        <v>8002023</v>
      </c>
      <c r="S17" s="3">
        <v>7997629</v>
      </c>
      <c r="T17" s="3">
        <v>7997019</v>
      </c>
      <c r="U17" s="3">
        <v>7996437</v>
      </c>
      <c r="V17" s="3">
        <v>7996215</v>
      </c>
      <c r="W17" s="3">
        <v>7995857</v>
      </c>
      <c r="X17" s="3">
        <v>7995850</v>
      </c>
      <c r="Y17" s="3">
        <v>7995866</v>
      </c>
      <c r="Z17" s="3">
        <v>7995874</v>
      </c>
      <c r="AA17" s="3" t="s">
        <v>10</v>
      </c>
    </row>
    <row r="18" spans="3:27" x14ac:dyDescent="0.25">
      <c r="C18" s="9" t="s">
        <v>11</v>
      </c>
      <c r="D18" s="3">
        <v>4944676</v>
      </c>
      <c r="E18" s="3">
        <v>5651989</v>
      </c>
      <c r="F18" s="3">
        <v>5515292</v>
      </c>
      <c r="G18" s="3">
        <v>5713405</v>
      </c>
      <c r="H18" s="3">
        <v>5462475</v>
      </c>
      <c r="I18" s="3">
        <v>5370959</v>
      </c>
      <c r="J18" s="3">
        <v>5305411</v>
      </c>
      <c r="K18" s="3">
        <v>5148861</v>
      </c>
      <c r="L18" s="3">
        <v>4913135</v>
      </c>
      <c r="M18" s="3">
        <v>4939885</v>
      </c>
      <c r="N18" s="3">
        <v>4852857</v>
      </c>
      <c r="O18" s="3">
        <v>4772843</v>
      </c>
      <c r="P18" s="3">
        <v>4722978</v>
      </c>
      <c r="Q18" s="3">
        <v>4724493</v>
      </c>
      <c r="R18" s="3">
        <v>4714404</v>
      </c>
      <c r="S18" s="3">
        <v>4711994</v>
      </c>
      <c r="T18" s="3">
        <v>4711744</v>
      </c>
      <c r="U18" s="3">
        <v>4711585</v>
      </c>
      <c r="V18" s="3">
        <v>4710817</v>
      </c>
      <c r="W18" s="3">
        <v>4710876</v>
      </c>
      <c r="X18" s="3">
        <v>4710870</v>
      </c>
      <c r="Y18" s="3">
        <v>4710870</v>
      </c>
      <c r="Z18" s="3" t="s">
        <v>10</v>
      </c>
      <c r="AA18" s="3" t="s">
        <v>10</v>
      </c>
    </row>
    <row r="19" spans="3:27" x14ac:dyDescent="0.25">
      <c r="C19" s="9" t="s">
        <v>12</v>
      </c>
      <c r="D19" s="3">
        <v>5990844</v>
      </c>
      <c r="E19" s="3">
        <v>8317434</v>
      </c>
      <c r="F19" s="3">
        <v>7538034</v>
      </c>
      <c r="G19" s="3">
        <v>7146705</v>
      </c>
      <c r="H19" s="3">
        <v>6480112</v>
      </c>
      <c r="I19" s="3">
        <v>5918174</v>
      </c>
      <c r="J19" s="3">
        <v>5524711</v>
      </c>
      <c r="K19" s="3">
        <v>5379113</v>
      </c>
      <c r="L19" s="3">
        <v>5282322</v>
      </c>
      <c r="M19" s="3">
        <v>5218946</v>
      </c>
      <c r="N19" s="3">
        <v>5148288</v>
      </c>
      <c r="O19" s="3">
        <v>5055569</v>
      </c>
      <c r="P19" s="3">
        <v>5052150</v>
      </c>
      <c r="Q19" s="3">
        <v>5048881</v>
      </c>
      <c r="R19" s="3">
        <v>5049883</v>
      </c>
      <c r="S19" s="3">
        <v>5047150</v>
      </c>
      <c r="T19" s="3">
        <v>5047033</v>
      </c>
      <c r="U19" s="3">
        <v>5046810</v>
      </c>
      <c r="V19" s="3">
        <v>5046112</v>
      </c>
      <c r="W19" s="3">
        <v>5046155</v>
      </c>
      <c r="X19" s="3">
        <v>5046123</v>
      </c>
      <c r="Y19" s="3" t="s">
        <v>10</v>
      </c>
      <c r="Z19" s="3" t="s">
        <v>10</v>
      </c>
      <c r="AA19" s="3" t="s">
        <v>10</v>
      </c>
    </row>
    <row r="20" spans="3:27" x14ac:dyDescent="0.25">
      <c r="C20" s="9" t="s">
        <v>13</v>
      </c>
      <c r="D20" s="3">
        <v>6106533</v>
      </c>
      <c r="E20" s="3">
        <v>7227067</v>
      </c>
      <c r="F20" s="3">
        <v>6609141</v>
      </c>
      <c r="G20" s="3">
        <v>6587986</v>
      </c>
      <c r="H20" s="3">
        <v>5966963</v>
      </c>
      <c r="I20" s="3">
        <v>5553219</v>
      </c>
      <c r="J20" s="3">
        <v>5440658</v>
      </c>
      <c r="K20" s="3">
        <v>5247292</v>
      </c>
      <c r="L20" s="3">
        <v>4989511</v>
      </c>
      <c r="M20" s="3">
        <v>4739938</v>
      </c>
      <c r="N20" s="3">
        <v>4632683</v>
      </c>
      <c r="O20" s="3">
        <v>4647858</v>
      </c>
      <c r="P20" s="3">
        <v>4648748</v>
      </c>
      <c r="Q20" s="3">
        <v>4631093</v>
      </c>
      <c r="R20" s="3">
        <v>4618736</v>
      </c>
      <c r="S20" s="3">
        <v>4614941</v>
      </c>
      <c r="T20" s="3">
        <v>4614019</v>
      </c>
      <c r="U20" s="3">
        <v>4612810</v>
      </c>
      <c r="V20" s="3">
        <v>4612218</v>
      </c>
      <c r="W20" s="3">
        <v>4612035</v>
      </c>
      <c r="X20" s="3" t="s">
        <v>10</v>
      </c>
      <c r="Y20" s="3" t="s">
        <v>10</v>
      </c>
      <c r="Z20" s="3" t="s">
        <v>10</v>
      </c>
      <c r="AA20" s="3" t="s">
        <v>10</v>
      </c>
    </row>
    <row r="21" spans="3:27" x14ac:dyDescent="0.25">
      <c r="C21" s="9" t="s">
        <v>14</v>
      </c>
      <c r="D21" s="3">
        <v>3511339</v>
      </c>
      <c r="E21" s="3">
        <v>5097855</v>
      </c>
      <c r="F21" s="3">
        <v>4392249</v>
      </c>
      <c r="G21" s="3">
        <v>4331724</v>
      </c>
      <c r="H21" s="3">
        <v>3638678</v>
      </c>
      <c r="I21" s="3">
        <v>3261200</v>
      </c>
      <c r="J21" s="3">
        <v>2912378</v>
      </c>
      <c r="K21" s="3">
        <v>2561746</v>
      </c>
      <c r="L21" s="3">
        <v>2608839</v>
      </c>
      <c r="M21" s="3">
        <v>2512337</v>
      </c>
      <c r="N21" s="3">
        <v>2525572</v>
      </c>
      <c r="O21" s="3">
        <v>2539117</v>
      </c>
      <c r="P21" s="3">
        <v>2502024</v>
      </c>
      <c r="Q21" s="3">
        <v>2495301</v>
      </c>
      <c r="R21" s="3">
        <v>2491023</v>
      </c>
      <c r="S21" s="3">
        <v>2490185</v>
      </c>
      <c r="T21" s="3">
        <v>2490716</v>
      </c>
      <c r="U21" s="3">
        <v>2490652</v>
      </c>
      <c r="V21" s="3">
        <v>2490228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</row>
    <row r="22" spans="3:27" x14ac:dyDescent="0.25">
      <c r="C22" s="9" t="s">
        <v>15</v>
      </c>
      <c r="D22" s="3">
        <v>4141271</v>
      </c>
      <c r="E22" s="3">
        <v>5675304</v>
      </c>
      <c r="F22" s="3">
        <v>5003527</v>
      </c>
      <c r="G22" s="3">
        <v>4490079</v>
      </c>
      <c r="H22" s="3">
        <v>3864708</v>
      </c>
      <c r="I22" s="3">
        <v>3317046</v>
      </c>
      <c r="J22" s="3">
        <v>3043775</v>
      </c>
      <c r="K22" s="3">
        <v>2982731</v>
      </c>
      <c r="L22" s="3">
        <v>2853880</v>
      </c>
      <c r="M22" s="3">
        <v>2708486</v>
      </c>
      <c r="N22" s="3">
        <v>2687185</v>
      </c>
      <c r="O22" s="3">
        <v>2706223</v>
      </c>
      <c r="P22" s="3">
        <v>2663612</v>
      </c>
      <c r="Q22" s="3">
        <v>2649484</v>
      </c>
      <c r="R22" s="3">
        <v>2644988</v>
      </c>
      <c r="S22" s="3">
        <v>2644539</v>
      </c>
      <c r="T22" s="3">
        <v>2642763</v>
      </c>
      <c r="U22" s="3">
        <v>2642281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</row>
    <row r="23" spans="3:27" x14ac:dyDescent="0.25">
      <c r="C23" s="9" t="s">
        <v>16</v>
      </c>
      <c r="D23" s="3">
        <v>6591656</v>
      </c>
      <c r="E23" s="3">
        <v>9149839</v>
      </c>
      <c r="F23" s="3">
        <v>9246786</v>
      </c>
      <c r="G23" s="3">
        <v>8427024</v>
      </c>
      <c r="H23" s="3">
        <v>7881930</v>
      </c>
      <c r="I23" s="3">
        <v>7889306</v>
      </c>
      <c r="J23" s="3">
        <v>7459046</v>
      </c>
      <c r="K23" s="3">
        <v>7134362</v>
      </c>
      <c r="L23" s="3">
        <v>7020325</v>
      </c>
      <c r="M23" s="3">
        <v>6829753</v>
      </c>
      <c r="N23" s="3">
        <v>6654101</v>
      </c>
      <c r="O23" s="3">
        <v>6564713</v>
      </c>
      <c r="P23" s="3">
        <v>6557312</v>
      </c>
      <c r="Q23" s="3">
        <v>6540955</v>
      </c>
      <c r="R23" s="3">
        <v>6539478</v>
      </c>
      <c r="S23" s="3">
        <v>6538852</v>
      </c>
      <c r="T23" s="3">
        <v>6538885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</row>
    <row r="24" spans="3:27" x14ac:dyDescent="0.25">
      <c r="C24" s="9" t="s">
        <v>17</v>
      </c>
      <c r="D24" s="3">
        <v>6289704</v>
      </c>
      <c r="E24" s="3">
        <v>9074583</v>
      </c>
      <c r="F24" s="3">
        <v>7921104</v>
      </c>
      <c r="G24" s="3">
        <v>7241833</v>
      </c>
      <c r="H24" s="3">
        <v>6605506</v>
      </c>
      <c r="I24" s="3">
        <v>6368774</v>
      </c>
      <c r="J24" s="3">
        <v>5993512</v>
      </c>
      <c r="K24" s="3">
        <v>6063255</v>
      </c>
      <c r="L24" s="3">
        <v>6123811</v>
      </c>
      <c r="M24" s="3">
        <v>6142139</v>
      </c>
      <c r="N24" s="3">
        <v>6109898</v>
      </c>
      <c r="O24" s="3">
        <v>6094584</v>
      </c>
      <c r="P24" s="3">
        <v>6054429</v>
      </c>
      <c r="Q24" s="3">
        <v>6045198</v>
      </c>
      <c r="R24" s="3">
        <v>6039123</v>
      </c>
      <c r="S24" s="3">
        <v>6037298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</row>
    <row r="25" spans="3:27" x14ac:dyDescent="0.25">
      <c r="C25" s="9" t="s">
        <v>18</v>
      </c>
      <c r="D25" s="3">
        <v>4959185</v>
      </c>
      <c r="E25" s="3">
        <v>7332815</v>
      </c>
      <c r="F25" s="3">
        <v>6338245</v>
      </c>
      <c r="G25" s="3">
        <v>6335214</v>
      </c>
      <c r="H25" s="3">
        <v>5820802</v>
      </c>
      <c r="I25" s="3">
        <v>5372283</v>
      </c>
      <c r="J25" s="3">
        <v>5126418</v>
      </c>
      <c r="K25" s="3">
        <v>4909923</v>
      </c>
      <c r="L25" s="3">
        <v>4699737</v>
      </c>
      <c r="M25" s="3">
        <v>4565993</v>
      </c>
      <c r="N25" s="3">
        <v>4388069</v>
      </c>
      <c r="O25" s="3">
        <v>4350454</v>
      </c>
      <c r="P25" s="3">
        <v>4349470</v>
      </c>
      <c r="Q25" s="3">
        <v>4354085</v>
      </c>
      <c r="R25" s="3">
        <v>4354413</v>
      </c>
      <c r="S25" s="3" t="s">
        <v>10</v>
      </c>
      <c r="T25" s="3" t="s">
        <v>10</v>
      </c>
      <c r="U25" s="3" t="s">
        <v>10</v>
      </c>
      <c r="V25" s="3" t="s">
        <v>10</v>
      </c>
      <c r="W25" s="3" t="s">
        <v>10</v>
      </c>
      <c r="X25" s="3" t="s">
        <v>10</v>
      </c>
      <c r="Y25" s="3" t="s">
        <v>10</v>
      </c>
      <c r="Z25" s="3" t="s">
        <v>10</v>
      </c>
      <c r="AA25" s="3" t="s">
        <v>10</v>
      </c>
    </row>
    <row r="26" spans="3:27" x14ac:dyDescent="0.25">
      <c r="C26" s="9" t="s">
        <v>19</v>
      </c>
      <c r="D26" s="3">
        <v>6194048</v>
      </c>
      <c r="E26" s="3">
        <v>7741218</v>
      </c>
      <c r="F26" s="3">
        <v>6754577</v>
      </c>
      <c r="G26" s="3">
        <v>6157468</v>
      </c>
      <c r="H26" s="3">
        <v>5562103</v>
      </c>
      <c r="I26" s="3">
        <v>5078341</v>
      </c>
      <c r="J26" s="3">
        <v>5094245</v>
      </c>
      <c r="K26" s="3">
        <v>4970573</v>
      </c>
      <c r="L26" s="3">
        <v>4756133</v>
      </c>
      <c r="M26" s="3">
        <v>4568920</v>
      </c>
      <c r="N26" s="3">
        <v>4414181</v>
      </c>
      <c r="O26" s="3">
        <v>4318353</v>
      </c>
      <c r="P26" s="3">
        <v>4308927</v>
      </c>
      <c r="Q26" s="3">
        <v>4284653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</row>
    <row r="27" spans="3:27" x14ac:dyDescent="0.25">
      <c r="C27" s="9" t="s">
        <v>20</v>
      </c>
      <c r="D27" s="3">
        <v>6500694</v>
      </c>
      <c r="E27" s="3">
        <v>9436157</v>
      </c>
      <c r="F27" s="3">
        <v>8641541</v>
      </c>
      <c r="G27" s="3">
        <v>8462835</v>
      </c>
      <c r="H27" s="3">
        <v>8478196</v>
      </c>
      <c r="I27" s="3">
        <v>8406511</v>
      </c>
      <c r="J27" s="3">
        <v>7938776</v>
      </c>
      <c r="K27" s="3">
        <v>7694015</v>
      </c>
      <c r="L27" s="3">
        <v>7414340</v>
      </c>
      <c r="M27" s="3">
        <v>7365359</v>
      </c>
      <c r="N27" s="3">
        <v>7323515</v>
      </c>
      <c r="O27" s="3">
        <v>7284864</v>
      </c>
      <c r="P27" s="3">
        <v>7266841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</row>
    <row r="28" spans="3:27" x14ac:dyDescent="0.25">
      <c r="C28" s="9" t="s">
        <v>21</v>
      </c>
      <c r="D28" s="3">
        <v>5205434</v>
      </c>
      <c r="E28" s="3">
        <v>7752400</v>
      </c>
      <c r="F28" s="3">
        <v>7497356</v>
      </c>
      <c r="G28" s="3">
        <v>7293599</v>
      </c>
      <c r="H28" s="3">
        <v>6566528</v>
      </c>
      <c r="I28" s="3">
        <v>6681703</v>
      </c>
      <c r="J28" s="3">
        <v>6326840</v>
      </c>
      <c r="K28" s="3">
        <v>6334277</v>
      </c>
      <c r="L28" s="3">
        <v>6175261</v>
      </c>
      <c r="M28" s="3">
        <v>6025240</v>
      </c>
      <c r="N28" s="3">
        <v>5846424</v>
      </c>
      <c r="O28" s="3">
        <v>5844768</v>
      </c>
      <c r="P28" s="3" t="s">
        <v>10</v>
      </c>
      <c r="Q28" s="3" t="s">
        <v>10</v>
      </c>
      <c r="R28" s="3" t="s">
        <v>10</v>
      </c>
      <c r="S28" s="3" t="s">
        <v>10</v>
      </c>
      <c r="T28" s="3" t="s">
        <v>10</v>
      </c>
      <c r="U28" s="3" t="s">
        <v>10</v>
      </c>
      <c r="V28" s="3" t="s">
        <v>10</v>
      </c>
      <c r="W28" s="3" t="s">
        <v>10</v>
      </c>
      <c r="X28" s="3" t="s">
        <v>10</v>
      </c>
      <c r="Y28" s="3" t="s">
        <v>10</v>
      </c>
      <c r="Z28" s="3" t="s">
        <v>10</v>
      </c>
      <c r="AA28" s="3" t="s">
        <v>10</v>
      </c>
    </row>
    <row r="29" spans="3:27" x14ac:dyDescent="0.25">
      <c r="C29" s="9" t="s">
        <v>22</v>
      </c>
      <c r="D29" s="3">
        <v>5184519</v>
      </c>
      <c r="E29" s="3">
        <v>7275135</v>
      </c>
      <c r="F29" s="3">
        <v>7269751</v>
      </c>
      <c r="G29" s="3">
        <v>6967745</v>
      </c>
      <c r="H29" s="3">
        <v>6399402</v>
      </c>
      <c r="I29" s="3">
        <v>5827678</v>
      </c>
      <c r="J29" s="3">
        <v>5837462</v>
      </c>
      <c r="K29" s="3">
        <v>5752901</v>
      </c>
      <c r="L29" s="3">
        <v>5510232</v>
      </c>
      <c r="M29" s="3">
        <v>5306283</v>
      </c>
      <c r="N29" s="3">
        <v>5171805</v>
      </c>
      <c r="O29" s="3" t="s">
        <v>10</v>
      </c>
      <c r="P29" s="3" t="s">
        <v>10</v>
      </c>
      <c r="Q29" s="3" t="s">
        <v>10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</row>
    <row r="30" spans="3:27" x14ac:dyDescent="0.25">
      <c r="C30" s="9" t="s">
        <v>23</v>
      </c>
      <c r="D30" s="3">
        <v>3419011</v>
      </c>
      <c r="E30" s="3">
        <v>4773306</v>
      </c>
      <c r="F30" s="3">
        <v>3716822</v>
      </c>
      <c r="G30" s="3">
        <v>3313659</v>
      </c>
      <c r="H30" s="3">
        <v>3377536</v>
      </c>
      <c r="I30" s="3">
        <v>3222093</v>
      </c>
      <c r="J30" s="3">
        <v>2783981</v>
      </c>
      <c r="K30" s="3">
        <v>2603716</v>
      </c>
      <c r="L30" s="3">
        <v>2643618</v>
      </c>
      <c r="M30" s="3">
        <v>2473125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</row>
    <row r="31" spans="3:27" x14ac:dyDescent="0.25">
      <c r="C31" s="9" t="s">
        <v>24</v>
      </c>
      <c r="D31" s="3">
        <v>5498188</v>
      </c>
      <c r="E31" s="3">
        <v>10669557</v>
      </c>
      <c r="F31" s="3">
        <v>10857709</v>
      </c>
      <c r="G31" s="3">
        <v>14275258</v>
      </c>
      <c r="H31" s="3">
        <v>14084665</v>
      </c>
      <c r="I31" s="3">
        <v>14163048</v>
      </c>
      <c r="J31" s="3">
        <v>13850553</v>
      </c>
      <c r="K31" s="3">
        <v>13534768</v>
      </c>
      <c r="L31" s="3">
        <v>13371613</v>
      </c>
      <c r="M31" s="3" t="s">
        <v>10</v>
      </c>
      <c r="N31" s="3" t="s">
        <v>10</v>
      </c>
      <c r="O31" s="3" t="s">
        <v>10</v>
      </c>
      <c r="P31" s="3" t="s">
        <v>10</v>
      </c>
      <c r="Q31" s="3" t="s">
        <v>10</v>
      </c>
      <c r="R31" s="3" t="s">
        <v>10</v>
      </c>
      <c r="S31" s="3" t="s">
        <v>10</v>
      </c>
      <c r="T31" s="3" t="s">
        <v>10</v>
      </c>
      <c r="U31" s="3" t="s">
        <v>10</v>
      </c>
      <c r="V31" s="3" t="s">
        <v>10</v>
      </c>
      <c r="W31" s="3" t="s">
        <v>10</v>
      </c>
      <c r="X31" s="3" t="s">
        <v>10</v>
      </c>
      <c r="Y31" s="3" t="s">
        <v>10</v>
      </c>
      <c r="Z31" s="3" t="s">
        <v>10</v>
      </c>
      <c r="AA31" s="3" t="s">
        <v>10</v>
      </c>
    </row>
    <row r="32" spans="3:27" x14ac:dyDescent="0.25">
      <c r="C32" s="9" t="s">
        <v>25</v>
      </c>
      <c r="D32" s="3">
        <v>6382667</v>
      </c>
      <c r="E32" s="3">
        <v>10460689</v>
      </c>
      <c r="F32" s="3">
        <v>9727516</v>
      </c>
      <c r="G32" s="3">
        <v>13561133</v>
      </c>
      <c r="H32" s="3">
        <v>12865538</v>
      </c>
      <c r="I32" s="3">
        <v>12816850</v>
      </c>
      <c r="J32" s="3">
        <v>12593535</v>
      </c>
      <c r="K32" s="3">
        <v>12422697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</row>
    <row r="33" spans="3:27" x14ac:dyDescent="0.25">
      <c r="C33" s="9" t="s">
        <v>26</v>
      </c>
      <c r="D33" s="3">
        <v>3022770</v>
      </c>
      <c r="E33" s="3">
        <v>7899209</v>
      </c>
      <c r="F33" s="3">
        <v>7498380</v>
      </c>
      <c r="G33" s="3">
        <v>10736732</v>
      </c>
      <c r="H33" s="3">
        <v>10856995</v>
      </c>
      <c r="I33" s="3">
        <v>10834399</v>
      </c>
      <c r="J33" s="3">
        <v>10568629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</row>
    <row r="34" spans="3:27" x14ac:dyDescent="0.25">
      <c r="C34" s="9" t="s">
        <v>27</v>
      </c>
      <c r="D34" s="3">
        <v>6936281</v>
      </c>
      <c r="E34" s="3">
        <v>21936281</v>
      </c>
      <c r="F34" s="3">
        <v>21767538</v>
      </c>
      <c r="G34" s="3">
        <v>25515798</v>
      </c>
      <c r="H34" s="3">
        <v>25644750</v>
      </c>
      <c r="I34" s="3">
        <v>25593031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</row>
    <row r="35" spans="3:27" x14ac:dyDescent="0.25">
      <c r="C35" s="9" t="s">
        <v>28</v>
      </c>
      <c r="D35" s="3">
        <v>6691248</v>
      </c>
      <c r="E35" s="3">
        <v>11756013</v>
      </c>
      <c r="F35" s="3">
        <v>11113520</v>
      </c>
      <c r="G35" s="3">
        <v>14458725</v>
      </c>
      <c r="H35" s="3">
        <v>14275150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 t="s">
        <v>10</v>
      </c>
      <c r="S35" s="3" t="s">
        <v>10</v>
      </c>
      <c r="T35" s="3" t="s">
        <v>10</v>
      </c>
      <c r="U35" s="3" t="s">
        <v>10</v>
      </c>
      <c r="V35" s="3" t="s">
        <v>10</v>
      </c>
      <c r="W35" s="3" t="s">
        <v>10</v>
      </c>
      <c r="X35" s="3" t="s">
        <v>10</v>
      </c>
      <c r="Y35" s="3" t="s">
        <v>10</v>
      </c>
      <c r="Z35" s="3" t="s">
        <v>10</v>
      </c>
      <c r="AA35" s="3" t="s">
        <v>10</v>
      </c>
    </row>
    <row r="36" spans="3:27" x14ac:dyDescent="0.25">
      <c r="C36" s="9" t="s">
        <v>29</v>
      </c>
      <c r="D36" s="3">
        <v>4191817</v>
      </c>
      <c r="E36" s="3">
        <v>9775450</v>
      </c>
      <c r="F36" s="3">
        <v>9803541</v>
      </c>
      <c r="G36" s="3">
        <v>12735195</v>
      </c>
      <c r="H36" s="3" t="s">
        <v>10</v>
      </c>
      <c r="I36" s="3" t="s">
        <v>10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  <c r="O36" s="3" t="s">
        <v>10</v>
      </c>
      <c r="P36" s="3" t="s">
        <v>10</v>
      </c>
      <c r="Q36" s="3" t="s">
        <v>10</v>
      </c>
      <c r="R36" s="3" t="s">
        <v>10</v>
      </c>
      <c r="S36" s="3" t="s">
        <v>10</v>
      </c>
      <c r="T36" s="3" t="s">
        <v>10</v>
      </c>
      <c r="U36" s="3" t="s">
        <v>10</v>
      </c>
      <c r="V36" s="3" t="s">
        <v>10</v>
      </c>
      <c r="W36" s="3" t="s">
        <v>10</v>
      </c>
      <c r="X36" s="3" t="s">
        <v>10</v>
      </c>
      <c r="Y36" s="3" t="s">
        <v>10</v>
      </c>
      <c r="Z36" s="3" t="s">
        <v>10</v>
      </c>
      <c r="AA36" s="3" t="s">
        <v>10</v>
      </c>
    </row>
    <row r="37" spans="3:27" x14ac:dyDescent="0.25">
      <c r="C37" s="9" t="s">
        <v>30</v>
      </c>
      <c r="D37" s="3">
        <v>5916671</v>
      </c>
      <c r="E37" s="3">
        <v>11716355</v>
      </c>
      <c r="F37" s="3">
        <v>11277873</v>
      </c>
      <c r="G37" s="3" t="s">
        <v>10</v>
      </c>
      <c r="H37" s="3" t="s">
        <v>10</v>
      </c>
      <c r="I37" s="3" t="s">
        <v>10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  <c r="O37" s="3" t="s">
        <v>10</v>
      </c>
      <c r="P37" s="3" t="s">
        <v>10</v>
      </c>
      <c r="Q37" s="3" t="s">
        <v>10</v>
      </c>
      <c r="R37" s="3" t="s">
        <v>10</v>
      </c>
      <c r="S37" s="3" t="s">
        <v>10</v>
      </c>
      <c r="T37" s="3" t="s">
        <v>10</v>
      </c>
      <c r="U37" s="3" t="s">
        <v>10</v>
      </c>
      <c r="V37" s="3" t="s">
        <v>10</v>
      </c>
      <c r="W37" s="3" t="s">
        <v>10</v>
      </c>
      <c r="X37" s="3" t="s">
        <v>10</v>
      </c>
      <c r="Y37" s="3" t="s">
        <v>10</v>
      </c>
      <c r="Z37" s="3" t="s">
        <v>10</v>
      </c>
      <c r="AA37" s="3" t="s">
        <v>10</v>
      </c>
    </row>
    <row r="38" spans="3:27" x14ac:dyDescent="0.25">
      <c r="C38" s="9" t="s">
        <v>31</v>
      </c>
      <c r="D38" s="3">
        <v>4926500</v>
      </c>
      <c r="E38" s="3">
        <v>9321834</v>
      </c>
      <c r="F38" s="3" t="s">
        <v>10</v>
      </c>
      <c r="G38" s="3" t="s">
        <v>10</v>
      </c>
      <c r="H38" s="3" t="s">
        <v>10</v>
      </c>
      <c r="I38" s="3" t="s">
        <v>10</v>
      </c>
      <c r="J38" s="3" t="s">
        <v>10</v>
      </c>
      <c r="K38" s="3" t="s">
        <v>10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</row>
    <row r="39" spans="3:27" x14ac:dyDescent="0.25">
      <c r="C39" s="9" t="s">
        <v>32</v>
      </c>
      <c r="D39" s="3">
        <v>5149958</v>
      </c>
      <c r="E39" s="3"/>
      <c r="F39" s="3" t="s">
        <v>10</v>
      </c>
      <c r="G39" s="3" t="s">
        <v>10</v>
      </c>
      <c r="H39" s="3" t="s">
        <v>10</v>
      </c>
      <c r="I39" s="3" t="s">
        <v>10</v>
      </c>
      <c r="J39" s="3" t="s">
        <v>10</v>
      </c>
      <c r="K39" s="3" t="s">
        <v>10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</row>
    <row r="40" spans="3:27" x14ac:dyDescent="0.25"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3:27" x14ac:dyDescent="0.25"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3:27" ht="26.25" x14ac:dyDescent="0.4">
      <c r="C42" s="152" t="s">
        <v>50</v>
      </c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</row>
    <row r="43" spans="3:27" x14ac:dyDescent="0.25">
      <c r="C43" s="11">
        <v>1</v>
      </c>
      <c r="D43" s="11">
        <f>+C43+1</f>
        <v>2</v>
      </c>
      <c r="E43" s="11">
        <f t="shared" ref="E43" si="1">+D43+1</f>
        <v>3</v>
      </c>
      <c r="F43" s="11">
        <f t="shared" ref="F43" si="2">+E43+1</f>
        <v>4</v>
      </c>
      <c r="G43" s="11">
        <f t="shared" ref="G43" si="3">+F43+1</f>
        <v>5</v>
      </c>
      <c r="H43" s="11">
        <f t="shared" ref="H43" si="4">+G43+1</f>
        <v>6</v>
      </c>
      <c r="I43" s="11">
        <f t="shared" ref="I43" si="5">+H43+1</f>
        <v>7</v>
      </c>
      <c r="J43" s="11">
        <f t="shared" ref="J43" si="6">+I43+1</f>
        <v>8</v>
      </c>
      <c r="K43" s="11">
        <f t="shared" ref="K43" si="7">+J43+1</f>
        <v>9</v>
      </c>
      <c r="L43" s="11">
        <f t="shared" ref="L43" si="8">+K43+1</f>
        <v>10</v>
      </c>
      <c r="M43" s="11">
        <f t="shared" ref="M43" si="9">+L43+1</f>
        <v>11</v>
      </c>
      <c r="N43" s="11">
        <f t="shared" ref="N43" si="10">+M43+1</f>
        <v>12</v>
      </c>
      <c r="O43" s="11">
        <f t="shared" ref="O43" si="11">+N43+1</f>
        <v>13</v>
      </c>
      <c r="P43" s="11">
        <f t="shared" ref="P43" si="12">+O43+1</f>
        <v>14</v>
      </c>
      <c r="Q43" s="11">
        <f t="shared" ref="Q43" si="13">+P43+1</f>
        <v>15</v>
      </c>
      <c r="R43" s="11">
        <f t="shared" ref="R43" si="14">+Q43+1</f>
        <v>16</v>
      </c>
      <c r="S43" s="11">
        <f t="shared" ref="S43" si="15">+R43+1</f>
        <v>17</v>
      </c>
      <c r="T43" s="11">
        <f t="shared" ref="T43" si="16">+S43+1</f>
        <v>18</v>
      </c>
      <c r="U43" s="11">
        <f t="shared" ref="U43" si="17">+T43+1</f>
        <v>19</v>
      </c>
      <c r="V43" s="11">
        <f t="shared" ref="V43" si="18">+U43+1</f>
        <v>20</v>
      </c>
      <c r="W43" s="11">
        <f t="shared" ref="W43" si="19">+V43+1</f>
        <v>21</v>
      </c>
      <c r="X43" s="11">
        <f t="shared" ref="X43" si="20">+W43+1</f>
        <v>22</v>
      </c>
      <c r="Y43" s="11">
        <f t="shared" ref="Y43" si="21">+X43+1</f>
        <v>23</v>
      </c>
      <c r="Z43" s="11">
        <f t="shared" ref="Z43" si="22">+Y43+1</f>
        <v>24</v>
      </c>
    </row>
    <row r="44" spans="3:27" x14ac:dyDescent="0.25">
      <c r="C44" s="9" t="s">
        <v>8</v>
      </c>
      <c r="D44" s="13">
        <f t="shared" ref="D44:Z44" si="23">E16/D16</f>
        <v>1.3012915774801588</v>
      </c>
      <c r="E44" s="13">
        <f t="shared" si="23"/>
        <v>0.86709506178619189</v>
      </c>
      <c r="F44" s="13">
        <f t="shared" si="23"/>
        <v>0.91302390025203217</v>
      </c>
      <c r="G44" s="13">
        <f t="shared" si="23"/>
        <v>1.0100380259879793</v>
      </c>
      <c r="H44" s="13">
        <f t="shared" si="23"/>
        <v>0.97635252242705584</v>
      </c>
      <c r="I44" s="13">
        <f t="shared" si="23"/>
        <v>0.98005414001163405</v>
      </c>
      <c r="J44" s="13">
        <f t="shared" si="23"/>
        <v>0.96352694742337153</v>
      </c>
      <c r="K44" s="13">
        <f t="shared" si="23"/>
        <v>0.97419870350385274</v>
      </c>
      <c r="L44" s="13">
        <f t="shared" si="23"/>
        <v>0.99358889401795147</v>
      </c>
      <c r="M44" s="13">
        <f t="shared" si="23"/>
        <v>0.9944931577640419</v>
      </c>
      <c r="N44" s="13">
        <f t="shared" si="23"/>
        <v>0.98615404627364034</v>
      </c>
      <c r="O44" s="13">
        <f t="shared" si="23"/>
        <v>0.99991924930596321</v>
      </c>
      <c r="P44" s="13">
        <f t="shared" si="23"/>
        <v>0.99638560133071463</v>
      </c>
      <c r="Q44" s="13">
        <f t="shared" si="23"/>
        <v>0.99928909391069443</v>
      </c>
      <c r="R44" s="13">
        <f t="shared" si="23"/>
        <v>0.99969704853444008</v>
      </c>
      <c r="S44" s="13">
        <f t="shared" si="23"/>
        <v>0.99979287172778153</v>
      </c>
      <c r="T44" s="13">
        <f t="shared" si="23"/>
        <v>0.99980262861548097</v>
      </c>
      <c r="U44" s="13">
        <f t="shared" si="23"/>
        <v>0.99994823996981752</v>
      </c>
      <c r="V44" s="13">
        <f t="shared" si="23"/>
        <v>0.99993293203762612</v>
      </c>
      <c r="W44" s="13">
        <f t="shared" si="23"/>
        <v>0.99998383381714362</v>
      </c>
      <c r="X44" s="13">
        <f t="shared" si="23"/>
        <v>1.000001203884143</v>
      </c>
      <c r="Y44" s="13">
        <f t="shared" si="23"/>
        <v>1.0000012038826938</v>
      </c>
      <c r="Z44" s="13">
        <f t="shared" si="23"/>
        <v>1.0000001719830349</v>
      </c>
      <c r="AA44" s="3"/>
    </row>
    <row r="45" spans="3:27" x14ac:dyDescent="0.25">
      <c r="C45" s="9" t="s">
        <v>9</v>
      </c>
      <c r="D45" s="13">
        <f t="shared" ref="D45:Y45" si="24">E17/D17</f>
        <v>1.397843474603863</v>
      </c>
      <c r="E45" s="13">
        <f t="shared" si="24"/>
        <v>0.97472619453974718</v>
      </c>
      <c r="F45" s="13">
        <f t="shared" si="24"/>
        <v>0.95446850784274018</v>
      </c>
      <c r="G45" s="13">
        <f t="shared" si="24"/>
        <v>0.97039282618625922</v>
      </c>
      <c r="H45" s="13">
        <f t="shared" si="24"/>
        <v>0.95617911762748065</v>
      </c>
      <c r="I45" s="13">
        <f t="shared" si="24"/>
        <v>0.9648928656904936</v>
      </c>
      <c r="J45" s="13">
        <f t="shared" si="24"/>
        <v>0.97298216396359627</v>
      </c>
      <c r="K45" s="13">
        <f t="shared" si="24"/>
        <v>0.98590472461473644</v>
      </c>
      <c r="L45" s="13">
        <f t="shared" si="24"/>
        <v>0.98317591128234949</v>
      </c>
      <c r="M45" s="13">
        <f t="shared" si="24"/>
        <v>0.98624487767323332</v>
      </c>
      <c r="N45" s="13">
        <f t="shared" si="24"/>
        <v>0.99322389325813132</v>
      </c>
      <c r="O45" s="13">
        <f t="shared" si="24"/>
        <v>0.99593738936135467</v>
      </c>
      <c r="P45" s="13">
        <f t="shared" si="24"/>
        <v>0.99928765074833503</v>
      </c>
      <c r="Q45" s="13">
        <f t="shared" si="24"/>
        <v>0.99987704621525386</v>
      </c>
      <c r="R45" s="13">
        <f t="shared" si="24"/>
        <v>0.99945088885648037</v>
      </c>
      <c r="S45" s="13">
        <f t="shared" si="24"/>
        <v>0.99992372739470659</v>
      </c>
      <c r="T45" s="13">
        <f t="shared" si="24"/>
        <v>0.99992722288142621</v>
      </c>
      <c r="U45" s="13">
        <f t="shared" si="24"/>
        <v>0.99997223763533682</v>
      </c>
      <c r="V45" s="13">
        <f t="shared" si="24"/>
        <v>0.99995522881763432</v>
      </c>
      <c r="W45" s="13">
        <f t="shared" si="24"/>
        <v>0.99999912454662454</v>
      </c>
      <c r="X45" s="13">
        <f t="shared" si="24"/>
        <v>1.0000020010380384</v>
      </c>
      <c r="Y45" s="13">
        <f t="shared" si="24"/>
        <v>1.0000010005170172</v>
      </c>
      <c r="Z45" s="13"/>
      <c r="AA45" s="3"/>
    </row>
    <row r="46" spans="3:27" x14ac:dyDescent="0.25">
      <c r="C46" s="9" t="s">
        <v>11</v>
      </c>
      <c r="D46" s="16">
        <f t="shared" ref="D46:X46" si="25">E18/D18</f>
        <v>1.143045368392186</v>
      </c>
      <c r="E46" s="16">
        <f t="shared" si="25"/>
        <v>0.97581435491116486</v>
      </c>
      <c r="F46" s="16">
        <f t="shared" si="25"/>
        <v>1.03592067292176</v>
      </c>
      <c r="G46" s="16">
        <f t="shared" si="25"/>
        <v>0.95608048090411935</v>
      </c>
      <c r="H46" s="16">
        <f t="shared" si="25"/>
        <v>0.98324642218042191</v>
      </c>
      <c r="I46" s="16">
        <f t="shared" si="25"/>
        <v>0.98779584800405296</v>
      </c>
      <c r="J46" s="16">
        <f t="shared" si="25"/>
        <v>0.97049238975076579</v>
      </c>
      <c r="K46" s="16">
        <f t="shared" si="25"/>
        <v>0.95421783575046981</v>
      </c>
      <c r="L46" s="16">
        <f t="shared" si="25"/>
        <v>1.0054445888419512</v>
      </c>
      <c r="M46" s="16">
        <f t="shared" si="25"/>
        <v>0.98238258582942717</v>
      </c>
      <c r="N46" s="16">
        <f t="shared" si="25"/>
        <v>0.98351198067447687</v>
      </c>
      <c r="O46" s="16">
        <f t="shared" si="25"/>
        <v>0.98955234856876706</v>
      </c>
      <c r="P46" s="16">
        <f t="shared" si="25"/>
        <v>1.0003207721907661</v>
      </c>
      <c r="Q46" s="16">
        <f t="shared" si="25"/>
        <v>0.99786453276573805</v>
      </c>
      <c r="R46" s="16">
        <f t="shared" si="25"/>
        <v>0.99948880070524293</v>
      </c>
      <c r="S46" s="16">
        <f t="shared" si="25"/>
        <v>0.99994694390527661</v>
      </c>
      <c r="T46" s="16">
        <f t="shared" si="25"/>
        <v>0.9999662545333533</v>
      </c>
      <c r="U46" s="16">
        <f t="shared" si="25"/>
        <v>0.99983699752843258</v>
      </c>
      <c r="V46" s="16">
        <f t="shared" si="25"/>
        <v>1.0000125243667923</v>
      </c>
      <c r="W46" s="16">
        <f t="shared" si="25"/>
        <v>0.99999872635153209</v>
      </c>
      <c r="X46" s="16">
        <f t="shared" si="25"/>
        <v>1</v>
      </c>
      <c r="Y46" s="16"/>
      <c r="Z46" s="16"/>
      <c r="AA46" s="3"/>
    </row>
    <row r="47" spans="3:27" x14ac:dyDescent="0.25">
      <c r="C47" s="9" t="s">
        <v>12</v>
      </c>
      <c r="D47" s="13">
        <f t="shared" ref="D47:W47" si="26">E19/D19</f>
        <v>1.388357633749101</v>
      </c>
      <c r="E47" s="13">
        <f t="shared" si="26"/>
        <v>0.90629321495066872</v>
      </c>
      <c r="F47" s="13">
        <f t="shared" si="26"/>
        <v>0.94808606594239297</v>
      </c>
      <c r="G47" s="13">
        <f t="shared" si="26"/>
        <v>0.90672722604333045</v>
      </c>
      <c r="H47" s="13">
        <f t="shared" si="26"/>
        <v>0.91328267165752686</v>
      </c>
      <c r="I47" s="13">
        <f t="shared" si="26"/>
        <v>0.93351614873101063</v>
      </c>
      <c r="J47" s="13">
        <f t="shared" si="26"/>
        <v>0.97364604229976914</v>
      </c>
      <c r="K47" s="13">
        <f t="shared" si="26"/>
        <v>0.98200614116119145</v>
      </c>
      <c r="L47" s="13">
        <f t="shared" si="26"/>
        <v>0.98800224598197539</v>
      </c>
      <c r="M47" s="13">
        <f t="shared" si="26"/>
        <v>0.98646125098822635</v>
      </c>
      <c r="N47" s="13">
        <f t="shared" si="26"/>
        <v>0.98199032377365059</v>
      </c>
      <c r="O47" s="13">
        <f t="shared" si="26"/>
        <v>0.99932371608418358</v>
      </c>
      <c r="P47" s="13">
        <f t="shared" si="26"/>
        <v>0.99935294874459391</v>
      </c>
      <c r="Q47" s="13">
        <f t="shared" si="26"/>
        <v>1.0001984598171356</v>
      </c>
      <c r="R47" s="13">
        <f t="shared" si="26"/>
        <v>0.99945879934247983</v>
      </c>
      <c r="S47" s="13">
        <f t="shared" si="26"/>
        <v>0.9999768186005964</v>
      </c>
      <c r="T47" s="13">
        <f t="shared" si="26"/>
        <v>0.99995581562474423</v>
      </c>
      <c r="U47" s="13">
        <f t="shared" si="26"/>
        <v>0.99986169481315923</v>
      </c>
      <c r="V47" s="13">
        <f t="shared" si="26"/>
        <v>1.0000085214121288</v>
      </c>
      <c r="W47" s="13">
        <f t="shared" si="26"/>
        <v>0.99999365853803535</v>
      </c>
      <c r="X47" s="13"/>
      <c r="Y47" s="13"/>
      <c r="Z47" s="13"/>
      <c r="AA47" s="3"/>
    </row>
    <row r="48" spans="3:27" x14ac:dyDescent="0.25">
      <c r="C48" s="9" t="s">
        <v>13</v>
      </c>
      <c r="D48" s="13">
        <f t="shared" ref="D48:V48" si="27">E20/D20</f>
        <v>1.1834975754654893</v>
      </c>
      <c r="E48" s="13">
        <f t="shared" si="27"/>
        <v>0.914498371192629</v>
      </c>
      <c r="F48" s="13">
        <f t="shared" si="27"/>
        <v>0.99679913017440547</v>
      </c>
      <c r="G48" s="13">
        <f t="shared" si="27"/>
        <v>0.90573401339954274</v>
      </c>
      <c r="H48" s="13">
        <f t="shared" si="27"/>
        <v>0.93066087388173846</v>
      </c>
      <c r="I48" s="13">
        <f t="shared" si="27"/>
        <v>0.97973049505160881</v>
      </c>
      <c r="J48" s="13">
        <f t="shared" si="27"/>
        <v>0.96445907829530908</v>
      </c>
      <c r="K48" s="13">
        <f t="shared" si="27"/>
        <v>0.95087351723517577</v>
      </c>
      <c r="L48" s="13">
        <f t="shared" si="27"/>
        <v>0.94998046902792677</v>
      </c>
      <c r="M48" s="13">
        <f t="shared" si="27"/>
        <v>0.97737206689201417</v>
      </c>
      <c r="N48" s="13">
        <f t="shared" si="27"/>
        <v>1.0032756396239502</v>
      </c>
      <c r="O48" s="13">
        <f t="shared" si="27"/>
        <v>1.0001914860565877</v>
      </c>
      <c r="P48" s="13">
        <f t="shared" si="27"/>
        <v>0.99620220325988851</v>
      </c>
      <c r="Q48" s="13">
        <f t="shared" si="27"/>
        <v>0.99733173140768283</v>
      </c>
      <c r="R48" s="13">
        <f t="shared" si="27"/>
        <v>0.99917834662990046</v>
      </c>
      <c r="S48" s="13">
        <f t="shared" si="27"/>
        <v>0.99980021413058151</v>
      </c>
      <c r="T48" s="13">
        <f t="shared" si="27"/>
        <v>0.99973797247042118</v>
      </c>
      <c r="U48" s="13">
        <f t="shared" si="27"/>
        <v>0.99987166174197506</v>
      </c>
      <c r="V48" s="13">
        <f t="shared" si="27"/>
        <v>0.99996032277745761</v>
      </c>
      <c r="W48" s="13"/>
      <c r="X48" s="13"/>
      <c r="Y48" s="13"/>
      <c r="Z48" s="13"/>
      <c r="AA48" s="3"/>
    </row>
    <row r="49" spans="3:27" x14ac:dyDescent="0.25">
      <c r="C49" s="9" t="s">
        <v>14</v>
      </c>
      <c r="D49" s="13">
        <f t="shared" ref="D49:U49" si="28">E21/D21</f>
        <v>1.4518264969574284</v>
      </c>
      <c r="E49" s="13">
        <f t="shared" si="28"/>
        <v>0.86158766775437901</v>
      </c>
      <c r="F49" s="13">
        <f t="shared" si="28"/>
        <v>0.98622004353578319</v>
      </c>
      <c r="G49" s="13">
        <f t="shared" si="28"/>
        <v>0.84000688871220786</v>
      </c>
      <c r="H49" s="13">
        <f t="shared" si="28"/>
        <v>0.89625957559311376</v>
      </c>
      <c r="I49" s="13">
        <f t="shared" si="28"/>
        <v>0.89303875873911442</v>
      </c>
      <c r="J49" s="13">
        <f t="shared" si="28"/>
        <v>0.87960628737066415</v>
      </c>
      <c r="K49" s="13">
        <f t="shared" si="28"/>
        <v>1.018383165231838</v>
      </c>
      <c r="L49" s="13">
        <f t="shared" si="28"/>
        <v>0.96300959928918572</v>
      </c>
      <c r="M49" s="13">
        <f t="shared" si="28"/>
        <v>1.0052680034565427</v>
      </c>
      <c r="N49" s="13">
        <f t="shared" si="28"/>
        <v>1.0053631414982427</v>
      </c>
      <c r="O49" s="13">
        <f t="shared" si="28"/>
        <v>0.98539137818383316</v>
      </c>
      <c r="P49" s="13">
        <f t="shared" si="28"/>
        <v>0.99731297541510389</v>
      </c>
      <c r="Q49" s="13">
        <f t="shared" si="28"/>
        <v>0.99828557757160363</v>
      </c>
      <c r="R49" s="13">
        <f t="shared" si="28"/>
        <v>0.99966359202624788</v>
      </c>
      <c r="S49" s="13">
        <f t="shared" si="28"/>
        <v>1.0002132371691259</v>
      </c>
      <c r="T49" s="13">
        <f t="shared" si="28"/>
        <v>0.99997430457747893</v>
      </c>
      <c r="U49" s="13">
        <f t="shared" si="28"/>
        <v>0.99982976345149788</v>
      </c>
      <c r="V49" s="13"/>
      <c r="W49" s="13"/>
      <c r="X49" s="13"/>
      <c r="Y49" s="13"/>
      <c r="Z49" s="13"/>
      <c r="AA49" s="3"/>
    </row>
    <row r="50" spans="3:27" x14ac:dyDescent="0.25">
      <c r="C50" s="9" t="s">
        <v>15</v>
      </c>
      <c r="D50" s="13">
        <f t="shared" ref="D50:T50" si="29">E22/D22</f>
        <v>1.3704256495167788</v>
      </c>
      <c r="E50" s="13">
        <f t="shared" si="29"/>
        <v>0.8816315390329752</v>
      </c>
      <c r="F50" s="13">
        <f t="shared" si="29"/>
        <v>0.89738278618262679</v>
      </c>
      <c r="G50" s="13">
        <f t="shared" si="29"/>
        <v>0.860721604230126</v>
      </c>
      <c r="H50" s="13">
        <f t="shared" si="29"/>
        <v>0.85829149317361109</v>
      </c>
      <c r="I50" s="13">
        <f t="shared" si="29"/>
        <v>0.91761615606174896</v>
      </c>
      <c r="J50" s="13">
        <f t="shared" si="29"/>
        <v>0.97994464111177737</v>
      </c>
      <c r="K50" s="13">
        <f t="shared" si="29"/>
        <v>0.95680099881618552</v>
      </c>
      <c r="L50" s="13">
        <f t="shared" si="29"/>
        <v>0.94905391957615592</v>
      </c>
      <c r="M50" s="13">
        <f t="shared" si="29"/>
        <v>0.99213545870275865</v>
      </c>
      <c r="N50" s="13">
        <f t="shared" si="29"/>
        <v>1.0070847373738689</v>
      </c>
      <c r="O50" s="13">
        <f t="shared" si="29"/>
        <v>0.98425443875098251</v>
      </c>
      <c r="P50" s="13">
        <f t="shared" si="29"/>
        <v>0.99469592418114949</v>
      </c>
      <c r="Q50" s="13">
        <f t="shared" si="29"/>
        <v>0.99830306580451134</v>
      </c>
      <c r="R50" s="13">
        <f t="shared" si="29"/>
        <v>0.99983024497653672</v>
      </c>
      <c r="S50" s="13">
        <f t="shared" si="29"/>
        <v>0.9993284273742985</v>
      </c>
      <c r="T50" s="13">
        <f t="shared" si="29"/>
        <v>0.99981761512477663</v>
      </c>
      <c r="U50" s="13"/>
      <c r="V50" s="13"/>
      <c r="W50" s="13"/>
      <c r="X50" s="13"/>
      <c r="Y50" s="13"/>
      <c r="Z50" s="13"/>
      <c r="AA50" s="3"/>
    </row>
    <row r="51" spans="3:27" x14ac:dyDescent="0.25">
      <c r="C51" s="9" t="s">
        <v>16</v>
      </c>
      <c r="D51" s="13">
        <f t="shared" ref="D51:S51" si="30">E23/D23</f>
        <v>1.3880941299121192</v>
      </c>
      <c r="E51" s="13">
        <f t="shared" si="30"/>
        <v>1.0105954869806999</v>
      </c>
      <c r="F51" s="13">
        <f t="shared" si="30"/>
        <v>0.91134627750658448</v>
      </c>
      <c r="G51" s="13">
        <f t="shared" si="30"/>
        <v>0.93531595495634046</v>
      </c>
      <c r="H51" s="13">
        <f t="shared" si="30"/>
        <v>1.0009358114065972</v>
      </c>
      <c r="I51" s="13">
        <f t="shared" si="30"/>
        <v>0.94546288355401598</v>
      </c>
      <c r="J51" s="13">
        <f t="shared" si="30"/>
        <v>0.95647110903994959</v>
      </c>
      <c r="K51" s="13">
        <f t="shared" si="30"/>
        <v>0.98401580968277191</v>
      </c>
      <c r="L51" s="13">
        <f t="shared" si="30"/>
        <v>0.97285424820075994</v>
      </c>
      <c r="M51" s="13">
        <f t="shared" si="30"/>
        <v>0.97428135395233184</v>
      </c>
      <c r="N51" s="13">
        <f t="shared" si="30"/>
        <v>0.98656647982950663</v>
      </c>
      <c r="O51" s="13">
        <f t="shared" si="30"/>
        <v>0.99887260874923245</v>
      </c>
      <c r="P51" s="13">
        <f t="shared" si="30"/>
        <v>0.99750553275488496</v>
      </c>
      <c r="Q51" s="13">
        <f t="shared" si="30"/>
        <v>0.99977419199489981</v>
      </c>
      <c r="R51" s="13">
        <f t="shared" si="30"/>
        <v>0.99990427370502666</v>
      </c>
      <c r="S51" s="13">
        <f t="shared" si="30"/>
        <v>1.0000050467574431</v>
      </c>
      <c r="T51" s="13"/>
      <c r="U51" s="13"/>
      <c r="V51" s="13"/>
      <c r="W51" s="13"/>
      <c r="X51" s="13"/>
      <c r="Y51" s="13"/>
      <c r="Z51" s="13"/>
      <c r="AA51" s="3"/>
    </row>
    <row r="52" spans="3:27" x14ac:dyDescent="0.25">
      <c r="C52" s="9" t="s">
        <v>17</v>
      </c>
      <c r="D52" s="13">
        <f t="shared" ref="D52:R52" si="31">E24/D24</f>
        <v>1.4427678949597629</v>
      </c>
      <c r="E52" s="13">
        <f t="shared" si="31"/>
        <v>0.87288903523170158</v>
      </c>
      <c r="F52" s="13">
        <f t="shared" si="31"/>
        <v>0.91424541326562558</v>
      </c>
      <c r="G52" s="13">
        <f t="shared" si="31"/>
        <v>0.91213177658197864</v>
      </c>
      <c r="H52" s="13">
        <f t="shared" si="31"/>
        <v>0.96416141322103111</v>
      </c>
      <c r="I52" s="13">
        <f t="shared" si="31"/>
        <v>0.9410778275379218</v>
      </c>
      <c r="J52" s="13">
        <f t="shared" si="31"/>
        <v>1.0116364161780271</v>
      </c>
      <c r="K52" s="13">
        <f t="shared" si="31"/>
        <v>1.0099873747681731</v>
      </c>
      <c r="L52" s="13">
        <f t="shared" si="31"/>
        <v>1.0029929075211499</v>
      </c>
      <c r="M52" s="13">
        <f t="shared" si="31"/>
        <v>0.99475085145419206</v>
      </c>
      <c r="N52" s="13">
        <f t="shared" si="31"/>
        <v>0.99749357517916015</v>
      </c>
      <c r="O52" s="13">
        <f t="shared" si="31"/>
        <v>0.99341136326942081</v>
      </c>
      <c r="P52" s="13">
        <f t="shared" si="31"/>
        <v>0.99847533103452035</v>
      </c>
      <c r="Q52" s="13">
        <f t="shared" si="31"/>
        <v>0.99899507013666056</v>
      </c>
      <c r="R52" s="13">
        <f t="shared" si="31"/>
        <v>0.99969780380363171</v>
      </c>
      <c r="S52" s="13"/>
      <c r="T52" s="13"/>
      <c r="U52" s="13"/>
      <c r="V52" s="13"/>
      <c r="W52" s="13"/>
      <c r="X52" s="13"/>
      <c r="Y52" s="13"/>
      <c r="Z52" s="13"/>
      <c r="AA52" s="3"/>
    </row>
    <row r="53" spans="3:27" x14ac:dyDescent="0.25">
      <c r="C53" s="9" t="s">
        <v>18</v>
      </c>
      <c r="D53" s="13">
        <f t="shared" ref="D53:Q53" si="32">E25/D25</f>
        <v>1.4786330818471181</v>
      </c>
      <c r="E53" s="13">
        <f t="shared" si="32"/>
        <v>0.86436723141112926</v>
      </c>
      <c r="F53" s="13">
        <f t="shared" si="32"/>
        <v>0.99952179191558543</v>
      </c>
      <c r="G53" s="13">
        <f t="shared" si="32"/>
        <v>0.91880116441212567</v>
      </c>
      <c r="H53" s="13">
        <f t="shared" si="32"/>
        <v>0.92294549788843527</v>
      </c>
      <c r="I53" s="13">
        <f t="shared" si="32"/>
        <v>0.95423454051098944</v>
      </c>
      <c r="J53" s="13">
        <f t="shared" si="32"/>
        <v>0.95776875783441773</v>
      </c>
      <c r="K53" s="13">
        <f t="shared" si="32"/>
        <v>0.957191589358937</v>
      </c>
      <c r="L53" s="13">
        <f t="shared" si="32"/>
        <v>0.97154223736349499</v>
      </c>
      <c r="M53" s="13">
        <f t="shared" si="32"/>
        <v>0.96103279177169132</v>
      </c>
      <c r="N53" s="13">
        <f t="shared" si="32"/>
        <v>0.99142789231436423</v>
      </c>
      <c r="O53" s="13">
        <f t="shared" si="32"/>
        <v>0.99977381670970433</v>
      </c>
      <c r="P53" s="13">
        <f t="shared" si="32"/>
        <v>1.0010610488174421</v>
      </c>
      <c r="Q53" s="13">
        <f t="shared" si="32"/>
        <v>1.0000753315564579</v>
      </c>
      <c r="R53" s="13"/>
      <c r="S53" s="13"/>
      <c r="T53" s="13"/>
      <c r="U53" s="13"/>
      <c r="V53" s="13"/>
      <c r="W53" s="13"/>
      <c r="X53" s="13"/>
      <c r="Y53" s="13"/>
      <c r="Z53" s="13"/>
      <c r="AA53" s="3"/>
    </row>
    <row r="54" spans="3:27" x14ac:dyDescent="0.25">
      <c r="C54" s="9" t="s">
        <v>19</v>
      </c>
      <c r="D54" s="13">
        <f t="shared" ref="D54:P54" si="33">E26/D26</f>
        <v>1.249783340393875</v>
      </c>
      <c r="E54" s="13">
        <f t="shared" si="33"/>
        <v>0.87254705913203845</v>
      </c>
      <c r="F54" s="13">
        <f t="shared" si="33"/>
        <v>0.91159934959657729</v>
      </c>
      <c r="G54" s="13">
        <f t="shared" si="33"/>
        <v>0.9033100943439738</v>
      </c>
      <c r="H54" s="13">
        <f t="shared" si="33"/>
        <v>0.91302534311212868</v>
      </c>
      <c r="I54" s="13">
        <f t="shared" si="33"/>
        <v>1.0031317314059847</v>
      </c>
      <c r="J54" s="13">
        <f t="shared" si="33"/>
        <v>0.97572319352524273</v>
      </c>
      <c r="K54" s="13">
        <f t="shared" si="33"/>
        <v>0.95685809261829569</v>
      </c>
      <c r="L54" s="13">
        <f t="shared" si="33"/>
        <v>0.9606375599673096</v>
      </c>
      <c r="M54" s="13">
        <f t="shared" si="33"/>
        <v>0.96613225882703135</v>
      </c>
      <c r="N54" s="13">
        <f t="shared" si="33"/>
        <v>0.97829087660882053</v>
      </c>
      <c r="O54" s="13">
        <f t="shared" si="33"/>
        <v>0.9978172233719661</v>
      </c>
      <c r="P54" s="13">
        <f t="shared" si="33"/>
        <v>0.99436657896501845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"/>
    </row>
    <row r="55" spans="3:27" x14ac:dyDescent="0.25">
      <c r="C55" s="9" t="s">
        <v>20</v>
      </c>
      <c r="D55" s="13">
        <f t="shared" ref="D55:O55" si="34">E27/D27</f>
        <v>1.451561479435888</v>
      </c>
      <c r="E55" s="13">
        <f t="shared" si="34"/>
        <v>0.9157902947142571</v>
      </c>
      <c r="F55" s="13">
        <f t="shared" si="34"/>
        <v>0.97932012357518183</v>
      </c>
      <c r="G55" s="13">
        <f t="shared" si="34"/>
        <v>1.0018151127843093</v>
      </c>
      <c r="H55" s="13">
        <f t="shared" si="34"/>
        <v>0.99154478146058433</v>
      </c>
      <c r="I55" s="13">
        <f t="shared" si="34"/>
        <v>0.94436038922687426</v>
      </c>
      <c r="J55" s="13">
        <f t="shared" si="34"/>
        <v>0.96916892478135164</v>
      </c>
      <c r="K55" s="13">
        <f t="shared" si="34"/>
        <v>0.96365031781196164</v>
      </c>
      <c r="L55" s="13">
        <f t="shared" si="34"/>
        <v>0.99339374779144196</v>
      </c>
      <c r="M55" s="13">
        <f t="shared" si="34"/>
        <v>0.99431881052912696</v>
      </c>
      <c r="N55" s="13">
        <f t="shared" si="34"/>
        <v>0.99472234302790397</v>
      </c>
      <c r="O55" s="13">
        <f t="shared" si="34"/>
        <v>0.99752596616765943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"/>
    </row>
    <row r="56" spans="3:27" x14ac:dyDescent="0.25">
      <c r="C56" s="9" t="s">
        <v>21</v>
      </c>
      <c r="D56" s="13">
        <f t="shared" ref="D56:N56" si="35">E28/D28</f>
        <v>1.4892898459571287</v>
      </c>
      <c r="E56" s="13">
        <f t="shared" si="35"/>
        <v>0.96710128476342805</v>
      </c>
      <c r="F56" s="13">
        <f t="shared" si="35"/>
        <v>0.97282281913784008</v>
      </c>
      <c r="G56" s="13">
        <f t="shared" si="35"/>
        <v>0.900313823120794</v>
      </c>
      <c r="H56" s="13">
        <f t="shared" si="35"/>
        <v>1.0175397104832264</v>
      </c>
      <c r="I56" s="13">
        <f t="shared" si="35"/>
        <v>0.94689033619123752</v>
      </c>
      <c r="J56" s="13">
        <f t="shared" si="35"/>
        <v>1.0011754683222589</v>
      </c>
      <c r="K56" s="13">
        <f t="shared" si="35"/>
        <v>0.97489595102961235</v>
      </c>
      <c r="L56" s="13">
        <f t="shared" si="35"/>
        <v>0.97570612804867685</v>
      </c>
      <c r="M56" s="13">
        <f t="shared" si="35"/>
        <v>0.97032217803772136</v>
      </c>
      <c r="N56" s="13">
        <f t="shared" si="35"/>
        <v>0.99971674993124005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"/>
    </row>
    <row r="57" spans="3:27" x14ac:dyDescent="0.25">
      <c r="C57" s="9" t="s">
        <v>22</v>
      </c>
      <c r="D57" s="13">
        <f t="shared" ref="D57:M57" si="36">E29/D29</f>
        <v>1.4032420365322222</v>
      </c>
      <c r="E57" s="13">
        <f t="shared" si="36"/>
        <v>0.99925994500445692</v>
      </c>
      <c r="F57" s="13">
        <f t="shared" si="36"/>
        <v>0.95845717411779308</v>
      </c>
      <c r="G57" s="13">
        <f t="shared" si="36"/>
        <v>0.91843229050431663</v>
      </c>
      <c r="H57" s="13">
        <f t="shared" si="36"/>
        <v>0.9106597772729389</v>
      </c>
      <c r="I57" s="13">
        <f t="shared" si="36"/>
        <v>1.0016788847976845</v>
      </c>
      <c r="J57" s="13">
        <f t="shared" si="36"/>
        <v>0.98551408129080753</v>
      </c>
      <c r="K57" s="13">
        <f t="shared" si="36"/>
        <v>0.9578179773995763</v>
      </c>
      <c r="L57" s="13">
        <f t="shared" si="36"/>
        <v>0.96298722086474764</v>
      </c>
      <c r="M57" s="13">
        <f t="shared" si="36"/>
        <v>0.97465683605642595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"/>
    </row>
    <row r="58" spans="3:27" x14ac:dyDescent="0.25">
      <c r="C58" s="9" t="s">
        <v>23</v>
      </c>
      <c r="D58" s="13">
        <f t="shared" ref="D58:L58" si="37">E30/D30</f>
        <v>1.3961072368588461</v>
      </c>
      <c r="E58" s="13">
        <f t="shared" si="37"/>
        <v>0.77866828567035096</v>
      </c>
      <c r="F58" s="13">
        <f t="shared" si="37"/>
        <v>0.89153018358156511</v>
      </c>
      <c r="G58" s="13">
        <f t="shared" si="37"/>
        <v>1.0192768779165267</v>
      </c>
      <c r="H58" s="13">
        <f t="shared" si="37"/>
        <v>0.95397739653996283</v>
      </c>
      <c r="I58" s="13">
        <f t="shared" si="37"/>
        <v>0.86402875398071999</v>
      </c>
      <c r="J58" s="13">
        <f t="shared" si="37"/>
        <v>0.93524919889898672</v>
      </c>
      <c r="K58" s="13">
        <f t="shared" si="37"/>
        <v>1.0153250200866761</v>
      </c>
      <c r="L58" s="13">
        <f t="shared" si="37"/>
        <v>0.93550770194483468</v>
      </c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3"/>
    </row>
    <row r="59" spans="3:27" x14ac:dyDescent="0.25">
      <c r="C59" s="9" t="s">
        <v>24</v>
      </c>
      <c r="D59" s="23">
        <f t="shared" ref="D59:K59" si="38">E31/D31</f>
        <v>1.9405587804563977</v>
      </c>
      <c r="E59" s="23">
        <f t="shared" si="38"/>
        <v>1.0176344716092711</v>
      </c>
      <c r="F59" s="23">
        <f t="shared" si="38"/>
        <v>1.3147578370354187</v>
      </c>
      <c r="G59" s="23">
        <f t="shared" si="38"/>
        <v>0.98664871766240581</v>
      </c>
      <c r="H59" s="23">
        <f t="shared" si="38"/>
        <v>1.0055651305870605</v>
      </c>
      <c r="I59" s="23">
        <f t="shared" si="38"/>
        <v>0.97793589346022125</v>
      </c>
      <c r="J59" s="23">
        <f t="shared" si="38"/>
        <v>0.97720054932102707</v>
      </c>
      <c r="K59" s="23">
        <f t="shared" si="38"/>
        <v>0.98794548971951346</v>
      </c>
      <c r="L59" s="23"/>
      <c r="M59" s="2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3"/>
    </row>
    <row r="60" spans="3:27" x14ac:dyDescent="0.25">
      <c r="C60" s="9" t="s">
        <v>25</v>
      </c>
      <c r="D60" s="23">
        <f t="shared" ref="D60:J60" si="39">E32/D32</f>
        <v>1.638921316120675</v>
      </c>
      <c r="E60" s="23">
        <f t="shared" si="39"/>
        <v>0.929911595689347</v>
      </c>
      <c r="F60" s="23">
        <f t="shared" si="39"/>
        <v>1.394100302687757</v>
      </c>
      <c r="G60" s="23">
        <f t="shared" si="39"/>
        <v>0.94870671941643814</v>
      </c>
      <c r="H60" s="23">
        <f t="shared" si="39"/>
        <v>0.9962156265832024</v>
      </c>
      <c r="I60" s="23">
        <f t="shared" si="39"/>
        <v>0.98257645209236277</v>
      </c>
      <c r="J60" s="23">
        <f t="shared" si="39"/>
        <v>0.98643446816164004</v>
      </c>
      <c r="K60" s="23"/>
      <c r="L60" s="23"/>
      <c r="M60" s="2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3"/>
    </row>
    <row r="61" spans="3:27" x14ac:dyDescent="0.25">
      <c r="C61" s="9" t="s">
        <v>26</v>
      </c>
      <c r="D61" s="23">
        <f t="shared" ref="D61:I61" si="40">E33/D33</f>
        <v>2.6132352114120492</v>
      </c>
      <c r="E61" s="23">
        <f t="shared" si="40"/>
        <v>0.94925707118269687</v>
      </c>
      <c r="F61" s="23">
        <f t="shared" si="40"/>
        <v>1.431873551353759</v>
      </c>
      <c r="G61" s="23">
        <f t="shared" si="40"/>
        <v>1.0112010805522573</v>
      </c>
      <c r="H61" s="23">
        <f t="shared" si="40"/>
        <v>0.99791876113049693</v>
      </c>
      <c r="I61" s="23">
        <f t="shared" si="40"/>
        <v>0.97546979763252217</v>
      </c>
      <c r="J61" s="23"/>
      <c r="K61" s="23"/>
      <c r="L61" s="23"/>
      <c r="M61" s="2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3"/>
    </row>
    <row r="62" spans="3:27" x14ac:dyDescent="0.25">
      <c r="C62" s="9" t="s">
        <v>27</v>
      </c>
      <c r="D62" s="23">
        <f>E34/D34</f>
        <v>3.1625421461443097</v>
      </c>
      <c r="E62" s="23">
        <f>F34/E34</f>
        <v>0.99230758395190144</v>
      </c>
      <c r="F62" s="23">
        <f>G34/F34</f>
        <v>1.1721949446005331</v>
      </c>
      <c r="G62" s="23">
        <f>H34/G34</f>
        <v>1.0050538101924149</v>
      </c>
      <c r="H62" s="23">
        <f>I34/H34</f>
        <v>0.9979832519326568</v>
      </c>
      <c r="I62" s="23"/>
      <c r="J62" s="23"/>
      <c r="K62" s="23"/>
      <c r="L62" s="23"/>
      <c r="M62" s="2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3"/>
    </row>
    <row r="63" spans="3:27" x14ac:dyDescent="0.25">
      <c r="C63" s="9" t="s">
        <v>28</v>
      </c>
      <c r="D63" s="23">
        <f>E35/D35</f>
        <v>1.7569238204890927</v>
      </c>
      <c r="E63" s="23">
        <f>F35/E35</f>
        <v>0.94534771269817408</v>
      </c>
      <c r="F63" s="23">
        <f>G35/F35</f>
        <v>1.3010031925078642</v>
      </c>
      <c r="G63" s="23">
        <f>H35/G35</f>
        <v>0.98730351396820948</v>
      </c>
      <c r="H63" s="23"/>
      <c r="I63" s="23"/>
      <c r="J63" s="23"/>
      <c r="K63" s="23"/>
      <c r="L63" s="23"/>
      <c r="M63" s="2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3"/>
    </row>
    <row r="64" spans="3:27" x14ac:dyDescent="0.25">
      <c r="C64" s="9" t="s">
        <v>29</v>
      </c>
      <c r="D64" s="23">
        <f>E36/D36</f>
        <v>2.3320316702756823</v>
      </c>
      <c r="E64" s="23">
        <f>F36/E36</f>
        <v>1.002873627301045</v>
      </c>
      <c r="F64" s="23">
        <f>G36/F36</f>
        <v>1.2990403161469921</v>
      </c>
      <c r="G64" s="23"/>
      <c r="H64" s="23"/>
      <c r="I64" s="23"/>
      <c r="J64" s="23"/>
      <c r="K64" s="23"/>
      <c r="L64" s="23"/>
      <c r="M64" s="2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3"/>
    </row>
    <row r="65" spans="2:27" x14ac:dyDescent="0.25">
      <c r="C65" s="9" t="s">
        <v>30</v>
      </c>
      <c r="D65" s="23">
        <f>E37/D37</f>
        <v>1.9802275637769955</v>
      </c>
      <c r="E65" s="23">
        <f>F37/E37</f>
        <v>0.96257522070643986</v>
      </c>
      <c r="F65" s="23"/>
      <c r="G65" s="23"/>
      <c r="H65" s="23"/>
      <c r="I65" s="23"/>
      <c r="J65" s="23"/>
      <c r="K65" s="23"/>
      <c r="L65" s="23"/>
      <c r="M65" s="2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3"/>
    </row>
    <row r="66" spans="2:27" x14ac:dyDescent="0.25">
      <c r="C66" s="9" t="s">
        <v>31</v>
      </c>
      <c r="D66" s="23">
        <f>E38/D38</f>
        <v>1.8921818735410534</v>
      </c>
      <c r="E66" s="23"/>
      <c r="F66" s="23"/>
      <c r="G66" s="23"/>
      <c r="H66" s="23"/>
      <c r="I66" s="23"/>
      <c r="J66" s="23"/>
      <c r="K66" s="23"/>
      <c r="L66" s="23"/>
      <c r="M66" s="2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3"/>
    </row>
    <row r="67" spans="2:27" x14ac:dyDescent="0.25">
      <c r="C67" s="9" t="s">
        <v>32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3"/>
    </row>
    <row r="68" spans="2:27" x14ac:dyDescent="0.25">
      <c r="C68" s="24" t="s">
        <v>47</v>
      </c>
      <c r="D68" s="25">
        <f>MEDIAN(D44:D66)</f>
        <v>1.451561479435888</v>
      </c>
      <c r="E68" s="25">
        <f t="shared" ref="E68:Z68" si="41">MEDIAN(E44:E66)</f>
        <v>0.93762965419376054</v>
      </c>
      <c r="F68" s="25">
        <f t="shared" si="41"/>
        <v>0.97932012357518183</v>
      </c>
      <c r="G68" s="25">
        <f t="shared" si="41"/>
        <v>0.9420113371863893</v>
      </c>
      <c r="H68" s="25">
        <f t="shared" si="41"/>
        <v>0.96416141322103111</v>
      </c>
      <c r="I68" s="25">
        <f t="shared" si="41"/>
        <v>0.95956370310074157</v>
      </c>
      <c r="J68" s="25">
        <f t="shared" si="41"/>
        <v>0.97298216396359627</v>
      </c>
      <c r="K68" s="25">
        <f t="shared" si="41"/>
        <v>0.97454732726673254</v>
      </c>
      <c r="L68" s="25">
        <f t="shared" si="41"/>
        <v>0.97285424820075994</v>
      </c>
      <c r="M68" s="25">
        <f t="shared" si="41"/>
        <v>0.98431373175133019</v>
      </c>
      <c r="N68" s="25">
        <f t="shared" si="41"/>
        <v>0.99322389325813132</v>
      </c>
      <c r="O68" s="25">
        <f t="shared" si="41"/>
        <v>0.99767159476981271</v>
      </c>
      <c r="P68" s="25">
        <f t="shared" si="41"/>
        <v>0.99750553275488496</v>
      </c>
      <c r="Q68" s="25">
        <f t="shared" si="41"/>
        <v>0.99914208202367749</v>
      </c>
      <c r="R68" s="25">
        <f t="shared" si="41"/>
        <v>0.99966359202624788</v>
      </c>
      <c r="S68" s="25">
        <f t="shared" si="41"/>
        <v>0.9999353356499916</v>
      </c>
      <c r="T68" s="25">
        <f t="shared" si="41"/>
        <v>0.99992722288142621</v>
      </c>
      <c r="U68" s="25">
        <f t="shared" si="41"/>
        <v>0.99986667827756714</v>
      </c>
      <c r="V68" s="25">
        <f t="shared" si="41"/>
        <v>0.99996032277745761</v>
      </c>
      <c r="W68" s="25">
        <f t="shared" si="41"/>
        <v>0.99999619244478377</v>
      </c>
      <c r="X68" s="25">
        <f t="shared" si="41"/>
        <v>1.000001203884143</v>
      </c>
      <c r="Y68" s="25">
        <f t="shared" si="41"/>
        <v>1.0000011021998554</v>
      </c>
      <c r="Z68" s="25">
        <f t="shared" si="41"/>
        <v>1.0000001719830349</v>
      </c>
      <c r="AA68" s="14"/>
    </row>
    <row r="69" spans="2:27" x14ac:dyDescent="0.25">
      <c r="C69" s="24" t="s">
        <v>48</v>
      </c>
      <c r="D69" s="26">
        <f>AVERAGE(D44:D66)</f>
        <v>1.6457560523599228</v>
      </c>
      <c r="E69" s="26">
        <f t="shared" ref="E69:Z69" si="42">AVERAGE(E44:E66)</f>
        <v>0.93012601410066797</v>
      </c>
      <c r="F69" s="26">
        <f t="shared" si="42"/>
        <v>1.0563673516133725</v>
      </c>
      <c r="G69" s="26">
        <f t="shared" si="42"/>
        <v>0.94490060009378285</v>
      </c>
      <c r="H69" s="26">
        <f t="shared" si="42"/>
        <v>0.95719711463996138</v>
      </c>
      <c r="I69" s="26">
        <f t="shared" si="42"/>
        <v>0.95519399459334453</v>
      </c>
      <c r="J69" s="26">
        <f t="shared" si="42"/>
        <v>0.96829410103346825</v>
      </c>
      <c r="K69" s="26">
        <f t="shared" si="42"/>
        <v>0.97687954429931045</v>
      </c>
      <c r="L69" s="26">
        <f t="shared" si="42"/>
        <v>0.97385849198132735</v>
      </c>
      <c r="M69" s="26">
        <f t="shared" si="42"/>
        <v>0.98284660585248307</v>
      </c>
      <c r="N69" s="26">
        <f t="shared" si="42"/>
        <v>0.99298628302822745</v>
      </c>
      <c r="O69" s="26">
        <f t="shared" si="42"/>
        <v>0.99516424871497111</v>
      </c>
      <c r="P69" s="26">
        <f t="shared" si="42"/>
        <v>0.99772423340385619</v>
      </c>
      <c r="Q69" s="26">
        <f t="shared" si="42"/>
        <v>0.9989994101180637</v>
      </c>
      <c r="R69" s="26">
        <f t="shared" si="42"/>
        <v>0.99959664428666506</v>
      </c>
      <c r="S69" s="26">
        <f t="shared" si="42"/>
        <v>0.99987341088247628</v>
      </c>
      <c r="T69" s="26">
        <f t="shared" si="42"/>
        <v>0.99988311626109727</v>
      </c>
      <c r="U69" s="26">
        <f t="shared" si="42"/>
        <v>0.99988676585670311</v>
      </c>
      <c r="V69" s="26">
        <f t="shared" si="42"/>
        <v>0.99997390588232782</v>
      </c>
      <c r="W69" s="26">
        <f t="shared" si="42"/>
        <v>0.99999383581333379</v>
      </c>
      <c r="X69" s="26">
        <f t="shared" si="42"/>
        <v>1.0000010683073939</v>
      </c>
      <c r="Y69" s="26">
        <f t="shared" si="42"/>
        <v>1.0000011021998554</v>
      </c>
      <c r="Z69" s="26">
        <f t="shared" si="42"/>
        <v>1.0000001719830349</v>
      </c>
      <c r="AA69" s="15"/>
    </row>
    <row r="70" spans="2:27" x14ac:dyDescent="0.25">
      <c r="C70" s="24" t="s">
        <v>46</v>
      </c>
      <c r="D70" s="27">
        <f>D69*0.8</f>
        <v>1.3166048418879384</v>
      </c>
      <c r="E70" s="27">
        <f t="shared" ref="E70:Z70" si="43">E69*0.8</f>
        <v>0.7441008112805344</v>
      </c>
      <c r="F70" s="27">
        <f t="shared" si="43"/>
        <v>0.84509388129069807</v>
      </c>
      <c r="G70" s="27">
        <f t="shared" si="43"/>
        <v>0.75592048007502632</v>
      </c>
      <c r="H70" s="27">
        <f t="shared" si="43"/>
        <v>0.76575769171196917</v>
      </c>
      <c r="I70" s="27">
        <f t="shared" si="43"/>
        <v>0.76415519567467571</v>
      </c>
      <c r="J70" s="27">
        <f t="shared" si="43"/>
        <v>0.77463528082677469</v>
      </c>
      <c r="K70" s="27">
        <f t="shared" si="43"/>
        <v>0.78150363543944845</v>
      </c>
      <c r="L70" s="27">
        <f t="shared" si="43"/>
        <v>0.77908679358506194</v>
      </c>
      <c r="M70" s="27">
        <f t="shared" si="43"/>
        <v>0.78627728468198654</v>
      </c>
      <c r="N70" s="27">
        <f t="shared" si="43"/>
        <v>0.79438902642258202</v>
      </c>
      <c r="O70" s="27">
        <f t="shared" si="43"/>
        <v>0.79613139897197693</v>
      </c>
      <c r="P70" s="27">
        <f t="shared" si="43"/>
        <v>0.79817938672308497</v>
      </c>
      <c r="Q70" s="27">
        <f t="shared" si="43"/>
        <v>0.79919952809445105</v>
      </c>
      <c r="R70" s="27">
        <f t="shared" si="43"/>
        <v>0.79967731542933207</v>
      </c>
      <c r="S70" s="27">
        <f t="shared" si="43"/>
        <v>0.79989872870598111</v>
      </c>
      <c r="T70" s="27">
        <f t="shared" si="43"/>
        <v>0.79990649300887784</v>
      </c>
      <c r="U70" s="27">
        <f t="shared" si="43"/>
        <v>0.79990941268536253</v>
      </c>
      <c r="V70" s="27">
        <f t="shared" si="43"/>
        <v>0.7999791247058623</v>
      </c>
      <c r="W70" s="27">
        <f t="shared" si="43"/>
        <v>0.79999506865066705</v>
      </c>
      <c r="X70" s="27">
        <f t="shared" si="43"/>
        <v>0.80000085464591519</v>
      </c>
      <c r="Y70" s="27">
        <f t="shared" si="43"/>
        <v>0.80000088175988437</v>
      </c>
      <c r="Z70" s="27">
        <f t="shared" si="43"/>
        <v>0.80000013758642796</v>
      </c>
    </row>
    <row r="71" spans="2:27" x14ac:dyDescent="0.25">
      <c r="C71" s="24" t="s">
        <v>49</v>
      </c>
      <c r="D71" s="27">
        <f>D69*1.2</f>
        <v>1.9749072628319073</v>
      </c>
      <c r="E71" s="27">
        <f t="shared" ref="E71:Z71" si="44">E69*1.2</f>
        <v>1.1161512169208014</v>
      </c>
      <c r="F71" s="27">
        <f t="shared" si="44"/>
        <v>1.2676408219360469</v>
      </c>
      <c r="G71" s="27">
        <f t="shared" si="44"/>
        <v>1.1338807201125394</v>
      </c>
      <c r="H71" s="27">
        <f t="shared" si="44"/>
        <v>1.1486365375679537</v>
      </c>
      <c r="I71" s="27">
        <f t="shared" si="44"/>
        <v>1.1462327935120133</v>
      </c>
      <c r="J71" s="27">
        <f t="shared" si="44"/>
        <v>1.1619529212401618</v>
      </c>
      <c r="K71" s="27">
        <f t="shared" si="44"/>
        <v>1.1722554531591725</v>
      </c>
      <c r="L71" s="27">
        <f t="shared" si="44"/>
        <v>1.1686301903775929</v>
      </c>
      <c r="M71" s="27">
        <f t="shared" si="44"/>
        <v>1.1794159270229796</v>
      </c>
      <c r="N71" s="27">
        <f t="shared" si="44"/>
        <v>1.191583539633873</v>
      </c>
      <c r="O71" s="27">
        <f t="shared" si="44"/>
        <v>1.1941970984579653</v>
      </c>
      <c r="P71" s="27">
        <f t="shared" si="44"/>
        <v>1.1972690800846273</v>
      </c>
      <c r="Q71" s="27">
        <f t="shared" si="44"/>
        <v>1.1987992921416764</v>
      </c>
      <c r="R71" s="27">
        <f t="shared" si="44"/>
        <v>1.1995159731439979</v>
      </c>
      <c r="S71" s="27">
        <f t="shared" si="44"/>
        <v>1.1998480930589714</v>
      </c>
      <c r="T71" s="27">
        <f t="shared" si="44"/>
        <v>1.1998597395133166</v>
      </c>
      <c r="U71" s="27">
        <f t="shared" si="44"/>
        <v>1.1998641190280437</v>
      </c>
      <c r="V71" s="27">
        <f t="shared" si="44"/>
        <v>1.1999686870587933</v>
      </c>
      <c r="W71" s="27">
        <f t="shared" si="44"/>
        <v>1.1999926029760004</v>
      </c>
      <c r="X71" s="27">
        <f t="shared" si="44"/>
        <v>1.2000012819688726</v>
      </c>
      <c r="Y71" s="27">
        <f t="shared" si="44"/>
        <v>1.2000013226398265</v>
      </c>
      <c r="Z71" s="27">
        <f t="shared" si="44"/>
        <v>1.2000002063796418</v>
      </c>
    </row>
    <row r="75" spans="2:27" x14ac:dyDescent="0.25">
      <c r="J75" s="1"/>
    </row>
    <row r="76" spans="2:27" x14ac:dyDescent="0.25">
      <c r="F76" s="153" t="s">
        <v>36</v>
      </c>
      <c r="G76" s="153"/>
      <c r="H76" s="153"/>
      <c r="I76" s="153"/>
      <c r="J76" s="154" t="s">
        <v>37</v>
      </c>
      <c r="K76" s="154"/>
      <c r="L76" s="154"/>
      <c r="M76" s="154"/>
    </row>
    <row r="77" spans="2:27" x14ac:dyDescent="0.25">
      <c r="D77" s="4" t="s">
        <v>33</v>
      </c>
      <c r="E77" s="4" t="s">
        <v>34</v>
      </c>
      <c r="F77" s="4" t="s">
        <v>38</v>
      </c>
      <c r="G77" s="4" t="s">
        <v>39</v>
      </c>
      <c r="H77" s="4" t="s">
        <v>40</v>
      </c>
      <c r="I77" s="4" t="s">
        <v>41</v>
      </c>
      <c r="J77" s="4" t="s">
        <v>38</v>
      </c>
      <c r="K77" s="4" t="s">
        <v>39</v>
      </c>
      <c r="L77" s="4" t="s">
        <v>40</v>
      </c>
      <c r="M77" s="4" t="s">
        <v>41</v>
      </c>
    </row>
    <row r="78" spans="2:27" x14ac:dyDescent="0.25">
      <c r="B78">
        <v>24</v>
      </c>
      <c r="C78" s="9" t="s">
        <v>8</v>
      </c>
      <c r="D78" s="1">
        <v>20213006.09090909</v>
      </c>
      <c r="E78" s="1" cm="1">
        <f t="array" ref="E78">INDEX(D16:AA16,$B78)</f>
        <v>5814528</v>
      </c>
      <c r="F78" s="5">
        <f>'2_CL'!AA4</f>
        <v>5814528</v>
      </c>
      <c r="G78" s="5">
        <f>'2_BF'!I8</f>
        <v>5814528</v>
      </c>
      <c r="H78" s="79">
        <f>'2_CC'!I8</f>
        <v>5814528</v>
      </c>
      <c r="I78" s="1"/>
      <c r="J78" s="1">
        <f>'2_CL'!AC4</f>
        <v>0</v>
      </c>
      <c r="K78" s="5">
        <f>'2_BF'!H8</f>
        <v>0</v>
      </c>
      <c r="L78" s="5">
        <f>'2_CC'!H8</f>
        <v>0</v>
      </c>
    </row>
    <row r="79" spans="2:27" x14ac:dyDescent="0.25">
      <c r="B79">
        <f>+B78-1</f>
        <v>23</v>
      </c>
      <c r="C79" s="9" t="s">
        <v>9</v>
      </c>
      <c r="D79" s="1">
        <v>22641631.727272727</v>
      </c>
      <c r="E79" s="1" cm="1">
        <f t="array" ref="E79">INDEX(D17:AA17,$B79)</f>
        <v>7995874</v>
      </c>
      <c r="F79" s="5">
        <f>'2_CL'!AA5</f>
        <v>7995875.3751546778</v>
      </c>
      <c r="G79" s="5">
        <f>'2_BF'!I9</f>
        <v>7995876.1416867292</v>
      </c>
      <c r="H79" s="79">
        <f>'2_CC'!I9</f>
        <v>7995875.6912902556</v>
      </c>
      <c r="I79" s="1"/>
      <c r="J79" s="1">
        <f>'2_CL'!AC5</f>
        <v>1.3751546777784824</v>
      </c>
      <c r="K79" s="5">
        <f>'2_BF'!H9</f>
        <v>2.1416867292963713</v>
      </c>
      <c r="L79" s="5">
        <f>'2_CC'!H9</f>
        <v>1.6912902551866109</v>
      </c>
    </row>
    <row r="80" spans="2:27" x14ac:dyDescent="0.25">
      <c r="B80">
        <f t="shared" ref="B80:B101" si="45">+B79-1</f>
        <v>22</v>
      </c>
      <c r="C80" s="9" t="s">
        <v>11</v>
      </c>
      <c r="D80" s="1">
        <v>19561331.18181818</v>
      </c>
      <c r="E80" s="1" cm="1">
        <f t="array" ref="E80">INDEX(D18:AA18,$B80)</f>
        <v>4710870</v>
      </c>
      <c r="F80" s="5">
        <f>'2_CL'!AA6</f>
        <v>4710875.9268506262</v>
      </c>
      <c r="G80" s="5">
        <f>'2_BF'!I10</f>
        <v>4710883.5357838692</v>
      </c>
      <c r="H80" s="79">
        <f>'2_CC'!I10</f>
        <v>4710880.6892100703</v>
      </c>
      <c r="I80" s="1"/>
      <c r="J80" s="1">
        <f>'2_CL'!AC6</f>
        <v>5.926850626245141</v>
      </c>
      <c r="K80" s="5">
        <f>'2_BF'!H10</f>
        <v>13.53578386923434</v>
      </c>
      <c r="L80" s="5">
        <f>'2_CC'!H10</f>
        <v>10.689210070358609</v>
      </c>
    </row>
    <row r="81" spans="2:12" x14ac:dyDescent="0.25">
      <c r="B81">
        <f t="shared" si="45"/>
        <v>21</v>
      </c>
      <c r="C81" s="9" t="s">
        <v>12</v>
      </c>
      <c r="D81" s="1">
        <v>9083808.0909090899</v>
      </c>
      <c r="E81" s="1" cm="1">
        <f t="array" ref="E81">INDEX(D19:AA19,$B81)</f>
        <v>5046123</v>
      </c>
      <c r="F81" s="5">
        <f>'2_CL'!AA7</f>
        <v>5046135.6150140176</v>
      </c>
      <c r="G81" s="5">
        <f>'2_BF'!I11</f>
        <v>5046135.4899143269</v>
      </c>
      <c r="H81" s="79">
        <f>'2_CC'!I11</f>
        <v>5046132.8632867727</v>
      </c>
      <c r="I81" s="1"/>
      <c r="J81" s="1">
        <f>'2_CL'!AC7</f>
        <v>12.615014017559588</v>
      </c>
      <c r="K81" s="5">
        <f>'2_BF'!H11</f>
        <v>12.489914327028794</v>
      </c>
      <c r="L81" s="5">
        <f>'2_CC'!H11</f>
        <v>9.8632867732058713</v>
      </c>
    </row>
    <row r="82" spans="2:12" x14ac:dyDescent="0.25">
      <c r="B82">
        <f t="shared" si="45"/>
        <v>20</v>
      </c>
      <c r="C82" s="9" t="s">
        <v>13</v>
      </c>
      <c r="D82" s="1">
        <v>18994502.724418178</v>
      </c>
      <c r="E82" s="1" cm="1">
        <f t="array" ref="E82">INDEX(D20:AA20,$B82)</f>
        <v>4612035</v>
      </c>
      <c r="F82" s="5">
        <f>'2_CL'!AA8</f>
        <v>4612019.3281812593</v>
      </c>
      <c r="G82" s="5">
        <f>'2_BF'!I12</f>
        <v>4611999.5007727807</v>
      </c>
      <c r="H82" s="79">
        <f>'2_CC'!I12</f>
        <v>4612006.9662562022</v>
      </c>
      <c r="I82" s="1"/>
      <c r="J82" s="1">
        <f>'2_CL'!AC8</f>
        <v>-15.671818740665913</v>
      </c>
      <c r="K82" s="5">
        <f>'2_BF'!H12</f>
        <v>-35.499227219662899</v>
      </c>
      <c r="L82" s="5">
        <f>'2_CC'!H12</f>
        <v>-28.033743797346361</v>
      </c>
    </row>
    <row r="83" spans="2:12" x14ac:dyDescent="0.25">
      <c r="B83">
        <f t="shared" si="45"/>
        <v>19</v>
      </c>
      <c r="C83" s="9" t="s">
        <v>14</v>
      </c>
      <c r="D83" s="1">
        <v>-1004591.6245076172</v>
      </c>
      <c r="E83" s="1" cm="1">
        <f t="array" ref="E83">INDEX(D21:AA21,$B83)</f>
        <v>2490228</v>
      </c>
      <c r="F83" s="5">
        <f>'2_CL'!AA9</f>
        <v>2490146.2817261256</v>
      </c>
      <c r="G83" s="5">
        <f>'2_BF'!I13</f>
        <v>2490246.1320357597</v>
      </c>
      <c r="H83" s="79">
        <f>'2_CC'!I13</f>
        <v>2490242.3188707144</v>
      </c>
      <c r="I83" s="1"/>
      <c r="J83" s="1">
        <f>'2_CL'!AC9</f>
        <v>-81.718273874372244</v>
      </c>
      <c r="K83" s="5">
        <f>'2_BF'!H13</f>
        <v>18.132035759729241</v>
      </c>
      <c r="L83" s="5">
        <f>'2_CC'!H13</f>
        <v>14.318870714205902</v>
      </c>
    </row>
    <row r="84" spans="2:12" x14ac:dyDescent="0.25">
      <c r="B84">
        <f t="shared" si="45"/>
        <v>18</v>
      </c>
      <c r="C84" s="9" t="s">
        <v>15</v>
      </c>
      <c r="D84" s="1">
        <v>-5936695.0191201437</v>
      </c>
      <c r="E84" s="1" cm="1">
        <f t="array" ref="E84">INDEX(D22:AA22,$B84)</f>
        <v>2642281</v>
      </c>
      <c r="F84" s="5">
        <f>'2_CL'!AA10</f>
        <v>2641935.444152365</v>
      </c>
      <c r="G84" s="5">
        <f>'2_BF'!I14</f>
        <v>2642708.0743353004</v>
      </c>
      <c r="H84" s="79">
        <f>'2_CC'!I14</f>
        <v>2642618.2606514543</v>
      </c>
      <c r="I84" s="1"/>
      <c r="J84" s="1">
        <f>'2_CL'!AC10</f>
        <v>-345.55584763502702</v>
      </c>
      <c r="K84" s="5">
        <f>'2_BF'!H14</f>
        <v>427.07433530043318</v>
      </c>
      <c r="L84" s="5">
        <f>'2_CC'!H14</f>
        <v>337.26065145448621</v>
      </c>
    </row>
    <row r="85" spans="2:12" x14ac:dyDescent="0.25">
      <c r="B85">
        <f t="shared" si="45"/>
        <v>17</v>
      </c>
      <c r="C85" s="9" t="s">
        <v>16</v>
      </c>
      <c r="D85" s="1">
        <v>4268257.6721802894</v>
      </c>
      <c r="E85" s="1" cm="1">
        <f t="array" ref="E85">INDEX(D23:AA23,$B85)</f>
        <v>6538885</v>
      </c>
      <c r="F85" s="5">
        <f>'2_CL'!AA11</f>
        <v>6537271.062455751</v>
      </c>
      <c r="G85" s="5">
        <f>'2_BF'!I15</f>
        <v>6538305.4331315132</v>
      </c>
      <c r="H85" s="79">
        <f>'2_CC'!I15</f>
        <v>6538427.3159776395</v>
      </c>
      <c r="I85" s="1"/>
      <c r="J85" s="1">
        <f>'2_CL'!AC11</f>
        <v>-1613.9375442489982</v>
      </c>
      <c r="K85" s="5">
        <f>'2_BF'!H15</f>
        <v>-579.56686848692198</v>
      </c>
      <c r="L85" s="5">
        <f>'2_CC'!H15</f>
        <v>-457.68402236072637</v>
      </c>
    </row>
    <row r="86" spans="2:12" x14ac:dyDescent="0.25">
      <c r="B86">
        <f t="shared" si="45"/>
        <v>16</v>
      </c>
      <c r="C86" s="9" t="s">
        <v>17</v>
      </c>
      <c r="D86" s="1">
        <v>16145782.499172982</v>
      </c>
      <c r="E86" s="1" cm="1">
        <f t="array" ref="E86">INDEX(D24:AA24,$B86)</f>
        <v>6037298</v>
      </c>
      <c r="F86" s="5">
        <f>'2_CL'!AA12</f>
        <v>6035154.3620423218</v>
      </c>
      <c r="G86" s="5">
        <f>'2_BF'!I16</f>
        <v>6034143.8318412472</v>
      </c>
      <c r="H86" s="79">
        <f>'2_CC'!I16</f>
        <v>6034807.1530441185</v>
      </c>
      <c r="I86" s="1"/>
      <c r="J86" s="1">
        <f>'2_CL'!AC12</f>
        <v>-2143.6379576781765</v>
      </c>
      <c r="K86" s="5">
        <f>'2_BF'!H16</f>
        <v>-3154.1681587530811</v>
      </c>
      <c r="L86" s="5">
        <f>'2_CC'!H16</f>
        <v>-2490.8469558811776</v>
      </c>
    </row>
    <row r="87" spans="2:12" x14ac:dyDescent="0.25">
      <c r="B87">
        <f t="shared" si="45"/>
        <v>15</v>
      </c>
      <c r="C87" s="9" t="s">
        <v>18</v>
      </c>
      <c r="D87" s="1">
        <v>16851116.636917692</v>
      </c>
      <c r="E87" s="1" cm="1">
        <f t="array" ref="E87">INDEX(D25:AA25,$B87)</f>
        <v>4354413</v>
      </c>
      <c r="F87" s="5">
        <f>'2_CL'!AA13</f>
        <v>4351081.6356249368</v>
      </c>
      <c r="G87" s="5">
        <f>'2_BF'!I17</f>
        <v>4347316.9563285718</v>
      </c>
      <c r="H87" s="79">
        <f>'2_CC'!I17</f>
        <v>4348809.2535007121</v>
      </c>
      <c r="I87" s="1"/>
      <c r="J87" s="1">
        <f>'2_CL'!AC13</f>
        <v>-3331.3643750632182</v>
      </c>
      <c r="K87" s="5">
        <f>'2_BF'!H17</f>
        <v>-7096.0436714282869</v>
      </c>
      <c r="L87" s="5">
        <f>'2_CC'!H17</f>
        <v>-5603.7464992876166</v>
      </c>
    </row>
    <row r="88" spans="2:12" x14ac:dyDescent="0.25">
      <c r="B88">
        <f t="shared" si="45"/>
        <v>14</v>
      </c>
      <c r="C88" s="9" t="s">
        <v>19</v>
      </c>
      <c r="D88" s="1">
        <v>-4179642.7741903318</v>
      </c>
      <c r="E88" s="1" cm="1">
        <f t="array" ref="E88">INDEX(D26:AA26,$B88)</f>
        <v>4284653</v>
      </c>
      <c r="F88" s="5">
        <f>'2_CL'!AA14</f>
        <v>4277753.0799408136</v>
      </c>
      <c r="G88" s="5">
        <f>'2_BF'!I18</f>
        <v>4288360.9186814697</v>
      </c>
      <c r="H88" s="79">
        <f>'2_CC'!I18</f>
        <v>4287581.1438070331</v>
      </c>
      <c r="I88" s="1"/>
      <c r="J88" s="1">
        <f>'2_CL'!AC14</f>
        <v>-6899.9200591864064</v>
      </c>
      <c r="K88" s="5">
        <f>'2_BF'!H18</f>
        <v>3707.9186814700543</v>
      </c>
      <c r="L88" s="5">
        <f>'2_CC'!H18</f>
        <v>2928.1438070333552</v>
      </c>
    </row>
    <row r="89" spans="2:12" x14ac:dyDescent="0.25">
      <c r="B89">
        <f t="shared" si="45"/>
        <v>13</v>
      </c>
      <c r="C89" s="9" t="s">
        <v>20</v>
      </c>
      <c r="D89" s="1">
        <v>3503668.9779778551</v>
      </c>
      <c r="E89" s="1" cm="1">
        <f t="array" ref="E89">INDEX(D27:AA27,$B89)</f>
        <v>7266841</v>
      </c>
      <c r="F89" s="5">
        <f>'2_CL'!AA15</f>
        <v>7240242.3485887712</v>
      </c>
      <c r="G89" s="5">
        <f>'2_BF'!I19</f>
        <v>7259761.6681316327</v>
      </c>
      <c r="H89" s="79">
        <f>'2_CC'!I19</f>
        <v>7261250.4508135021</v>
      </c>
      <c r="I89" s="1"/>
      <c r="J89" s="1">
        <f>'2_CL'!AC15</f>
        <v>-26598.651411228813</v>
      </c>
      <c r="K89" s="5">
        <f>'2_BF'!H19</f>
        <v>-7079.3318683670313</v>
      </c>
      <c r="L89" s="5">
        <f>'2_CC'!H19</f>
        <v>-5590.5491864979049</v>
      </c>
    </row>
    <row r="90" spans="2:12" x14ac:dyDescent="0.25">
      <c r="B90">
        <f t="shared" si="45"/>
        <v>12</v>
      </c>
      <c r="C90" s="9" t="s">
        <v>21</v>
      </c>
      <c r="D90" s="1">
        <v>17466795.417860202</v>
      </c>
      <c r="E90" s="1" cm="1">
        <f t="array" ref="E90">INDEX(D28:AA28,$B90)</f>
        <v>5844768</v>
      </c>
      <c r="F90" s="5">
        <f>'2_CL'!AA16</f>
        <v>5800797.6102780709</v>
      </c>
      <c r="G90" s="5">
        <f>'2_BF'!I20</f>
        <v>5771948.3604739355</v>
      </c>
      <c r="H90" s="79">
        <f>'2_CC'!I20</f>
        <v>5787262.3223339217</v>
      </c>
      <c r="I90" s="1"/>
      <c r="J90" s="1">
        <f>'2_CL'!AC16</f>
        <v>-43970.389721929096</v>
      </c>
      <c r="K90" s="5">
        <f>'2_BF'!H20</f>
        <v>-72819.639526064275</v>
      </c>
      <c r="L90" s="5">
        <f>'2_CC'!H20</f>
        <v>-57505.677666078154</v>
      </c>
    </row>
    <row r="91" spans="2:12" x14ac:dyDescent="0.25">
      <c r="B91">
        <f t="shared" si="45"/>
        <v>11</v>
      </c>
      <c r="C91" s="9" t="s">
        <v>22</v>
      </c>
      <c r="D91" s="1">
        <v>15433825.712611966</v>
      </c>
      <c r="E91" s="1" cm="1">
        <f t="array" ref="E91">INDEX(D29:AA29,$B91)</f>
        <v>5171805</v>
      </c>
      <c r="F91" s="5">
        <f>'2_CL'!AA17</f>
        <v>5092469.6394201815</v>
      </c>
      <c r="G91" s="5">
        <f>'2_BF'!I21</f>
        <v>5039561.40934473</v>
      </c>
      <c r="H91" s="79">
        <f>'2_CC'!I21</f>
        <v>5067372.2213276364</v>
      </c>
      <c r="I91" s="1"/>
      <c r="J91" s="1">
        <f>'2_CL'!AC17</f>
        <v>-79335.360579818487</v>
      </c>
      <c r="K91" s="5">
        <f>'2_BF'!H21</f>
        <v>-132243.59065527</v>
      </c>
      <c r="L91" s="5">
        <f>'2_CC'!H21</f>
        <v>-104432.77867236319</v>
      </c>
    </row>
    <row r="92" spans="2:12" x14ac:dyDescent="0.25">
      <c r="B92">
        <f t="shared" si="45"/>
        <v>10</v>
      </c>
      <c r="C92" s="9" t="s">
        <v>23</v>
      </c>
      <c r="D92" s="1">
        <v>15413447.856489912</v>
      </c>
      <c r="E92" s="1" cm="1">
        <f t="array" ref="E92">INDEX(D30:AA30,$B92)</f>
        <v>2473125</v>
      </c>
      <c r="F92" s="5">
        <f>'2_CL'!AA18</f>
        <v>2392561.1158093992</v>
      </c>
      <c r="G92" s="5">
        <f>'2_BF'!I22</f>
        <v>2187668.5613177968</v>
      </c>
      <c r="H92" s="79">
        <f>'2_CC'!I22</f>
        <v>2247700.0177094759</v>
      </c>
      <c r="I92" s="1"/>
      <c r="J92" s="1">
        <f>'2_CL'!AC18</f>
        <v>-80563.884190600831</v>
      </c>
      <c r="K92" s="5">
        <f>'2_BF'!H22</f>
        <v>-285456.43868220336</v>
      </c>
      <c r="L92" s="5">
        <f>'2_CC'!H22</f>
        <v>-225424.98229052406</v>
      </c>
    </row>
    <row r="93" spans="2:12" x14ac:dyDescent="0.25">
      <c r="B93">
        <f t="shared" si="45"/>
        <v>9</v>
      </c>
      <c r="C93" s="9" t="s">
        <v>24</v>
      </c>
      <c r="D93" s="1">
        <v>19246631.966259398</v>
      </c>
      <c r="E93" s="1" cm="1">
        <f t="array" ref="E93">INDEX(D31:AA31,$B93)</f>
        <v>13371613</v>
      </c>
      <c r="F93" s="5">
        <f>'2_CL'!AA19</f>
        <v>12646831.056454044</v>
      </c>
      <c r="G93" s="5">
        <f>'2_BF'!I23</f>
        <v>12764956.186643168</v>
      </c>
      <c r="H93" s="79">
        <f>'2_CC'!I23</f>
        <v>12892536.045075754</v>
      </c>
      <c r="I93" s="1"/>
      <c r="J93" s="1">
        <f>'2_CL'!AC19</f>
        <v>-724781.94354595616</v>
      </c>
      <c r="K93" s="5">
        <f>'2_BF'!H23</f>
        <v>-606656.8133568319</v>
      </c>
      <c r="L93" s="5">
        <f>'2_CC'!H23</f>
        <v>-479076.95492424554</v>
      </c>
    </row>
    <row r="94" spans="2:12" x14ac:dyDescent="0.25">
      <c r="B94">
        <f t="shared" si="45"/>
        <v>8</v>
      </c>
      <c r="C94" s="9" t="s">
        <v>25</v>
      </c>
      <c r="D94" s="1">
        <v>32511744.962999582</v>
      </c>
      <c r="E94" s="1" cm="1">
        <f t="array" ref="E94">INDEX(D32:AA32,$B94)</f>
        <v>12422697</v>
      </c>
      <c r="F94" s="5">
        <f>'2_CL'!AA20</f>
        <v>11473012.365468491</v>
      </c>
      <c r="G94" s="5">
        <f>'2_BF'!I24</f>
        <v>10942549.76339856</v>
      </c>
      <c r="H94" s="79">
        <f>'2_CC'!I24</f>
        <v>11253824.557890851</v>
      </c>
      <c r="I94" s="1"/>
      <c r="J94" s="1">
        <f>'2_CL'!AC20</f>
        <v>-949684.63453150913</v>
      </c>
      <c r="K94" s="5">
        <f>'2_BF'!H24</f>
        <v>-1480147.2366014395</v>
      </c>
      <c r="L94" s="5">
        <f>'2_CC'!H24</f>
        <v>-1168872.4421091494</v>
      </c>
    </row>
    <row r="95" spans="2:12" x14ac:dyDescent="0.25">
      <c r="B95">
        <f t="shared" si="45"/>
        <v>7</v>
      </c>
      <c r="C95" s="9" t="s">
        <v>26</v>
      </c>
      <c r="D95" s="1">
        <v>24625764.100566026</v>
      </c>
      <c r="E95" s="1" cm="1">
        <f t="array" ref="E95">INDEX(D33:AA33,$B95)</f>
        <v>10568629</v>
      </c>
      <c r="F95" s="5">
        <f>'2_CL'!AA21</f>
        <v>9498868.4422418866</v>
      </c>
      <c r="G95" s="5">
        <f>'2_BF'!I25</f>
        <v>9043287.4064414091</v>
      </c>
      <c r="H95" s="79">
        <f>'2_CC'!I25</f>
        <v>9364066.5690304488</v>
      </c>
      <c r="I95" s="1"/>
      <c r="J95" s="1">
        <f>'2_CL'!AC21</f>
        <v>-1069760.5577581134</v>
      </c>
      <c r="K95" s="5">
        <f>'2_BF'!H25</f>
        <v>-1525341.5935585916</v>
      </c>
      <c r="L95" s="5">
        <f>'2_CC'!H25</f>
        <v>-1204562.4309695503</v>
      </c>
    </row>
    <row r="96" spans="2:12" x14ac:dyDescent="0.25">
      <c r="B96">
        <f t="shared" si="45"/>
        <v>6</v>
      </c>
      <c r="C96" s="9" t="s">
        <v>27</v>
      </c>
      <c r="D96" s="1">
        <v>52753853.564416327</v>
      </c>
      <c r="E96" s="1" cm="1">
        <f t="array" ref="E96">INDEX(D34:AA34,$B96)</f>
        <v>25593031</v>
      </c>
      <c r="F96" s="5">
        <f>'2_CL'!AA22</f>
        <v>22136688.326684907</v>
      </c>
      <c r="G96" s="5">
        <f>'2_BF'!I26</f>
        <v>21062792.966599572</v>
      </c>
      <c r="H96" s="79">
        <f>'2_CC'!I26</f>
        <v>22015501.506653816</v>
      </c>
      <c r="I96" s="1"/>
      <c r="J96" s="1">
        <f>'2_CL'!AC22</f>
        <v>-3456342.6733150929</v>
      </c>
      <c r="K96" s="5">
        <f>'2_BF'!H26</f>
        <v>-4530238.0334004266</v>
      </c>
      <c r="L96" s="5">
        <f>'2_CC'!H26</f>
        <v>-3577529.4933461864</v>
      </c>
    </row>
    <row r="97" spans="2:27" x14ac:dyDescent="0.25">
      <c r="B97">
        <f t="shared" si="45"/>
        <v>5</v>
      </c>
      <c r="C97" s="9" t="s">
        <v>28</v>
      </c>
      <c r="D97" s="1">
        <v>31407599.395625263</v>
      </c>
      <c r="E97" s="1" cm="1">
        <f t="array" ref="E97">INDEX(D35:AA35,$B97)</f>
        <v>14275150</v>
      </c>
      <c r="F97" s="5">
        <f>'2_CL'!AA23</f>
        <v>11994039.936759638</v>
      </c>
      <c r="G97" s="5">
        <f>'2_BF'!I27</f>
        <v>10989826.182359274</v>
      </c>
      <c r="H97" s="79">
        <f>'2_CC'!I27</f>
        <v>11680729.405287839</v>
      </c>
      <c r="I97" s="1"/>
      <c r="J97" s="1">
        <f>'2_CL'!AC23</f>
        <v>-2281110.0632403623</v>
      </c>
      <c r="K97" s="5">
        <f>'2_BF'!H27</f>
        <v>-3285323.8176407246</v>
      </c>
      <c r="L97" s="5">
        <f>'2_CC'!H27</f>
        <v>-2594420.5947121605</v>
      </c>
    </row>
    <row r="98" spans="2:27" x14ac:dyDescent="0.25">
      <c r="B98">
        <f t="shared" si="45"/>
        <v>4</v>
      </c>
      <c r="C98" s="9" t="s">
        <v>29</v>
      </c>
      <c r="D98" s="1">
        <v>30304298.832185101</v>
      </c>
      <c r="E98" s="1" cm="1">
        <f t="array" ref="E98">INDEX(D36:AA36,$B98)</f>
        <v>12735195</v>
      </c>
      <c r="F98" s="5">
        <f>'2_CL'!AA24</f>
        <v>10253313.985689715</v>
      </c>
      <c r="G98" s="5">
        <f>'2_BF'!I28</f>
        <v>8700751.5785163548</v>
      </c>
      <c r="H98" s="79">
        <f>'2_CC'!I28</f>
        <v>9549194.5684155077</v>
      </c>
      <c r="I98" s="1"/>
      <c r="J98" s="1">
        <f>'2_CL'!AC24</f>
        <v>-2481881.0143102854</v>
      </c>
      <c r="K98" s="5">
        <f>'2_BF'!H28</f>
        <v>-4034443.4214836457</v>
      </c>
      <c r="L98" s="5">
        <f>'2_CC'!H28</f>
        <v>-3186000.4315844928</v>
      </c>
    </row>
    <row r="99" spans="2:27" x14ac:dyDescent="0.25">
      <c r="B99">
        <f t="shared" si="45"/>
        <v>3</v>
      </c>
      <c r="C99" s="9" t="s">
        <v>30</v>
      </c>
      <c r="D99" s="1">
        <v>11368457.883217428</v>
      </c>
      <c r="E99" s="1" cm="1">
        <f t="array" ref="E99">INDEX(D37:AA37,$B99)</f>
        <v>11277873</v>
      </c>
      <c r="F99" s="5">
        <f>'2_CL'!AA25</f>
        <v>9883068.1115148552</v>
      </c>
      <c r="G99" s="5">
        <f>'2_BF'!I29</f>
        <v>10395431.510361187</v>
      </c>
      <c r="H99" s="79">
        <f>'2_CC'!I29</f>
        <v>10581008.854659371</v>
      </c>
      <c r="I99" s="1"/>
      <c r="J99" s="1">
        <f>'2_CL'!AC25</f>
        <v>-1394804.8884851448</v>
      </c>
      <c r="K99" s="5">
        <f>'2_BF'!H29</f>
        <v>-882441.48963881284</v>
      </c>
      <c r="L99" s="5">
        <f>'2_CC'!H29</f>
        <v>-696864.14534062811</v>
      </c>
    </row>
    <row r="100" spans="2:27" x14ac:dyDescent="0.25">
      <c r="B100">
        <f t="shared" si="45"/>
        <v>2</v>
      </c>
      <c r="C100" s="9" t="s">
        <v>31</v>
      </c>
      <c r="D100" s="1">
        <v>9631669.6535887755</v>
      </c>
      <c r="E100" s="1" cm="1">
        <f t="array" ref="E100">INDEX(D38:AA38,$B100)</f>
        <v>9321834</v>
      </c>
      <c r="F100" s="5">
        <f>'2_CL'!AA26</f>
        <v>7689104.1913511623</v>
      </c>
      <c r="G100" s="5">
        <f>'2_BF'!I30</f>
        <v>8196962.6798156677</v>
      </c>
      <c r="H100" s="79">
        <f>'2_CC'!I30</f>
        <v>8433522.989737682</v>
      </c>
      <c r="I100" s="1"/>
      <c r="J100" s="1">
        <f>'2_CL'!AC26</f>
        <v>-1632729.8086488377</v>
      </c>
      <c r="K100" s="5">
        <f>'2_BF'!H30</f>
        <v>-1124871.3201843321</v>
      </c>
      <c r="L100" s="5">
        <f>'2_CC'!H30</f>
        <v>-888311.01026231807</v>
      </c>
    </row>
    <row r="101" spans="2:27" x14ac:dyDescent="0.25">
      <c r="B101">
        <f t="shared" si="45"/>
        <v>1</v>
      </c>
      <c r="C101" s="9" t="s">
        <v>32</v>
      </c>
      <c r="D101" s="1">
        <v>32995207.804397486</v>
      </c>
      <c r="E101" s="1" cm="1">
        <f t="array" ref="E101">INDEX(D39:AA39,$B101)</f>
        <v>5149958</v>
      </c>
      <c r="F101" s="5">
        <f>'2_CL'!AA27</f>
        <v>6945930.3118921947</v>
      </c>
      <c r="G101" s="5">
        <f>'2_BF'!I31</f>
        <v>9842225.6070048623</v>
      </c>
      <c r="H101" s="79">
        <f>'2_CC'!I31</f>
        <v>8855442.266161751</v>
      </c>
      <c r="I101" s="1"/>
      <c r="J101" s="1">
        <f>'2_CL'!AC27</f>
        <v>1795972.3118921947</v>
      </c>
      <c r="K101" s="5">
        <f>'2_BF'!H31</f>
        <v>4692267.6070048632</v>
      </c>
      <c r="L101" s="5">
        <f>'2_CC'!H31</f>
        <v>3705484.266161751</v>
      </c>
    </row>
    <row r="107" spans="2:27" ht="26.25" x14ac:dyDescent="0.4">
      <c r="C107" s="2" t="s">
        <v>35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9" spans="2:27" x14ac:dyDescent="0.25">
      <c r="D109" s="11">
        <v>1</v>
      </c>
      <c r="E109" s="11">
        <f>+D109+1</f>
        <v>2</v>
      </c>
      <c r="F109" s="11">
        <f t="shared" ref="F109:AA109" si="46">+E109+1</f>
        <v>3</v>
      </c>
      <c r="G109" s="11">
        <f t="shared" si="46"/>
        <v>4</v>
      </c>
      <c r="H109" s="11">
        <f t="shared" si="46"/>
        <v>5</v>
      </c>
      <c r="I109" s="11">
        <f t="shared" si="46"/>
        <v>6</v>
      </c>
      <c r="J109" s="11">
        <f t="shared" si="46"/>
        <v>7</v>
      </c>
      <c r="K109" s="11">
        <f t="shared" si="46"/>
        <v>8</v>
      </c>
      <c r="L109" s="11">
        <f t="shared" si="46"/>
        <v>9</v>
      </c>
      <c r="M109" s="11">
        <f t="shared" si="46"/>
        <v>10</v>
      </c>
      <c r="N109" s="11">
        <f t="shared" si="46"/>
        <v>11</v>
      </c>
      <c r="O109" s="11">
        <f t="shared" si="46"/>
        <v>12</v>
      </c>
      <c r="P109" s="11">
        <f t="shared" si="46"/>
        <v>13</v>
      </c>
      <c r="Q109" s="11">
        <f t="shared" si="46"/>
        <v>14</v>
      </c>
      <c r="R109" s="11">
        <f t="shared" si="46"/>
        <v>15</v>
      </c>
      <c r="S109" s="11">
        <f t="shared" si="46"/>
        <v>16</v>
      </c>
      <c r="T109" s="11">
        <f t="shared" si="46"/>
        <v>17</v>
      </c>
      <c r="U109" s="11">
        <f t="shared" si="46"/>
        <v>18</v>
      </c>
      <c r="V109" s="11">
        <f t="shared" si="46"/>
        <v>19</v>
      </c>
      <c r="W109" s="11">
        <f t="shared" si="46"/>
        <v>20</v>
      </c>
      <c r="X109" s="11">
        <f t="shared" si="46"/>
        <v>21</v>
      </c>
      <c r="Y109" s="11">
        <f>+X109+1</f>
        <v>22</v>
      </c>
      <c r="Z109" s="11">
        <f t="shared" si="46"/>
        <v>23</v>
      </c>
      <c r="AA109" s="11">
        <f t="shared" si="46"/>
        <v>24</v>
      </c>
    </row>
    <row r="110" spans="2:27" x14ac:dyDescent="0.25">
      <c r="C110" s="9" t="s">
        <v>8</v>
      </c>
      <c r="D110" s="1">
        <v>6418198</v>
      </c>
      <c r="E110" s="1">
        <v>8351947</v>
      </c>
      <c r="F110" s="1">
        <v>7241932</v>
      </c>
      <c r="G110" s="1">
        <v>6612057</v>
      </c>
      <c r="H110" s="1">
        <v>6678429</v>
      </c>
      <c r="I110" s="1">
        <v>6520501</v>
      </c>
      <c r="J110" s="1">
        <v>6390444</v>
      </c>
      <c r="K110" s="1">
        <v>6157365</v>
      </c>
      <c r="L110" s="1">
        <v>5998497</v>
      </c>
      <c r="M110" s="1">
        <v>5960040</v>
      </c>
      <c r="N110" s="1">
        <v>5927219</v>
      </c>
      <c r="O110" s="1">
        <v>5845151</v>
      </c>
      <c r="P110" s="1">
        <v>5844679</v>
      </c>
      <c r="Q110" s="1">
        <v>5823554</v>
      </c>
      <c r="R110" s="1">
        <v>5819414</v>
      </c>
      <c r="S110" s="1">
        <v>5817651</v>
      </c>
      <c r="T110" s="1">
        <v>5816446</v>
      </c>
      <c r="U110" s="1">
        <v>5815298</v>
      </c>
      <c r="V110" s="1">
        <v>5814997</v>
      </c>
      <c r="W110" s="1">
        <v>5814607</v>
      </c>
      <c r="X110" s="1">
        <v>5814513</v>
      </c>
      <c r="Y110" s="1">
        <v>5814520</v>
      </c>
      <c r="Z110" s="1">
        <v>5814527</v>
      </c>
      <c r="AA110" s="1">
        <v>5814528</v>
      </c>
    </row>
    <row r="111" spans="2:27" x14ac:dyDescent="0.25">
      <c r="C111" s="9" t="s">
        <v>9</v>
      </c>
      <c r="D111" s="1">
        <v>7475822</v>
      </c>
      <c r="E111" s="1">
        <v>10450029</v>
      </c>
      <c r="F111" s="1">
        <v>10185917</v>
      </c>
      <c r="G111" s="1">
        <v>9722137</v>
      </c>
      <c r="H111" s="1">
        <v>9434292</v>
      </c>
      <c r="I111" s="1">
        <v>9020873</v>
      </c>
      <c r="J111" s="1">
        <v>8704176</v>
      </c>
      <c r="K111" s="1">
        <v>8469008</v>
      </c>
      <c r="L111" s="1">
        <v>8349635</v>
      </c>
      <c r="M111" s="1">
        <v>8209160</v>
      </c>
      <c r="N111" s="1">
        <v>8096242</v>
      </c>
      <c r="O111" s="1">
        <v>8041381</v>
      </c>
      <c r="P111" s="1">
        <v>8008712</v>
      </c>
      <c r="Q111" s="1">
        <v>8003007</v>
      </c>
      <c r="R111" s="1">
        <v>8002023</v>
      </c>
      <c r="S111" s="1">
        <v>7997629</v>
      </c>
      <c r="T111" s="1">
        <v>7997019</v>
      </c>
      <c r="U111" s="1">
        <v>7996437</v>
      </c>
      <c r="V111" s="1">
        <v>7996215</v>
      </c>
      <c r="W111" s="1">
        <v>7995857</v>
      </c>
      <c r="X111" s="1">
        <v>7995850</v>
      </c>
      <c r="Y111" s="1">
        <v>7995866</v>
      </c>
      <c r="Z111" s="1">
        <v>7995874</v>
      </c>
      <c r="AA111" s="6">
        <v>7995875.3751546778</v>
      </c>
    </row>
    <row r="112" spans="2:27" x14ac:dyDescent="0.25">
      <c r="C112" s="9" t="s">
        <v>11</v>
      </c>
      <c r="D112" s="1">
        <v>4944676</v>
      </c>
      <c r="E112" s="1">
        <v>5651989</v>
      </c>
      <c r="F112" s="1">
        <v>5515292</v>
      </c>
      <c r="G112" s="1">
        <v>5713405</v>
      </c>
      <c r="H112" s="1">
        <v>5462475</v>
      </c>
      <c r="I112" s="1">
        <v>5370959</v>
      </c>
      <c r="J112" s="1">
        <v>5305411</v>
      </c>
      <c r="K112" s="1">
        <v>5148861</v>
      </c>
      <c r="L112" s="1">
        <v>4913135</v>
      </c>
      <c r="M112" s="1">
        <v>4939885</v>
      </c>
      <c r="N112" s="1">
        <v>4852857</v>
      </c>
      <c r="O112" s="1">
        <v>4772843</v>
      </c>
      <c r="P112" s="1">
        <v>4722978</v>
      </c>
      <c r="Q112" s="1">
        <v>4724493</v>
      </c>
      <c r="R112" s="1">
        <v>4714404</v>
      </c>
      <c r="S112" s="1">
        <v>4711994</v>
      </c>
      <c r="T112" s="1">
        <v>4711744</v>
      </c>
      <c r="U112" s="1">
        <v>4711585</v>
      </c>
      <c r="V112" s="1">
        <v>4710817</v>
      </c>
      <c r="W112" s="1">
        <v>4710876</v>
      </c>
      <c r="X112" s="1">
        <v>4710870</v>
      </c>
      <c r="Y112" s="1">
        <v>4710870</v>
      </c>
      <c r="Z112" s="6">
        <v>4710874.7133056009</v>
      </c>
      <c r="AA112" s="6">
        <v>4710875.5234961314</v>
      </c>
    </row>
    <row r="113" spans="3:27" x14ac:dyDescent="0.25">
      <c r="C113" s="9" t="s">
        <v>12</v>
      </c>
      <c r="D113" s="1">
        <v>5990844</v>
      </c>
      <c r="E113" s="1">
        <v>8317434</v>
      </c>
      <c r="F113" s="1">
        <v>7538034</v>
      </c>
      <c r="G113" s="1">
        <v>7146705</v>
      </c>
      <c r="H113" s="1">
        <v>6480112</v>
      </c>
      <c r="I113" s="1">
        <v>5918174</v>
      </c>
      <c r="J113" s="1">
        <v>5524711</v>
      </c>
      <c r="K113" s="1">
        <v>5379113</v>
      </c>
      <c r="L113" s="1">
        <v>5282322</v>
      </c>
      <c r="M113" s="1">
        <v>5218946</v>
      </c>
      <c r="N113" s="1">
        <v>5148288</v>
      </c>
      <c r="O113" s="1">
        <v>5055569</v>
      </c>
      <c r="P113" s="1">
        <v>5052150</v>
      </c>
      <c r="Q113" s="1">
        <v>5048881</v>
      </c>
      <c r="R113" s="1">
        <v>5049883</v>
      </c>
      <c r="S113" s="1">
        <v>5047150</v>
      </c>
      <c r="T113" s="1">
        <v>5047033</v>
      </c>
      <c r="U113" s="1">
        <v>5046810</v>
      </c>
      <c r="V113" s="1">
        <v>5046112</v>
      </c>
      <c r="W113" s="1">
        <v>5046155</v>
      </c>
      <c r="X113" s="1">
        <v>5046123</v>
      </c>
      <c r="Y113" s="6">
        <v>5046129.0749474633</v>
      </c>
      <c r="Z113" s="6">
        <v>5046134.1236854736</v>
      </c>
      <c r="AA113" s="6">
        <v>5046134.9915349344</v>
      </c>
    </row>
    <row r="114" spans="3:27" x14ac:dyDescent="0.25">
      <c r="C114" s="9" t="s">
        <v>13</v>
      </c>
      <c r="D114" s="1">
        <v>6106533</v>
      </c>
      <c r="E114" s="1">
        <v>7227067</v>
      </c>
      <c r="F114" s="1">
        <v>6609141</v>
      </c>
      <c r="G114" s="1">
        <v>6587986</v>
      </c>
      <c r="H114" s="1">
        <v>5966963</v>
      </c>
      <c r="I114" s="1">
        <v>5553219</v>
      </c>
      <c r="J114" s="1">
        <v>5440658</v>
      </c>
      <c r="K114" s="1">
        <v>5247292</v>
      </c>
      <c r="L114" s="1">
        <v>4989511</v>
      </c>
      <c r="M114" s="1">
        <v>4739938</v>
      </c>
      <c r="N114" s="1">
        <v>4632683</v>
      </c>
      <c r="O114" s="1">
        <v>4647858</v>
      </c>
      <c r="P114" s="1">
        <v>4648748</v>
      </c>
      <c r="Q114" s="1">
        <v>4631093</v>
      </c>
      <c r="R114" s="1">
        <v>4618736</v>
      </c>
      <c r="S114" s="1">
        <v>4614941</v>
      </c>
      <c r="T114" s="1">
        <v>4614019</v>
      </c>
      <c r="U114" s="1">
        <v>4612810</v>
      </c>
      <c r="V114" s="1">
        <v>4612218</v>
      </c>
      <c r="W114" s="1">
        <v>4612035</v>
      </c>
      <c r="X114" s="6">
        <v>4611960.4409988504</v>
      </c>
      <c r="Y114" s="6">
        <v>4611969.6697071241</v>
      </c>
      <c r="Z114" s="6">
        <v>4611975.2219775934</v>
      </c>
      <c r="AA114" s="6">
        <v>4611976.0151590891</v>
      </c>
    </row>
    <row r="115" spans="3:27" x14ac:dyDescent="0.25">
      <c r="C115" s="9" t="s">
        <v>14</v>
      </c>
      <c r="D115" s="1">
        <v>3511339</v>
      </c>
      <c r="E115" s="1">
        <v>5097855</v>
      </c>
      <c r="F115" s="1">
        <v>4392249</v>
      </c>
      <c r="G115" s="1">
        <v>4331724</v>
      </c>
      <c r="H115" s="1">
        <v>3638678</v>
      </c>
      <c r="I115" s="1">
        <v>3261200</v>
      </c>
      <c r="J115" s="1">
        <v>2912378</v>
      </c>
      <c r="K115" s="3">
        <v>2561746</v>
      </c>
      <c r="L115" s="1">
        <v>2608839</v>
      </c>
      <c r="M115" s="1">
        <v>2512337</v>
      </c>
      <c r="N115" s="1">
        <v>2525572</v>
      </c>
      <c r="O115" s="1">
        <v>2539117</v>
      </c>
      <c r="P115" s="1">
        <v>2502024</v>
      </c>
      <c r="Q115" s="1">
        <v>2495301</v>
      </c>
      <c r="R115" s="1">
        <v>2491023</v>
      </c>
      <c r="S115" s="1">
        <v>2490185</v>
      </c>
      <c r="T115" s="1">
        <v>2490716</v>
      </c>
      <c r="U115" s="1">
        <v>2490652</v>
      </c>
      <c r="V115" s="1">
        <v>2490228</v>
      </c>
      <c r="W115" s="6">
        <v>2490129.1946694627</v>
      </c>
      <c r="X115" s="6">
        <v>2490126.0231202291</v>
      </c>
      <c r="Y115" s="6">
        <v>2490129.0209434624</v>
      </c>
      <c r="Z115" s="6">
        <v>2490132.0187666961</v>
      </c>
      <c r="AA115" s="6">
        <v>2490132.447027158</v>
      </c>
    </row>
    <row r="116" spans="3:27" x14ac:dyDescent="0.25">
      <c r="C116" s="9" t="s">
        <v>15</v>
      </c>
      <c r="D116" s="1">
        <v>4141271</v>
      </c>
      <c r="E116" s="1">
        <v>5675304</v>
      </c>
      <c r="F116" s="1">
        <v>5003527</v>
      </c>
      <c r="G116" s="1">
        <v>4490079</v>
      </c>
      <c r="H116" s="1">
        <v>3864708</v>
      </c>
      <c r="I116" s="1">
        <v>3317046</v>
      </c>
      <c r="J116" s="1">
        <v>3043775</v>
      </c>
      <c r="K116" s="1">
        <v>2982731</v>
      </c>
      <c r="L116" s="1">
        <v>2853880</v>
      </c>
      <c r="M116" s="1">
        <v>2708486</v>
      </c>
      <c r="N116" s="1">
        <v>2687185</v>
      </c>
      <c r="O116" s="1">
        <v>2706223</v>
      </c>
      <c r="P116" s="1">
        <v>2663612</v>
      </c>
      <c r="Q116" s="1">
        <v>2649484</v>
      </c>
      <c r="R116" s="1">
        <v>2644988</v>
      </c>
      <c r="S116" s="1">
        <v>2644539</v>
      </c>
      <c r="T116" s="1">
        <v>2642763</v>
      </c>
      <c r="U116" s="1">
        <v>2642281</v>
      </c>
      <c r="V116" s="6">
        <v>2642144.2354556895</v>
      </c>
      <c r="W116" s="6">
        <v>2642025.9435342876</v>
      </c>
      <c r="X116" s="6">
        <v>2642009.1892272569</v>
      </c>
      <c r="Y116" s="6">
        <v>2642009.1892272569</v>
      </c>
      <c r="Z116" s="6">
        <v>2642012.3698963965</v>
      </c>
      <c r="AA116" s="6">
        <v>2642012.8242777023</v>
      </c>
    </row>
    <row r="117" spans="3:27" x14ac:dyDescent="0.25">
      <c r="C117" s="9" t="s">
        <v>16</v>
      </c>
      <c r="D117" s="1">
        <v>6591656</v>
      </c>
      <c r="E117" s="1">
        <v>9149839</v>
      </c>
      <c r="F117" s="1">
        <v>9246786</v>
      </c>
      <c r="G117" s="1">
        <v>8427024</v>
      </c>
      <c r="H117" s="1">
        <v>7881930</v>
      </c>
      <c r="I117" s="1">
        <v>7889306</v>
      </c>
      <c r="J117" s="1">
        <v>7459046</v>
      </c>
      <c r="K117" s="1">
        <v>7134362</v>
      </c>
      <c r="L117" s="1">
        <v>7020325</v>
      </c>
      <c r="M117" s="1">
        <v>6829753</v>
      </c>
      <c r="N117" s="1">
        <v>6654101</v>
      </c>
      <c r="O117" s="1">
        <v>6564713</v>
      </c>
      <c r="P117" s="1">
        <v>6557312</v>
      </c>
      <c r="Q117" s="1">
        <v>6540955</v>
      </c>
      <c r="R117" s="1">
        <v>6539478</v>
      </c>
      <c r="S117" s="1">
        <v>6538852</v>
      </c>
      <c r="T117" s="1">
        <v>6538885</v>
      </c>
      <c r="U117" s="6">
        <v>6538596.0834514061</v>
      </c>
      <c r="V117" s="6">
        <v>6537756.9314201269</v>
      </c>
      <c r="W117" s="6">
        <v>6537497.5313834306</v>
      </c>
      <c r="X117" s="6">
        <v>6537391.8450029148</v>
      </c>
      <c r="Y117" s="6">
        <v>6537399.7152652936</v>
      </c>
      <c r="Z117" s="6">
        <v>6537406.2560449569</v>
      </c>
      <c r="AA117" s="6">
        <v>6537407.3803679254</v>
      </c>
    </row>
    <row r="118" spans="3:27" x14ac:dyDescent="0.25">
      <c r="C118" s="9" t="s">
        <v>17</v>
      </c>
      <c r="D118" s="1">
        <v>6289704</v>
      </c>
      <c r="E118" s="1">
        <v>9074583</v>
      </c>
      <c r="F118" s="1">
        <v>7921104</v>
      </c>
      <c r="G118" s="1">
        <v>7241833</v>
      </c>
      <c r="H118" s="1">
        <v>6605506</v>
      </c>
      <c r="I118" s="1">
        <v>6368774</v>
      </c>
      <c r="J118" s="1">
        <v>5993512</v>
      </c>
      <c r="K118" s="1">
        <v>6063255</v>
      </c>
      <c r="L118" s="1">
        <v>6123811</v>
      </c>
      <c r="M118" s="1">
        <v>6142139</v>
      </c>
      <c r="N118" s="1">
        <v>6109898</v>
      </c>
      <c r="O118" s="1">
        <v>6094584</v>
      </c>
      <c r="P118" s="1">
        <v>6054429</v>
      </c>
      <c r="Q118" s="1">
        <v>6045198</v>
      </c>
      <c r="R118" s="1">
        <v>6039123</v>
      </c>
      <c r="S118" s="1">
        <v>6037298</v>
      </c>
      <c r="T118" s="6">
        <v>6038585.3763346896</v>
      </c>
      <c r="U118" s="6">
        <v>6038381.6014532791</v>
      </c>
      <c r="V118" s="6">
        <v>6038069.0546393348</v>
      </c>
      <c r="W118" s="6">
        <v>6037664.0936511671</v>
      </c>
      <c r="X118" s="6">
        <v>6037566.4876694037</v>
      </c>
      <c r="Y118" s="6">
        <v>6037566.4876694037</v>
      </c>
      <c r="Z118" s="6">
        <v>6037573.7561912108</v>
      </c>
      <c r="AA118" s="1" t="s">
        <v>10</v>
      </c>
    </row>
    <row r="119" spans="3:27" x14ac:dyDescent="0.25">
      <c r="C119" s="9" t="s">
        <v>18</v>
      </c>
      <c r="D119" s="1">
        <v>4959185</v>
      </c>
      <c r="E119" s="1">
        <v>7332815</v>
      </c>
      <c r="F119" s="1">
        <v>6338245</v>
      </c>
      <c r="G119" s="1">
        <v>6335214</v>
      </c>
      <c r="H119" s="1">
        <v>5820802</v>
      </c>
      <c r="I119" s="1">
        <v>5372283</v>
      </c>
      <c r="J119" s="1">
        <v>5126418</v>
      </c>
      <c r="K119" s="1">
        <v>4909923</v>
      </c>
      <c r="L119" s="1">
        <v>4699737</v>
      </c>
      <c r="M119" s="1">
        <v>4565993</v>
      </c>
      <c r="N119" s="1">
        <v>4388069</v>
      </c>
      <c r="O119" s="1">
        <v>4350454</v>
      </c>
      <c r="P119" s="1">
        <v>4349470</v>
      </c>
      <c r="Q119" s="1">
        <v>4354085</v>
      </c>
      <c r="R119" s="1">
        <v>4354413</v>
      </c>
      <c r="S119" s="6">
        <v>4352948.1407457897</v>
      </c>
      <c r="T119" s="6">
        <v>4352078.4832169572</v>
      </c>
      <c r="U119" s="6">
        <v>4351886.1893481119</v>
      </c>
      <c r="V119" s="6">
        <v>4351284.300915584</v>
      </c>
      <c r="W119" s="6">
        <v>4351338.7979961867</v>
      </c>
      <c r="X119" s="6">
        <v>4351311.2041467037</v>
      </c>
      <c r="Y119" s="6">
        <v>4351311.2041467037</v>
      </c>
      <c r="Z119" s="1" t="s">
        <v>10</v>
      </c>
      <c r="AA119" s="1" t="s">
        <v>10</v>
      </c>
    </row>
    <row r="120" spans="3:27" x14ac:dyDescent="0.25">
      <c r="C120" s="9" t="s">
        <v>19</v>
      </c>
      <c r="D120" s="1">
        <v>6194048</v>
      </c>
      <c r="E120" s="1">
        <v>7741218</v>
      </c>
      <c r="F120" s="1">
        <v>6754577</v>
      </c>
      <c r="G120" s="1">
        <v>6157468</v>
      </c>
      <c r="H120" s="1">
        <v>5562103</v>
      </c>
      <c r="I120" s="1">
        <v>5078341</v>
      </c>
      <c r="J120" s="1">
        <v>5094245</v>
      </c>
      <c r="K120" s="1">
        <v>4970573</v>
      </c>
      <c r="L120" s="1">
        <v>4756133</v>
      </c>
      <c r="M120" s="1">
        <v>4568920</v>
      </c>
      <c r="N120" s="1">
        <v>4414181</v>
      </c>
      <c r="O120" s="1">
        <v>4318353</v>
      </c>
      <c r="P120" s="1">
        <v>4308927</v>
      </c>
      <c r="Q120" s="1">
        <v>4284653</v>
      </c>
      <c r="R120" s="6">
        <v>4284126.1856973264</v>
      </c>
      <c r="S120" s="6">
        <v>4283398.933756154</v>
      </c>
      <c r="T120" s="6">
        <v>4282543.1711761076</v>
      </c>
      <c r="U120" s="6">
        <v>4282398.6547583621</v>
      </c>
      <c r="V120" s="6">
        <v>4281806.3768122895</v>
      </c>
      <c r="W120" s="6">
        <v>4281860.0037258863</v>
      </c>
      <c r="X120" s="6">
        <v>4281832.8504735343</v>
      </c>
      <c r="Y120" s="1" t="s">
        <v>10</v>
      </c>
      <c r="Z120" s="1" t="s">
        <v>10</v>
      </c>
      <c r="AA120" s="1" t="s">
        <v>10</v>
      </c>
    </row>
    <row r="121" spans="3:27" x14ac:dyDescent="0.25">
      <c r="C121" s="9" t="s">
        <v>20</v>
      </c>
      <c r="D121" s="1">
        <v>6500694</v>
      </c>
      <c r="E121" s="1">
        <v>9436157</v>
      </c>
      <c r="F121" s="1">
        <v>8641541</v>
      </c>
      <c r="G121" s="1">
        <v>8462835</v>
      </c>
      <c r="H121" s="1">
        <v>8478196</v>
      </c>
      <c r="I121" s="1">
        <v>8406511</v>
      </c>
      <c r="J121" s="1">
        <v>7938776</v>
      </c>
      <c r="K121" s="1">
        <v>7694015</v>
      </c>
      <c r="L121" s="1">
        <v>7414340</v>
      </c>
      <c r="M121" s="1">
        <v>7365359</v>
      </c>
      <c r="N121" s="1">
        <v>7323515</v>
      </c>
      <c r="O121" s="1">
        <v>7284864</v>
      </c>
      <c r="P121" s="1">
        <v>7266841</v>
      </c>
      <c r="Q121" s="6">
        <v>7262138.9814081136</v>
      </c>
      <c r="R121" s="6">
        <v>7246630.9215626605</v>
      </c>
      <c r="S121" s="6">
        <v>7244435.5441046013</v>
      </c>
      <c r="T121" s="6">
        <v>7242935.0166871529</v>
      </c>
      <c r="U121" s="6">
        <v>7241505.4685749281</v>
      </c>
      <c r="V121" s="6">
        <v>7240272.6996779991</v>
      </c>
      <c r="W121" s="6">
        <v>7239985.4257668266</v>
      </c>
      <c r="X121" s="1" t="s">
        <v>10</v>
      </c>
      <c r="Y121" s="1" t="s">
        <v>10</v>
      </c>
      <c r="Z121" s="1" t="s">
        <v>10</v>
      </c>
      <c r="AA121" s="1" t="s">
        <v>10</v>
      </c>
    </row>
    <row r="122" spans="3:27" x14ac:dyDescent="0.25">
      <c r="C122" s="9" t="s">
        <v>21</v>
      </c>
      <c r="D122" s="1">
        <v>5205434</v>
      </c>
      <c r="E122" s="1">
        <v>7752400</v>
      </c>
      <c r="F122" s="1">
        <v>7497356</v>
      </c>
      <c r="G122" s="1">
        <v>7293599</v>
      </c>
      <c r="H122" s="1">
        <v>6566528</v>
      </c>
      <c r="I122" s="1">
        <v>6681703</v>
      </c>
      <c r="J122" s="1">
        <v>6326840</v>
      </c>
      <c r="K122" s="1">
        <v>6334277</v>
      </c>
      <c r="L122" s="1">
        <v>6175261</v>
      </c>
      <c r="M122" s="1">
        <v>6025240</v>
      </c>
      <c r="N122" s="1">
        <v>5846424</v>
      </c>
      <c r="O122" s="1">
        <v>5844768</v>
      </c>
      <c r="P122" s="6">
        <v>5844296.0309275156</v>
      </c>
      <c r="Q122" s="6">
        <v>5828592.2638110025</v>
      </c>
      <c r="R122" s="6">
        <v>5822734.9373838697</v>
      </c>
      <c r="S122" s="6">
        <v>5820776.1229218887</v>
      </c>
      <c r="T122" s="6">
        <v>5822017.3287444562</v>
      </c>
      <c r="U122" s="6">
        <v>5820868.2291235877</v>
      </c>
      <c r="V122" s="6">
        <v>5820063.172855583</v>
      </c>
      <c r="W122" s="1" t="s">
        <v>10</v>
      </c>
      <c r="X122" s="1" t="s">
        <v>10</v>
      </c>
      <c r="Y122" s="1" t="s">
        <v>10</v>
      </c>
      <c r="Z122" s="1" t="s">
        <v>10</v>
      </c>
      <c r="AA122" s="1" t="s">
        <v>10</v>
      </c>
    </row>
    <row r="123" spans="3:27" x14ac:dyDescent="0.25">
      <c r="C123" s="9" t="s">
        <v>22</v>
      </c>
      <c r="D123" s="1">
        <v>5184519</v>
      </c>
      <c r="E123" s="1">
        <v>7275135</v>
      </c>
      <c r="F123" s="1">
        <v>7269751</v>
      </c>
      <c r="G123" s="1">
        <v>6967745</v>
      </c>
      <c r="H123" s="1">
        <v>6399402</v>
      </c>
      <c r="I123" s="1">
        <v>5827678</v>
      </c>
      <c r="J123" s="1">
        <v>5837462</v>
      </c>
      <c r="K123" s="1">
        <v>5752901</v>
      </c>
      <c r="L123" s="1">
        <v>5510232</v>
      </c>
      <c r="M123" s="1">
        <v>5306283</v>
      </c>
      <c r="N123" s="1">
        <v>5171805</v>
      </c>
      <c r="O123" s="6">
        <v>5144509.9872834291</v>
      </c>
      <c r="P123" s="6">
        <v>5090761.9401517948</v>
      </c>
      <c r="Q123" s="6">
        <v>5092394.9150120057</v>
      </c>
      <c r="R123" s="6">
        <v>5083664.3989554578</v>
      </c>
      <c r="S123" s="6">
        <v>5082128.1349104811</v>
      </c>
      <c r="T123" s="6">
        <v>5082010.3240683656</v>
      </c>
      <c r="U123" s="6">
        <v>5081785.7786171529</v>
      </c>
      <c r="V123" s="1" t="s">
        <v>10</v>
      </c>
      <c r="W123" s="1" t="s">
        <v>10</v>
      </c>
      <c r="X123" s="1" t="s">
        <v>10</v>
      </c>
      <c r="Y123" s="1" t="s">
        <v>10</v>
      </c>
      <c r="Z123" s="1" t="s">
        <v>10</v>
      </c>
      <c r="AA123" s="1" t="s">
        <v>10</v>
      </c>
    </row>
    <row r="124" spans="3:27" x14ac:dyDescent="0.25">
      <c r="C124" s="9" t="s">
        <v>23</v>
      </c>
      <c r="D124" s="1">
        <v>3419011</v>
      </c>
      <c r="E124" s="1">
        <v>4773306</v>
      </c>
      <c r="F124" s="1">
        <v>3716822</v>
      </c>
      <c r="G124" s="1">
        <v>3313659</v>
      </c>
      <c r="H124" s="1">
        <v>3377536</v>
      </c>
      <c r="I124" s="1">
        <v>3222093</v>
      </c>
      <c r="J124" s="1">
        <v>2783981</v>
      </c>
      <c r="K124" s="1">
        <v>2603716</v>
      </c>
      <c r="L124" s="1">
        <v>2643618</v>
      </c>
      <c r="M124" s="1">
        <v>2473125</v>
      </c>
      <c r="N124" s="6">
        <v>2486153.4310484622</v>
      </c>
      <c r="O124" s="6">
        <v>2479922.0743804662</v>
      </c>
      <c r="P124" s="6">
        <v>2440874.3094655182</v>
      </c>
      <c r="Q124" s="6">
        <v>2434785.6284511136</v>
      </c>
      <c r="R124" s="6">
        <v>2432338.8396622534</v>
      </c>
      <c r="S124" s="6">
        <v>2431601.9590460393</v>
      </c>
      <c r="T124" s="6">
        <v>2432120.4669642271</v>
      </c>
      <c r="U124" s="1" t="s">
        <v>10</v>
      </c>
      <c r="V124" s="1" t="s">
        <v>10</v>
      </c>
      <c r="W124" s="1" t="s">
        <v>10</v>
      </c>
      <c r="X124" s="1" t="s">
        <v>10</v>
      </c>
      <c r="Y124" s="1" t="s">
        <v>10</v>
      </c>
      <c r="Z124" s="1" t="s">
        <v>10</v>
      </c>
      <c r="AA124" s="1" t="s">
        <v>10</v>
      </c>
    </row>
    <row r="125" spans="3:27" x14ac:dyDescent="0.25">
      <c r="C125" s="9" t="s">
        <v>24</v>
      </c>
      <c r="D125" s="1">
        <v>5498188</v>
      </c>
      <c r="E125" s="1">
        <v>10669557</v>
      </c>
      <c r="F125" s="1">
        <v>10857709</v>
      </c>
      <c r="G125" s="1">
        <v>14275258</v>
      </c>
      <c r="H125" s="1">
        <v>14084665</v>
      </c>
      <c r="I125" s="1">
        <v>14163048</v>
      </c>
      <c r="J125" s="1">
        <v>13850553</v>
      </c>
      <c r="K125" s="1">
        <v>13534768</v>
      </c>
      <c r="L125" s="1">
        <v>13371613</v>
      </c>
      <c r="M125" s="6">
        <v>12509246.948925676</v>
      </c>
      <c r="N125" s="6">
        <v>12021796.518287554</v>
      </c>
      <c r="O125" s="6">
        <v>11940335.541850613</v>
      </c>
      <c r="P125" s="6">
        <v>11752328.257242585</v>
      </c>
      <c r="Q125" s="6">
        <v>11723012.459351053</v>
      </c>
      <c r="R125" s="6">
        <v>11702914.263862371</v>
      </c>
      <c r="S125" s="6">
        <v>11698977.310187871</v>
      </c>
      <c r="T125" s="1" t="s">
        <v>10</v>
      </c>
      <c r="U125" s="1" t="s">
        <v>10</v>
      </c>
      <c r="V125" s="1" t="s">
        <v>10</v>
      </c>
      <c r="W125" s="1" t="s">
        <v>10</v>
      </c>
      <c r="X125" s="1" t="s">
        <v>10</v>
      </c>
      <c r="Y125" s="1" t="s">
        <v>10</v>
      </c>
      <c r="Z125" s="1" t="s">
        <v>10</v>
      </c>
      <c r="AA125" s="1" t="s">
        <v>10</v>
      </c>
    </row>
    <row r="126" spans="3:27" x14ac:dyDescent="0.25">
      <c r="C126" s="9" t="s">
        <v>25</v>
      </c>
      <c r="D126" s="1">
        <v>6382667</v>
      </c>
      <c r="E126" s="1">
        <v>10460689</v>
      </c>
      <c r="F126" s="1">
        <v>9727516</v>
      </c>
      <c r="G126" s="1">
        <v>13561133</v>
      </c>
      <c r="H126" s="1">
        <v>12865538</v>
      </c>
      <c r="I126" s="1">
        <v>12816850</v>
      </c>
      <c r="J126" s="1">
        <v>12593535</v>
      </c>
      <c r="K126" s="1">
        <v>12422697</v>
      </c>
      <c r="L126" s="6">
        <v>12224130.246898742</v>
      </c>
      <c r="M126" s="6">
        <v>11742958.653103394</v>
      </c>
      <c r="N126" s="6">
        <v>11581432.820351794</v>
      </c>
      <c r="O126" s="6">
        <v>11619369.420600256</v>
      </c>
      <c r="P126" s="6">
        <v>11542813.61644952</v>
      </c>
      <c r="Q126" s="6">
        <v>11501093.286274416</v>
      </c>
      <c r="R126" s="6">
        <v>11503375.79114487</v>
      </c>
      <c r="S126" s="1" t="s">
        <v>10</v>
      </c>
      <c r="T126" s="1" t="s">
        <v>10</v>
      </c>
      <c r="U126" s="1" t="s">
        <v>10</v>
      </c>
      <c r="V126" s="1" t="s">
        <v>10</v>
      </c>
      <c r="W126" s="1" t="s">
        <v>10</v>
      </c>
      <c r="X126" s="1" t="s">
        <v>10</v>
      </c>
      <c r="Y126" s="1" t="s">
        <v>10</v>
      </c>
      <c r="Z126" s="1" t="s">
        <v>10</v>
      </c>
      <c r="AA126" s="1" t="s">
        <v>10</v>
      </c>
    </row>
    <row r="127" spans="3:27" x14ac:dyDescent="0.25">
      <c r="C127" s="9" t="s">
        <v>26</v>
      </c>
      <c r="D127" s="1">
        <v>3022770</v>
      </c>
      <c r="E127" s="1">
        <v>7899209</v>
      </c>
      <c r="F127" s="1">
        <v>7498380</v>
      </c>
      <c r="G127" s="1">
        <v>10736732</v>
      </c>
      <c r="H127" s="1">
        <v>10856995</v>
      </c>
      <c r="I127" s="1">
        <v>10834399</v>
      </c>
      <c r="J127" s="1">
        <v>10568629</v>
      </c>
      <c r="K127" s="6">
        <v>10581052.088599207</v>
      </c>
      <c r="L127" s="6">
        <v>10096628.623946123</v>
      </c>
      <c r="M127" s="6">
        <v>9975491.7573046703</v>
      </c>
      <c r="N127" s="6">
        <v>9718935.6156471204</v>
      </c>
      <c r="O127" s="6">
        <v>9653079.0704981461</v>
      </c>
      <c r="P127" s="6">
        <v>9650895.7053124961</v>
      </c>
      <c r="Q127" s="6">
        <v>9644651.081130581</v>
      </c>
      <c r="R127" s="1" t="s">
        <v>10</v>
      </c>
      <c r="S127" s="1" t="s">
        <v>10</v>
      </c>
      <c r="T127" s="1" t="s">
        <v>10</v>
      </c>
      <c r="U127" s="1" t="s">
        <v>10</v>
      </c>
      <c r="V127" s="1" t="s">
        <v>10</v>
      </c>
      <c r="W127" s="1" t="s">
        <v>10</v>
      </c>
      <c r="X127" s="1" t="s">
        <v>10</v>
      </c>
      <c r="Y127" s="1" t="s">
        <v>10</v>
      </c>
      <c r="Z127" s="1" t="s">
        <v>10</v>
      </c>
      <c r="AA127" s="1" t="s">
        <v>10</v>
      </c>
    </row>
    <row r="128" spans="3:27" x14ac:dyDescent="0.25">
      <c r="C128" s="9" t="s">
        <v>27</v>
      </c>
      <c r="D128" s="1">
        <v>6936281</v>
      </c>
      <c r="E128" s="1">
        <v>21936281</v>
      </c>
      <c r="F128" s="1">
        <v>21767538</v>
      </c>
      <c r="G128" s="1">
        <v>25515798</v>
      </c>
      <c r="H128" s="1">
        <v>25644750</v>
      </c>
      <c r="I128" s="1">
        <v>25593031</v>
      </c>
      <c r="J128" s="6">
        <v>23891507.733473364</v>
      </c>
      <c r="K128" s="6">
        <v>23246010.894867908</v>
      </c>
      <c r="L128" s="6">
        <v>22874442.232607983</v>
      </c>
      <c r="M128" s="6">
        <v>22600000.301401637</v>
      </c>
      <c r="N128" s="6">
        <v>21834589.340684753</v>
      </c>
      <c r="O128" s="6">
        <v>21828404.691752657</v>
      </c>
      <c r="P128" s="6">
        <v>21826642.032924082</v>
      </c>
      <c r="Q128" s="1" t="s">
        <v>10</v>
      </c>
      <c r="R128" s="1" t="s">
        <v>10</v>
      </c>
      <c r="S128" s="1" t="s">
        <v>10</v>
      </c>
      <c r="T128" s="1" t="s">
        <v>10</v>
      </c>
      <c r="U128" s="1" t="s">
        <v>10</v>
      </c>
      <c r="V128" s="1" t="s">
        <v>10</v>
      </c>
      <c r="W128" s="1" t="s">
        <v>10</v>
      </c>
      <c r="X128" s="1" t="s">
        <v>10</v>
      </c>
      <c r="Y128" s="1" t="s">
        <v>10</v>
      </c>
      <c r="Z128" s="1" t="s">
        <v>10</v>
      </c>
      <c r="AA128" s="1" t="s">
        <v>10</v>
      </c>
    </row>
    <row r="129" spans="3:27" x14ac:dyDescent="0.25">
      <c r="C129" s="9" t="s">
        <v>28</v>
      </c>
      <c r="D129" s="1">
        <v>6691248</v>
      </c>
      <c r="E129" s="1">
        <v>11756013</v>
      </c>
      <c r="F129" s="1">
        <v>11113520</v>
      </c>
      <c r="G129" s="1">
        <v>14458725</v>
      </c>
      <c r="H129" s="1">
        <v>14275150</v>
      </c>
      <c r="I129" s="6">
        <v>14354593.073899878</v>
      </c>
      <c r="J129" s="6">
        <v>12402781.167541984</v>
      </c>
      <c r="K129" s="6">
        <v>12036804.734843614</v>
      </c>
      <c r="L129" s="6">
        <v>11521528.254948137</v>
      </c>
      <c r="M129" s="6">
        <v>11193651.338659037</v>
      </c>
      <c r="N129" s="6">
        <v>10757465.996110424</v>
      </c>
      <c r="O129" s="6">
        <v>10684572.258248758</v>
      </c>
      <c r="P129" s="1" t="s">
        <v>10</v>
      </c>
      <c r="Q129" s="1" t="s">
        <v>10</v>
      </c>
      <c r="R129" s="1" t="s">
        <v>10</v>
      </c>
      <c r="S129" s="1" t="s">
        <v>10</v>
      </c>
      <c r="T129" s="1" t="s">
        <v>10</v>
      </c>
      <c r="U129" s="1" t="s">
        <v>10</v>
      </c>
      <c r="V129" s="1" t="s">
        <v>10</v>
      </c>
      <c r="W129" s="1" t="s">
        <v>10</v>
      </c>
      <c r="X129" s="1" t="s">
        <v>10</v>
      </c>
      <c r="Y129" s="1" t="s">
        <v>10</v>
      </c>
      <c r="Z129" s="1" t="s">
        <v>10</v>
      </c>
      <c r="AA129" s="1" t="s">
        <v>10</v>
      </c>
    </row>
    <row r="130" spans="3:27" x14ac:dyDescent="0.25">
      <c r="C130" s="9" t="s">
        <v>29</v>
      </c>
      <c r="D130" s="1">
        <v>4191817</v>
      </c>
      <c r="E130" s="1">
        <v>9775450</v>
      </c>
      <c r="F130" s="1">
        <v>9803541</v>
      </c>
      <c r="G130" s="1">
        <v>12735195</v>
      </c>
      <c r="H130" s="6">
        <v>10961457.47058348</v>
      </c>
      <c r="I130" s="6">
        <v>10971715.327517381</v>
      </c>
      <c r="J130" s="6">
        <v>10837814.846004097</v>
      </c>
      <c r="K130" s="6">
        <v>10574707.312378405</v>
      </c>
      <c r="L130" s="6">
        <v>10301866.153651753</v>
      </c>
      <c r="M130" s="6">
        <v>9777026.4520721342</v>
      </c>
      <c r="N130" s="6">
        <v>9725705.387888914</v>
      </c>
      <c r="O130" s="1" t="s">
        <v>10</v>
      </c>
      <c r="P130" s="1" t="s">
        <v>10</v>
      </c>
      <c r="Q130" s="1" t="s">
        <v>10</v>
      </c>
      <c r="R130" s="1" t="s">
        <v>10</v>
      </c>
      <c r="S130" s="1" t="s">
        <v>10</v>
      </c>
      <c r="T130" s="1" t="s">
        <v>10</v>
      </c>
      <c r="U130" s="1" t="s">
        <v>10</v>
      </c>
      <c r="V130" s="1" t="s">
        <v>10</v>
      </c>
      <c r="W130" s="1" t="s">
        <v>10</v>
      </c>
      <c r="X130" s="1" t="s">
        <v>10</v>
      </c>
      <c r="Y130" s="1" t="s">
        <v>10</v>
      </c>
      <c r="Z130" s="1" t="s">
        <v>10</v>
      </c>
      <c r="AA130" s="1" t="s">
        <v>10</v>
      </c>
    </row>
    <row r="131" spans="3:27" x14ac:dyDescent="0.25">
      <c r="C131" s="9" t="s">
        <v>30</v>
      </c>
      <c r="D131" s="1">
        <v>5916671</v>
      </c>
      <c r="E131" s="1">
        <v>11716355</v>
      </c>
      <c r="F131" s="1">
        <v>11277873</v>
      </c>
      <c r="G131" s="6">
        <v>15722486.162974082</v>
      </c>
      <c r="H131" s="6">
        <v>13206996.684580598</v>
      </c>
      <c r="I131" s="6">
        <v>13438643.582781073</v>
      </c>
      <c r="J131" s="6">
        <v>12823617.884306055</v>
      </c>
      <c r="K131" s="6">
        <v>12445223.565790841</v>
      </c>
      <c r="L131" s="6">
        <v>11992843.644415259</v>
      </c>
      <c r="M131" s="6">
        <v>11381855.267596291</v>
      </c>
      <c r="N131" s="1" t="s">
        <v>10</v>
      </c>
      <c r="O131" s="1" t="s">
        <v>10</v>
      </c>
      <c r="P131" s="1" t="s">
        <v>10</v>
      </c>
      <c r="Q131" s="1" t="s">
        <v>10</v>
      </c>
      <c r="R131" s="1" t="s">
        <v>10</v>
      </c>
      <c r="S131" s="1" t="s">
        <v>10</v>
      </c>
      <c r="T131" s="1" t="s">
        <v>10</v>
      </c>
      <c r="U131" s="1" t="s">
        <v>10</v>
      </c>
      <c r="V131" s="1" t="s">
        <v>10</v>
      </c>
      <c r="W131" s="1" t="s">
        <v>10</v>
      </c>
      <c r="X131" s="1" t="s">
        <v>10</v>
      </c>
      <c r="Y131" s="1" t="s">
        <v>10</v>
      </c>
      <c r="Z131" s="1" t="s">
        <v>10</v>
      </c>
      <c r="AA131" s="1" t="s">
        <v>10</v>
      </c>
    </row>
    <row r="132" spans="3:27" x14ac:dyDescent="0.25">
      <c r="C132" s="9" t="s">
        <v>31</v>
      </c>
      <c r="D132" s="1">
        <v>4926500</v>
      </c>
      <c r="E132" s="1">
        <v>9321834</v>
      </c>
      <c r="F132" s="6">
        <v>8133738.8424170464</v>
      </c>
      <c r="G132" s="6">
        <v>7763397.5761043355</v>
      </c>
      <c r="H132" s="6">
        <v>7841326.762728286</v>
      </c>
      <c r="I132" s="6">
        <v>7848664.7657557027</v>
      </c>
      <c r="J132" s="6">
        <v>7386204.3868308086</v>
      </c>
      <c r="K132" s="6">
        <v>7186645.1277760481</v>
      </c>
      <c r="L132" s="6">
        <v>6833590.5297694504</v>
      </c>
      <c r="M132" s="1" t="s">
        <v>10</v>
      </c>
      <c r="N132" s="1" t="s">
        <v>10</v>
      </c>
      <c r="O132" s="1" t="s">
        <v>10</v>
      </c>
      <c r="P132" s="1" t="s">
        <v>10</v>
      </c>
      <c r="Q132" s="1" t="s">
        <v>10</v>
      </c>
      <c r="R132" s="1" t="s">
        <v>10</v>
      </c>
      <c r="S132" s="1" t="s">
        <v>10</v>
      </c>
      <c r="T132" s="1" t="s">
        <v>10</v>
      </c>
      <c r="U132" s="1" t="s">
        <v>10</v>
      </c>
      <c r="V132" s="1" t="s">
        <v>10</v>
      </c>
      <c r="W132" s="1" t="s">
        <v>10</v>
      </c>
      <c r="X132" s="1" t="s">
        <v>10</v>
      </c>
      <c r="Y132" s="1" t="s">
        <v>10</v>
      </c>
      <c r="Z132" s="1" t="s">
        <v>10</v>
      </c>
      <c r="AA132" s="1" t="s">
        <v>10</v>
      </c>
    </row>
    <row r="133" spans="3:27" x14ac:dyDescent="0.25">
      <c r="C133" s="9" t="s">
        <v>32</v>
      </c>
      <c r="D133" s="1">
        <v>5149958</v>
      </c>
      <c r="E133" s="6">
        <v>7430194.0627911901</v>
      </c>
      <c r="F133" s="6">
        <v>6483193.9782687854</v>
      </c>
      <c r="G133" s="6">
        <v>5919311.0521294549</v>
      </c>
      <c r="H133" s="6">
        <v>5659337.7573409975</v>
      </c>
      <c r="I133" s="6">
        <v>5168575.1068367027</v>
      </c>
      <c r="J133" s="6">
        <v>5065483.4314163839</v>
      </c>
      <c r="K133" s="6">
        <v>4909309.1307235686</v>
      </c>
      <c r="L133" s="1" t="s">
        <v>10</v>
      </c>
      <c r="M133" s="1" t="s">
        <v>10</v>
      </c>
      <c r="N133" s="1" t="s">
        <v>10</v>
      </c>
      <c r="O133" s="1" t="s">
        <v>10</v>
      </c>
      <c r="P133" s="1" t="s">
        <v>10</v>
      </c>
      <c r="Q133" s="1" t="s">
        <v>10</v>
      </c>
      <c r="R133" s="1" t="s">
        <v>10</v>
      </c>
      <c r="S133" s="1" t="s">
        <v>10</v>
      </c>
      <c r="T133" s="1" t="s">
        <v>10</v>
      </c>
      <c r="U133" s="1" t="s">
        <v>10</v>
      </c>
      <c r="V133" s="1" t="s">
        <v>10</v>
      </c>
      <c r="W133" s="1" t="s">
        <v>10</v>
      </c>
      <c r="X133" s="1" t="s">
        <v>10</v>
      </c>
      <c r="Y133" s="1" t="s">
        <v>10</v>
      </c>
      <c r="Z133" s="1" t="s">
        <v>10</v>
      </c>
      <c r="AA133" s="1" t="s">
        <v>10</v>
      </c>
    </row>
  </sheetData>
  <mergeCells count="4">
    <mergeCell ref="C13:AA13"/>
    <mergeCell ref="C42:AA42"/>
    <mergeCell ref="F76:I76"/>
    <mergeCell ref="J76:M76"/>
  </mergeCells>
  <conditionalFormatting sqref="D44:D6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:E6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4:F6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4:G6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4:H6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4:I6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4:J6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4:K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4:L6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4:M6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4:N5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4:O5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4:P5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4:Q5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:R5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4:S5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4:T5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4:U5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4:V5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4:W5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4:X5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4:Y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4:Z5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18F9-894E-42AA-B0C3-ACA2DA6CCBA9}">
  <dimension ref="A1:AC33"/>
  <sheetViews>
    <sheetView showGridLines="0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30" sqref="E30"/>
    </sheetView>
  </sheetViews>
  <sheetFormatPr baseColWidth="10" defaultColWidth="8.7109375" defaultRowHeight="15" x14ac:dyDescent="0.25"/>
  <cols>
    <col min="1" max="2" width="10" style="28" customWidth="1"/>
    <col min="3" max="26" width="12" style="28" customWidth="1"/>
    <col min="27" max="27" width="12.7109375" style="28" bestFit="1" customWidth="1"/>
    <col min="28" max="29" width="12" style="28" customWidth="1"/>
    <col min="30" max="16384" width="8.7109375" style="28"/>
  </cols>
  <sheetData>
    <row r="1" spans="1:29" ht="25.5" customHeight="1" x14ac:dyDescent="0.25">
      <c r="A1" s="155" t="s">
        <v>51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</row>
    <row r="2" spans="1:29" ht="15.75" customHeight="1" x14ac:dyDescent="0.25">
      <c r="A2" s="156" t="s">
        <v>52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</row>
    <row r="3" spans="1:29" ht="31.5" customHeight="1" x14ac:dyDescent="0.25">
      <c r="A3" s="29" t="s">
        <v>53</v>
      </c>
      <c r="B3" s="29" t="s">
        <v>54</v>
      </c>
      <c r="C3" s="30" t="s">
        <v>55</v>
      </c>
      <c r="D3" s="30" t="s">
        <v>56</v>
      </c>
      <c r="E3" s="30" t="s">
        <v>57</v>
      </c>
      <c r="F3" s="30" t="s">
        <v>58</v>
      </c>
      <c r="G3" s="30" t="s">
        <v>59</v>
      </c>
      <c r="H3" s="30" t="s">
        <v>60</v>
      </c>
      <c r="I3" s="30" t="s">
        <v>61</v>
      </c>
      <c r="J3" s="30" t="s">
        <v>62</v>
      </c>
      <c r="K3" s="30" t="s">
        <v>63</v>
      </c>
      <c r="L3" s="30" t="s">
        <v>64</v>
      </c>
      <c r="M3" s="30" t="s">
        <v>65</v>
      </c>
      <c r="N3" s="30" t="s">
        <v>66</v>
      </c>
      <c r="O3" s="30" t="s">
        <v>67</v>
      </c>
      <c r="P3" s="30" t="s">
        <v>68</v>
      </c>
      <c r="Q3" s="30" t="s">
        <v>69</v>
      </c>
      <c r="R3" s="30" t="s">
        <v>70</v>
      </c>
      <c r="S3" s="30" t="s">
        <v>71</v>
      </c>
      <c r="T3" s="30" t="s">
        <v>72</v>
      </c>
      <c r="U3" s="30" t="s">
        <v>73</v>
      </c>
      <c r="V3" s="30" t="s">
        <v>74</v>
      </c>
      <c r="W3" s="30" t="s">
        <v>75</v>
      </c>
      <c r="X3" s="30" t="s">
        <v>76</v>
      </c>
      <c r="Y3" s="30" t="s">
        <v>77</v>
      </c>
      <c r="Z3" s="30" t="s">
        <v>78</v>
      </c>
      <c r="AA3" s="31" t="s">
        <v>79</v>
      </c>
      <c r="AB3" s="32" t="s">
        <v>80</v>
      </c>
      <c r="AC3" s="33" t="s">
        <v>81</v>
      </c>
    </row>
    <row r="4" spans="1:29" ht="15" customHeight="1" x14ac:dyDescent="0.25">
      <c r="A4" s="40" t="s">
        <v>215</v>
      </c>
      <c r="B4" s="41" t="s">
        <v>8</v>
      </c>
      <c r="C4" s="42">
        <f>IF(Triangulo2!D16=0,"-",Triangulo2!D16)</f>
        <v>6418198</v>
      </c>
      <c r="D4" s="42">
        <f>IF(Triangulo2!E16=0,"-",Triangulo2!E16)</f>
        <v>8351947</v>
      </c>
      <c r="E4" s="42">
        <f>IF(Triangulo2!F16=0,"-",Triangulo2!F16)</f>
        <v>7241932</v>
      </c>
      <c r="F4" s="42">
        <f>IF(Triangulo2!G16=0,"-",Triangulo2!G16)</f>
        <v>6612057</v>
      </c>
      <c r="G4" s="42">
        <f>IF(Triangulo2!H16=0,"-",Triangulo2!H16)</f>
        <v>6678429</v>
      </c>
      <c r="H4" s="42">
        <f>IF(Triangulo2!I16=0,"-",Triangulo2!I16)</f>
        <v>6520501</v>
      </c>
      <c r="I4" s="42">
        <f>IF(Triangulo2!J16=0,"-",Triangulo2!J16)</f>
        <v>6390444</v>
      </c>
      <c r="J4" s="42">
        <f>IF(Triangulo2!K16=0,"-",Triangulo2!K16)</f>
        <v>6157365</v>
      </c>
      <c r="K4" s="42">
        <f>IF(Triangulo2!L16=0,"-",Triangulo2!L16)</f>
        <v>5998497</v>
      </c>
      <c r="L4" s="42">
        <f>IF(Triangulo2!M16=0,"-",Triangulo2!M16)</f>
        <v>5960040</v>
      </c>
      <c r="M4" s="42">
        <f>IF(Triangulo2!N16=0,"-",Triangulo2!N16)</f>
        <v>5927219</v>
      </c>
      <c r="N4" s="42">
        <f>IF(Triangulo2!O16=0,"-",Triangulo2!O16)</f>
        <v>5845151</v>
      </c>
      <c r="O4" s="42">
        <f>IF(Triangulo2!P16=0,"-",Triangulo2!P16)</f>
        <v>5844679</v>
      </c>
      <c r="P4" s="42">
        <f>IF(Triangulo2!Q16=0,"-",Triangulo2!Q16)</f>
        <v>5823554</v>
      </c>
      <c r="Q4" s="42">
        <f>IF(Triangulo2!R16=0,"-",Triangulo2!R16)</f>
        <v>5819414</v>
      </c>
      <c r="R4" s="42">
        <f>IF(Triangulo2!S16=0,"-",Triangulo2!S16)</f>
        <v>5817651</v>
      </c>
      <c r="S4" s="42">
        <f>IF(Triangulo2!T16=0,"-",Triangulo2!T16)</f>
        <v>5816446</v>
      </c>
      <c r="T4" s="42">
        <f>IF(Triangulo2!U16=0,"-",Triangulo2!U16)</f>
        <v>5815298</v>
      </c>
      <c r="U4" s="42">
        <f>IF(Triangulo2!V16=0,"-",Triangulo2!V16)</f>
        <v>5814997</v>
      </c>
      <c r="V4" s="42">
        <f>IF(Triangulo2!W16=0,"-",Triangulo2!W16)</f>
        <v>5814607</v>
      </c>
      <c r="W4" s="42">
        <f>IF(Triangulo2!X16=0,"-",Triangulo2!X16)</f>
        <v>5814513</v>
      </c>
      <c r="X4" s="42">
        <f>IF(Triangulo2!Y16=0,"-",Triangulo2!Y16)</f>
        <v>5814520</v>
      </c>
      <c r="Y4" s="42">
        <f>IF(Triangulo2!Z16=0,"-",Triangulo2!Z16)</f>
        <v>5814527</v>
      </c>
      <c r="Z4" s="37">
        <f>IF(Triangulo2!AA16=0,"-",Triangulo2!AA16)</f>
        <v>5814528</v>
      </c>
      <c r="AA4" s="43">
        <f>+Z4</f>
        <v>5814528</v>
      </c>
      <c r="AB4" s="39">
        <f>+Z4</f>
        <v>5814528</v>
      </c>
      <c r="AC4" s="38">
        <f>AA4-AB4</f>
        <v>0</v>
      </c>
    </row>
    <row r="5" spans="1:29" ht="15" customHeight="1" x14ac:dyDescent="0.25">
      <c r="A5" s="34" t="s">
        <v>82</v>
      </c>
      <c r="B5" s="35" t="s">
        <v>9</v>
      </c>
      <c r="C5" s="36">
        <f>IF(Triangulo2!D17=0,"-",Triangulo2!D17)</f>
        <v>7475822</v>
      </c>
      <c r="D5" s="36">
        <f>IF(Triangulo2!E17=0,"-",Triangulo2!E17)</f>
        <v>10450029</v>
      </c>
      <c r="E5" s="36">
        <f>IF(Triangulo2!F17=0,"-",Triangulo2!F17)</f>
        <v>10185917</v>
      </c>
      <c r="F5" s="36">
        <f>IF(Triangulo2!G17=0,"-",Triangulo2!G17)</f>
        <v>9722137</v>
      </c>
      <c r="G5" s="36">
        <f>IF(Triangulo2!H17=0,"-",Triangulo2!H17)</f>
        <v>9434292</v>
      </c>
      <c r="H5" s="36">
        <f>IF(Triangulo2!I17=0,"-",Triangulo2!I17)</f>
        <v>9020873</v>
      </c>
      <c r="I5" s="36">
        <f>IF(Triangulo2!J17=0,"-",Triangulo2!J17)</f>
        <v>8704176</v>
      </c>
      <c r="J5" s="36">
        <f>IF(Triangulo2!K17=0,"-",Triangulo2!K17)</f>
        <v>8469008</v>
      </c>
      <c r="K5" s="36">
        <f>IF(Triangulo2!L17=0,"-",Triangulo2!L17)</f>
        <v>8349635</v>
      </c>
      <c r="L5" s="36">
        <f>IF(Triangulo2!M17=0,"-",Triangulo2!M17)</f>
        <v>8209160</v>
      </c>
      <c r="M5" s="36">
        <f>IF(Triangulo2!N17=0,"-",Triangulo2!N17)</f>
        <v>8096242</v>
      </c>
      <c r="N5" s="36">
        <f>IF(Triangulo2!O17=0,"-",Triangulo2!O17)</f>
        <v>8041381</v>
      </c>
      <c r="O5" s="36">
        <f>IF(Triangulo2!P17=0,"-",Triangulo2!P17)</f>
        <v>8008712</v>
      </c>
      <c r="P5" s="36">
        <f>IF(Triangulo2!Q17=0,"-",Triangulo2!Q17)</f>
        <v>8003007</v>
      </c>
      <c r="Q5" s="36">
        <f>IF(Triangulo2!R17=0,"-",Triangulo2!R17)</f>
        <v>8002023</v>
      </c>
      <c r="R5" s="36">
        <f>IF(Triangulo2!S17=0,"-",Triangulo2!S17)</f>
        <v>7997629</v>
      </c>
      <c r="S5" s="36">
        <f>IF(Triangulo2!T17=0,"-",Triangulo2!T17)</f>
        <v>7997019</v>
      </c>
      <c r="T5" s="36">
        <f>IF(Triangulo2!U17=0,"-",Triangulo2!U17)</f>
        <v>7996437</v>
      </c>
      <c r="U5" s="36">
        <f>IF(Triangulo2!V17=0,"-",Triangulo2!V17)</f>
        <v>7996215</v>
      </c>
      <c r="V5" s="36">
        <f>IF(Triangulo2!W17=0,"-",Triangulo2!W17)</f>
        <v>7995857</v>
      </c>
      <c r="W5" s="36">
        <f>IF(Triangulo2!X17=0,"-",Triangulo2!X17)</f>
        <v>7995850</v>
      </c>
      <c r="X5" s="36">
        <f>IF(Triangulo2!Y17=0,"-",Triangulo2!Y17)</f>
        <v>7995866</v>
      </c>
      <c r="Y5" s="37">
        <f>IF(Triangulo2!Z17=0,"-",Triangulo2!Z17)</f>
        <v>7995874</v>
      </c>
      <c r="Z5" s="43">
        <f>+Y5*Y$30</f>
        <v>7995875.3751546778</v>
      </c>
      <c r="AA5" s="43">
        <f>+Z5</f>
        <v>7995875.3751546778</v>
      </c>
      <c r="AB5" s="39">
        <f>+Y5</f>
        <v>7995874</v>
      </c>
      <c r="AC5" s="38">
        <f>AA5-AB5</f>
        <v>1.3751546777784824</v>
      </c>
    </row>
    <row r="6" spans="1:29" ht="15" customHeight="1" x14ac:dyDescent="0.25">
      <c r="A6" s="40" t="s">
        <v>83</v>
      </c>
      <c r="B6" s="41" t="s">
        <v>11</v>
      </c>
      <c r="C6" s="42">
        <f>IF(Triangulo2!D18=0,"-",Triangulo2!D18)</f>
        <v>4944676</v>
      </c>
      <c r="D6" s="42">
        <f>IF(Triangulo2!E18=0,"-",Triangulo2!E18)</f>
        <v>5651989</v>
      </c>
      <c r="E6" s="42">
        <f>IF(Triangulo2!F18=0,"-",Triangulo2!F18)</f>
        <v>5515292</v>
      </c>
      <c r="F6" s="42">
        <f>IF(Triangulo2!G18=0,"-",Triangulo2!G18)</f>
        <v>5713405</v>
      </c>
      <c r="G6" s="42">
        <f>IF(Triangulo2!H18=0,"-",Triangulo2!H18)</f>
        <v>5462475</v>
      </c>
      <c r="H6" s="42">
        <f>IF(Triangulo2!I18=0,"-",Triangulo2!I18)</f>
        <v>5370959</v>
      </c>
      <c r="I6" s="42">
        <f>IF(Triangulo2!J18=0,"-",Triangulo2!J18)</f>
        <v>5305411</v>
      </c>
      <c r="J6" s="42">
        <f>IF(Triangulo2!K18=0,"-",Triangulo2!K18)</f>
        <v>5148861</v>
      </c>
      <c r="K6" s="42">
        <f>IF(Triangulo2!L18=0,"-",Triangulo2!L18)</f>
        <v>4913135</v>
      </c>
      <c r="L6" s="42">
        <f>IF(Triangulo2!M18=0,"-",Triangulo2!M18)</f>
        <v>4939885</v>
      </c>
      <c r="M6" s="42">
        <f>IF(Triangulo2!N18=0,"-",Triangulo2!N18)</f>
        <v>4852857</v>
      </c>
      <c r="N6" s="42">
        <f>IF(Triangulo2!O18=0,"-",Triangulo2!O18)</f>
        <v>4772843</v>
      </c>
      <c r="O6" s="42">
        <f>IF(Triangulo2!P18=0,"-",Triangulo2!P18)</f>
        <v>4722978</v>
      </c>
      <c r="P6" s="42">
        <f>IF(Triangulo2!Q18=0,"-",Triangulo2!Q18)</f>
        <v>4724493</v>
      </c>
      <c r="Q6" s="42">
        <f>IF(Triangulo2!R18=0,"-",Triangulo2!R18)</f>
        <v>4714404</v>
      </c>
      <c r="R6" s="42">
        <f>IF(Triangulo2!S18=0,"-",Triangulo2!S18)</f>
        <v>4711994</v>
      </c>
      <c r="S6" s="42">
        <f>IF(Triangulo2!T18=0,"-",Triangulo2!T18)</f>
        <v>4711744</v>
      </c>
      <c r="T6" s="42">
        <f>IF(Triangulo2!U18=0,"-",Triangulo2!U18)</f>
        <v>4711585</v>
      </c>
      <c r="U6" s="42">
        <f>IF(Triangulo2!V18=0,"-",Triangulo2!V18)</f>
        <v>4710817</v>
      </c>
      <c r="V6" s="42">
        <f>IF(Triangulo2!W18=0,"-",Triangulo2!W18)</f>
        <v>4710876</v>
      </c>
      <c r="W6" s="42">
        <f>IF(Triangulo2!X18=0,"-",Triangulo2!X18)</f>
        <v>4710870</v>
      </c>
      <c r="X6" s="37">
        <f>IF(Triangulo2!Y18=0,"-",Triangulo2!Y18)</f>
        <v>4710870</v>
      </c>
      <c r="Y6" s="43">
        <f>+X6*X$30</f>
        <v>4710875.1166600268</v>
      </c>
      <c r="Z6" s="43">
        <f t="shared" ref="Z6" si="0">+Y6*Y$30</f>
        <v>4710875.9268506262</v>
      </c>
      <c r="AA6" s="43">
        <f>+Z6</f>
        <v>4710875.9268506262</v>
      </c>
      <c r="AB6" s="39">
        <f>+X6</f>
        <v>4710870</v>
      </c>
      <c r="AC6" s="38">
        <f>AA6-AB6</f>
        <v>5.926850626245141</v>
      </c>
    </row>
    <row r="7" spans="1:29" ht="15" customHeight="1" x14ac:dyDescent="0.25">
      <c r="A7" s="34" t="s">
        <v>84</v>
      </c>
      <c r="B7" s="35" t="s">
        <v>12</v>
      </c>
      <c r="C7" s="36">
        <f>IF(Triangulo2!D19=0,"-",Triangulo2!D19)</f>
        <v>5990844</v>
      </c>
      <c r="D7" s="36">
        <f>IF(Triangulo2!E19=0,"-",Triangulo2!E19)</f>
        <v>8317434</v>
      </c>
      <c r="E7" s="36">
        <f>IF(Triangulo2!F19=0,"-",Triangulo2!F19)</f>
        <v>7538034</v>
      </c>
      <c r="F7" s="36">
        <f>IF(Triangulo2!G19=0,"-",Triangulo2!G19)</f>
        <v>7146705</v>
      </c>
      <c r="G7" s="36">
        <f>IF(Triangulo2!H19=0,"-",Triangulo2!H19)</f>
        <v>6480112</v>
      </c>
      <c r="H7" s="36">
        <f>IF(Triangulo2!I19=0,"-",Triangulo2!I19)</f>
        <v>5918174</v>
      </c>
      <c r="I7" s="36">
        <f>IF(Triangulo2!J19=0,"-",Triangulo2!J19)</f>
        <v>5524711</v>
      </c>
      <c r="J7" s="36">
        <f>IF(Triangulo2!K19=0,"-",Triangulo2!K19)</f>
        <v>5379113</v>
      </c>
      <c r="K7" s="36">
        <f>IF(Triangulo2!L19=0,"-",Triangulo2!L19)</f>
        <v>5282322</v>
      </c>
      <c r="L7" s="36">
        <f>IF(Triangulo2!M19=0,"-",Triangulo2!M19)</f>
        <v>5218946</v>
      </c>
      <c r="M7" s="36">
        <f>IF(Triangulo2!N19=0,"-",Triangulo2!N19)</f>
        <v>5148288</v>
      </c>
      <c r="N7" s="36">
        <f>IF(Triangulo2!O19=0,"-",Triangulo2!O19)</f>
        <v>5055569</v>
      </c>
      <c r="O7" s="36">
        <f>IF(Triangulo2!P19=0,"-",Triangulo2!P19)</f>
        <v>5052150</v>
      </c>
      <c r="P7" s="36">
        <f>IF(Triangulo2!Q19=0,"-",Triangulo2!Q19)</f>
        <v>5048881</v>
      </c>
      <c r="Q7" s="36">
        <f>IF(Triangulo2!R19=0,"-",Triangulo2!R19)</f>
        <v>5049883</v>
      </c>
      <c r="R7" s="36">
        <f>IF(Triangulo2!S19=0,"-",Triangulo2!S19)</f>
        <v>5047150</v>
      </c>
      <c r="S7" s="36">
        <f>IF(Triangulo2!T19=0,"-",Triangulo2!T19)</f>
        <v>5047033</v>
      </c>
      <c r="T7" s="36">
        <f>IF(Triangulo2!U19=0,"-",Triangulo2!U19)</f>
        <v>5046810</v>
      </c>
      <c r="U7" s="36">
        <f>IF(Triangulo2!V19=0,"-",Triangulo2!V19)</f>
        <v>5046112</v>
      </c>
      <c r="V7" s="36">
        <f>IF(Triangulo2!W19=0,"-",Triangulo2!W19)</f>
        <v>5046155</v>
      </c>
      <c r="W7" s="37">
        <f>IF(Triangulo2!X19=0,"-",Triangulo2!X19)</f>
        <v>5046123</v>
      </c>
      <c r="X7" s="43">
        <f>+W7*W$30</f>
        <v>5046129.2663662294</v>
      </c>
      <c r="Y7" s="43">
        <f t="shared" ref="Y7:Z7" si="1">+X7*X$30</f>
        <v>5046134.7471644487</v>
      </c>
      <c r="Z7" s="43">
        <f t="shared" si="1"/>
        <v>5046135.6150140176</v>
      </c>
      <c r="AA7" s="43">
        <f>+Z7</f>
        <v>5046135.6150140176</v>
      </c>
      <c r="AB7" s="39">
        <f>+W7</f>
        <v>5046123</v>
      </c>
      <c r="AC7" s="38">
        <f>AA7-AB7</f>
        <v>12.615014017559588</v>
      </c>
    </row>
    <row r="8" spans="1:29" ht="15" customHeight="1" x14ac:dyDescent="0.25">
      <c r="A8" s="40" t="s">
        <v>85</v>
      </c>
      <c r="B8" s="41" t="s">
        <v>13</v>
      </c>
      <c r="C8" s="42">
        <f>IF(Triangulo2!D20=0,"-",Triangulo2!D20)</f>
        <v>6106533</v>
      </c>
      <c r="D8" s="42">
        <f>IF(Triangulo2!E20=0,"-",Triangulo2!E20)</f>
        <v>7227067</v>
      </c>
      <c r="E8" s="42">
        <f>IF(Triangulo2!F20=0,"-",Triangulo2!F20)</f>
        <v>6609141</v>
      </c>
      <c r="F8" s="42">
        <f>IF(Triangulo2!G20=0,"-",Triangulo2!G20)</f>
        <v>6587986</v>
      </c>
      <c r="G8" s="42">
        <f>IF(Triangulo2!H20=0,"-",Triangulo2!H20)</f>
        <v>5966963</v>
      </c>
      <c r="H8" s="42">
        <f>IF(Triangulo2!I20=0,"-",Triangulo2!I20)</f>
        <v>5553219</v>
      </c>
      <c r="I8" s="42">
        <f>IF(Triangulo2!J20=0,"-",Triangulo2!J20)</f>
        <v>5440658</v>
      </c>
      <c r="J8" s="42">
        <f>IF(Triangulo2!K20=0,"-",Triangulo2!K20)</f>
        <v>5247292</v>
      </c>
      <c r="K8" s="42">
        <f>IF(Triangulo2!L20=0,"-",Triangulo2!L20)</f>
        <v>4989511</v>
      </c>
      <c r="L8" s="42">
        <f>IF(Triangulo2!M20=0,"-",Triangulo2!M20)</f>
        <v>4739938</v>
      </c>
      <c r="M8" s="42">
        <f>IF(Triangulo2!N20=0,"-",Triangulo2!N20)</f>
        <v>4632683</v>
      </c>
      <c r="N8" s="42">
        <f>IF(Triangulo2!O20=0,"-",Triangulo2!O20)</f>
        <v>4647858</v>
      </c>
      <c r="O8" s="42">
        <f>IF(Triangulo2!P20=0,"-",Triangulo2!P20)</f>
        <v>4648748</v>
      </c>
      <c r="P8" s="42">
        <f>IF(Triangulo2!Q20=0,"-",Triangulo2!Q20)</f>
        <v>4631093</v>
      </c>
      <c r="Q8" s="42">
        <f>IF(Triangulo2!R20=0,"-",Triangulo2!R20)</f>
        <v>4618736</v>
      </c>
      <c r="R8" s="42">
        <f>IF(Triangulo2!S20=0,"-",Triangulo2!S20)</f>
        <v>4614941</v>
      </c>
      <c r="S8" s="42">
        <f>IF(Triangulo2!T20=0,"-",Triangulo2!T20)</f>
        <v>4614019</v>
      </c>
      <c r="T8" s="42">
        <f>IF(Triangulo2!U20=0,"-",Triangulo2!U20)</f>
        <v>4612810</v>
      </c>
      <c r="U8" s="42">
        <f>IF(Triangulo2!V20=0,"-",Triangulo2!V20)</f>
        <v>4612218</v>
      </c>
      <c r="V8" s="37">
        <f>IF(Triangulo2!W20=0,"-",Triangulo2!W20)</f>
        <v>4612035</v>
      </c>
      <c r="W8" s="43">
        <f>+V8*V$30</f>
        <v>4612007.7984299986</v>
      </c>
      <c r="X8" s="43">
        <f t="shared" ref="X8:Z8" si="2">+W8*W$30</f>
        <v>4612013.5257041687</v>
      </c>
      <c r="Y8" s="43">
        <f t="shared" si="2"/>
        <v>4612018.5349923149</v>
      </c>
      <c r="Z8" s="43">
        <f t="shared" si="2"/>
        <v>4612019.3281812593</v>
      </c>
      <c r="AA8" s="43">
        <f>+Z8</f>
        <v>4612019.3281812593</v>
      </c>
      <c r="AB8" s="39">
        <f>+V8</f>
        <v>4612035</v>
      </c>
      <c r="AC8" s="38">
        <f t="shared" ref="AC8:AC25" si="3">AA8-AB8</f>
        <v>-15.671818740665913</v>
      </c>
    </row>
    <row r="9" spans="1:29" ht="15" customHeight="1" x14ac:dyDescent="0.25">
      <c r="A9" s="34" t="s">
        <v>86</v>
      </c>
      <c r="B9" s="35" t="s">
        <v>14</v>
      </c>
      <c r="C9" s="36">
        <f>IF(Triangulo2!D21=0,"-",Triangulo2!D21)</f>
        <v>3511339</v>
      </c>
      <c r="D9" s="36">
        <f>IF(Triangulo2!E21=0,"-",Triangulo2!E21)</f>
        <v>5097855</v>
      </c>
      <c r="E9" s="36">
        <f>IF(Triangulo2!F21=0,"-",Triangulo2!F21)</f>
        <v>4392249</v>
      </c>
      <c r="F9" s="36">
        <f>IF(Triangulo2!G21=0,"-",Triangulo2!G21)</f>
        <v>4331724</v>
      </c>
      <c r="G9" s="36">
        <f>IF(Triangulo2!H21=0,"-",Triangulo2!H21)</f>
        <v>3638678</v>
      </c>
      <c r="H9" s="36">
        <f>IF(Triangulo2!I21=0,"-",Triangulo2!I21)</f>
        <v>3261200</v>
      </c>
      <c r="I9" s="36">
        <f>IF(Triangulo2!J21=0,"-",Triangulo2!J21)</f>
        <v>2912378</v>
      </c>
      <c r="J9" s="36">
        <f>IF(Triangulo2!K21=0,"-",Triangulo2!K21)</f>
        <v>2561746</v>
      </c>
      <c r="K9" s="36">
        <f>IF(Triangulo2!L21=0,"-",Triangulo2!L21)</f>
        <v>2608839</v>
      </c>
      <c r="L9" s="36">
        <f>IF(Triangulo2!M21=0,"-",Triangulo2!M21)</f>
        <v>2512337</v>
      </c>
      <c r="M9" s="36">
        <f>IF(Triangulo2!N21=0,"-",Triangulo2!N21)</f>
        <v>2525572</v>
      </c>
      <c r="N9" s="36">
        <f>IF(Triangulo2!O21=0,"-",Triangulo2!O21)</f>
        <v>2539117</v>
      </c>
      <c r="O9" s="36">
        <f>IF(Triangulo2!P21=0,"-",Triangulo2!P21)</f>
        <v>2502024</v>
      </c>
      <c r="P9" s="36">
        <f>IF(Triangulo2!Q21=0,"-",Triangulo2!Q21)</f>
        <v>2495301</v>
      </c>
      <c r="Q9" s="36">
        <f>IF(Triangulo2!R21=0,"-",Triangulo2!R21)</f>
        <v>2491023</v>
      </c>
      <c r="R9" s="36">
        <f>IF(Triangulo2!S21=0,"-",Triangulo2!S21)</f>
        <v>2490185</v>
      </c>
      <c r="S9" s="36">
        <f>IF(Triangulo2!T21=0,"-",Triangulo2!T21)</f>
        <v>2490716</v>
      </c>
      <c r="T9" s="36">
        <f>IF(Triangulo2!U21=0,"-",Triangulo2!U21)</f>
        <v>2490652</v>
      </c>
      <c r="U9" s="37">
        <f>IF(Triangulo2!V21=0,"-",Triangulo2!V21)</f>
        <v>2490228</v>
      </c>
      <c r="V9" s="43">
        <f>+U9*U$30</f>
        <v>2490154.7433387917</v>
      </c>
      <c r="W9" s="43">
        <f t="shared" ref="W9:Z9" si="4">+V9*V$30</f>
        <v>2490140.0565208113</v>
      </c>
      <c r="X9" s="43">
        <f t="shared" si="4"/>
        <v>2490143.1488214857</v>
      </c>
      <c r="Y9" s="43">
        <f t="shared" si="4"/>
        <v>2490145.8534632842</v>
      </c>
      <c r="Z9" s="43">
        <f t="shared" si="4"/>
        <v>2490146.2817261256</v>
      </c>
      <c r="AA9" s="43">
        <f t="shared" ref="AA9:AA27" si="5">+Z9</f>
        <v>2490146.2817261256</v>
      </c>
      <c r="AB9" s="39">
        <f>+U9</f>
        <v>2490228</v>
      </c>
      <c r="AC9" s="38">
        <f t="shared" si="3"/>
        <v>-81.718273874372244</v>
      </c>
    </row>
    <row r="10" spans="1:29" ht="15" customHeight="1" x14ac:dyDescent="0.25">
      <c r="A10" s="40" t="s">
        <v>87</v>
      </c>
      <c r="B10" s="41" t="s">
        <v>15</v>
      </c>
      <c r="C10" s="42">
        <f>IF(Triangulo2!D22=0,"-",Triangulo2!D22)</f>
        <v>4141271</v>
      </c>
      <c r="D10" s="42">
        <f>IF(Triangulo2!E22=0,"-",Triangulo2!E22)</f>
        <v>5675304</v>
      </c>
      <c r="E10" s="42">
        <f>IF(Triangulo2!F22=0,"-",Triangulo2!F22)</f>
        <v>5003527</v>
      </c>
      <c r="F10" s="42">
        <f>IF(Triangulo2!G22=0,"-",Triangulo2!G22)</f>
        <v>4490079</v>
      </c>
      <c r="G10" s="42">
        <f>IF(Triangulo2!H22=0,"-",Triangulo2!H22)</f>
        <v>3864708</v>
      </c>
      <c r="H10" s="42">
        <f>IF(Triangulo2!I22=0,"-",Triangulo2!I22)</f>
        <v>3317046</v>
      </c>
      <c r="I10" s="42">
        <f>IF(Triangulo2!J22=0,"-",Triangulo2!J22)</f>
        <v>3043775</v>
      </c>
      <c r="J10" s="42">
        <f>IF(Triangulo2!K22=0,"-",Triangulo2!K22)</f>
        <v>2982731</v>
      </c>
      <c r="K10" s="42">
        <f>IF(Triangulo2!L22=0,"-",Triangulo2!L22)</f>
        <v>2853880</v>
      </c>
      <c r="L10" s="42">
        <f>IF(Triangulo2!M22=0,"-",Triangulo2!M22)</f>
        <v>2708486</v>
      </c>
      <c r="M10" s="42">
        <f>IF(Triangulo2!N22=0,"-",Triangulo2!N22)</f>
        <v>2687185</v>
      </c>
      <c r="N10" s="42">
        <f>IF(Triangulo2!O22=0,"-",Triangulo2!O22)</f>
        <v>2706223</v>
      </c>
      <c r="O10" s="42">
        <f>IF(Triangulo2!P22=0,"-",Triangulo2!P22)</f>
        <v>2663612</v>
      </c>
      <c r="P10" s="42">
        <f>IF(Triangulo2!Q22=0,"-",Triangulo2!Q22)</f>
        <v>2649484</v>
      </c>
      <c r="Q10" s="42">
        <f>IF(Triangulo2!R22=0,"-",Triangulo2!R22)</f>
        <v>2644988</v>
      </c>
      <c r="R10" s="42">
        <f>IF(Triangulo2!S22=0,"-",Triangulo2!S22)</f>
        <v>2644539</v>
      </c>
      <c r="S10" s="42">
        <f>IF(Triangulo2!T22=0,"-",Triangulo2!T22)</f>
        <v>2642763</v>
      </c>
      <c r="T10" s="37">
        <f>IF(Triangulo2!U22=0,"-",Triangulo2!U22)</f>
        <v>2642281</v>
      </c>
      <c r="U10" s="43">
        <f>+T10*T$30</f>
        <v>2642022.1436389647</v>
      </c>
      <c r="V10" s="43">
        <f t="shared" ref="V10:Z10" si="6">+U10*U$30</f>
        <v>2641944.4215504322</v>
      </c>
      <c r="W10" s="43">
        <f t="shared" si="6"/>
        <v>2641928.839483921</v>
      </c>
      <c r="X10" s="43">
        <f t="shared" si="6"/>
        <v>2641932.1202786341</v>
      </c>
      <c r="Y10" s="43">
        <f t="shared" si="6"/>
        <v>2641934.9897843674</v>
      </c>
      <c r="Z10" s="43">
        <f t="shared" si="6"/>
        <v>2641935.444152365</v>
      </c>
      <c r="AA10" s="43">
        <f>+Z10</f>
        <v>2641935.444152365</v>
      </c>
      <c r="AB10" s="39">
        <f>+T10</f>
        <v>2642281</v>
      </c>
      <c r="AC10" s="38">
        <f t="shared" si="3"/>
        <v>-345.55584763502702</v>
      </c>
    </row>
    <row r="11" spans="1:29" ht="15" customHeight="1" x14ac:dyDescent="0.25">
      <c r="A11" s="34" t="s">
        <v>88</v>
      </c>
      <c r="B11" s="35" t="s">
        <v>16</v>
      </c>
      <c r="C11" s="36">
        <f>IF(Triangulo2!D23=0,"-",Triangulo2!D23)</f>
        <v>6591656</v>
      </c>
      <c r="D11" s="36">
        <f>IF(Triangulo2!E23=0,"-",Triangulo2!E23)</f>
        <v>9149839</v>
      </c>
      <c r="E11" s="36">
        <f>IF(Triangulo2!F23=0,"-",Triangulo2!F23)</f>
        <v>9246786</v>
      </c>
      <c r="F11" s="36">
        <f>IF(Triangulo2!G23=0,"-",Triangulo2!G23)</f>
        <v>8427024</v>
      </c>
      <c r="G11" s="36">
        <f>IF(Triangulo2!H23=0,"-",Triangulo2!H23)</f>
        <v>7881930</v>
      </c>
      <c r="H11" s="36">
        <f>IF(Triangulo2!I23=0,"-",Triangulo2!I23)</f>
        <v>7889306</v>
      </c>
      <c r="I11" s="36">
        <f>IF(Triangulo2!J23=0,"-",Triangulo2!J23)</f>
        <v>7459046</v>
      </c>
      <c r="J11" s="36">
        <f>IF(Triangulo2!K23=0,"-",Triangulo2!K23)</f>
        <v>7134362</v>
      </c>
      <c r="K11" s="36">
        <f>IF(Triangulo2!L23=0,"-",Triangulo2!L23)</f>
        <v>7020325</v>
      </c>
      <c r="L11" s="36">
        <f>IF(Triangulo2!M23=0,"-",Triangulo2!M23)</f>
        <v>6829753</v>
      </c>
      <c r="M11" s="36">
        <f>IF(Triangulo2!N23=0,"-",Triangulo2!N23)</f>
        <v>6654101</v>
      </c>
      <c r="N11" s="36">
        <f>IF(Triangulo2!O23=0,"-",Triangulo2!O23)</f>
        <v>6564713</v>
      </c>
      <c r="O11" s="36">
        <f>IF(Triangulo2!P23=0,"-",Triangulo2!P23)</f>
        <v>6557312</v>
      </c>
      <c r="P11" s="36">
        <f>IF(Triangulo2!Q23=0,"-",Triangulo2!Q23)</f>
        <v>6540955</v>
      </c>
      <c r="Q11" s="36">
        <f>IF(Triangulo2!R23=0,"-",Triangulo2!R23)</f>
        <v>6539478</v>
      </c>
      <c r="R11" s="36">
        <f>IF(Triangulo2!S23=0,"-",Triangulo2!S23)</f>
        <v>6538852</v>
      </c>
      <c r="S11" s="37">
        <f>IF(Triangulo2!T23=0,"-",Triangulo2!T23)</f>
        <v>6538885</v>
      </c>
      <c r="T11" s="43">
        <f>+S11*S$30</f>
        <v>6538126.1144776344</v>
      </c>
      <c r="U11" s="43">
        <f t="shared" ref="U11:Y11" si="7">+T11*T$30</f>
        <v>6537485.5938312747</v>
      </c>
      <c r="V11" s="43">
        <f t="shared" si="7"/>
        <v>6537293.2763537979</v>
      </c>
      <c r="W11" s="43">
        <f t="shared" si="7"/>
        <v>6537254.7196991593</v>
      </c>
      <c r="X11" s="43">
        <f t="shared" si="7"/>
        <v>6537262.8377795564</v>
      </c>
      <c r="Y11" s="43">
        <f t="shared" si="7"/>
        <v>6537269.9381562266</v>
      </c>
      <c r="Z11" s="43">
        <f>+Y11*Y$30</f>
        <v>6537271.062455751</v>
      </c>
      <c r="AA11" s="43">
        <f>+Z11</f>
        <v>6537271.062455751</v>
      </c>
      <c r="AB11" s="39">
        <f>+S11</f>
        <v>6538885</v>
      </c>
      <c r="AC11" s="38">
        <f t="shared" si="3"/>
        <v>-1613.9375442489982</v>
      </c>
    </row>
    <row r="12" spans="1:29" ht="15" customHeight="1" x14ac:dyDescent="0.25">
      <c r="A12" s="40" t="s">
        <v>89</v>
      </c>
      <c r="B12" s="41" t="s">
        <v>17</v>
      </c>
      <c r="C12" s="42">
        <f>IF(Triangulo2!D24=0,"-",Triangulo2!D24)</f>
        <v>6289704</v>
      </c>
      <c r="D12" s="42">
        <f>IF(Triangulo2!E24=0,"-",Triangulo2!E24)</f>
        <v>9074583</v>
      </c>
      <c r="E12" s="42">
        <f>IF(Triangulo2!F24=0,"-",Triangulo2!F24)</f>
        <v>7921104</v>
      </c>
      <c r="F12" s="42">
        <f>IF(Triangulo2!G24=0,"-",Triangulo2!G24)</f>
        <v>7241833</v>
      </c>
      <c r="G12" s="42">
        <f>IF(Triangulo2!H24=0,"-",Triangulo2!H24)</f>
        <v>6605506</v>
      </c>
      <c r="H12" s="42">
        <f>IF(Triangulo2!I24=0,"-",Triangulo2!I24)</f>
        <v>6368774</v>
      </c>
      <c r="I12" s="42">
        <f>IF(Triangulo2!J24=0,"-",Triangulo2!J24)</f>
        <v>5993512</v>
      </c>
      <c r="J12" s="42">
        <f>IF(Triangulo2!K24=0,"-",Triangulo2!K24)</f>
        <v>6063255</v>
      </c>
      <c r="K12" s="42">
        <f>IF(Triangulo2!L24=0,"-",Triangulo2!L24)</f>
        <v>6123811</v>
      </c>
      <c r="L12" s="42">
        <f>IF(Triangulo2!M24=0,"-",Triangulo2!M24)</f>
        <v>6142139</v>
      </c>
      <c r="M12" s="42">
        <f>IF(Triangulo2!N24=0,"-",Triangulo2!N24)</f>
        <v>6109898</v>
      </c>
      <c r="N12" s="42">
        <f>IF(Triangulo2!O24=0,"-",Triangulo2!O24)</f>
        <v>6094584</v>
      </c>
      <c r="O12" s="42">
        <f>IF(Triangulo2!P24=0,"-",Triangulo2!P24)</f>
        <v>6054429</v>
      </c>
      <c r="P12" s="42">
        <f>IF(Triangulo2!Q24=0,"-",Triangulo2!Q24)</f>
        <v>6045198</v>
      </c>
      <c r="Q12" s="42">
        <f>IF(Triangulo2!R24=0,"-",Triangulo2!R24)</f>
        <v>6039123</v>
      </c>
      <c r="R12" s="37">
        <f>IF(Triangulo2!S24=0,"-",Triangulo2!S24)</f>
        <v>6037298</v>
      </c>
      <c r="S12" s="43">
        <f>+R12*R30</f>
        <v>6036644.3357816972</v>
      </c>
      <c r="T12" s="43">
        <f t="shared" ref="T12:Z12" si="8">+S12*S30</f>
        <v>6035943.7389689228</v>
      </c>
      <c r="U12" s="43">
        <f t="shared" si="8"/>
        <v>6035352.4156268239</v>
      </c>
      <c r="V12" s="43">
        <f t="shared" si="8"/>
        <v>6035174.8697285429</v>
      </c>
      <c r="W12" s="43">
        <f t="shared" si="8"/>
        <v>6035139.2745451396</v>
      </c>
      <c r="X12" s="43">
        <f t="shared" si="8"/>
        <v>6035146.7690895526</v>
      </c>
      <c r="Y12" s="43">
        <f t="shared" si="8"/>
        <v>6035153.3240983365</v>
      </c>
      <c r="Z12" s="43">
        <f t="shared" si="8"/>
        <v>6035154.3620423218</v>
      </c>
      <c r="AA12" s="43">
        <f t="shared" si="5"/>
        <v>6035154.3620423218</v>
      </c>
      <c r="AB12" s="39">
        <f>+R12</f>
        <v>6037298</v>
      </c>
      <c r="AC12" s="38">
        <f t="shared" si="3"/>
        <v>-2143.6379576781765</v>
      </c>
    </row>
    <row r="13" spans="1:29" ht="15" customHeight="1" x14ac:dyDescent="0.25">
      <c r="A13" s="34" t="s">
        <v>90</v>
      </c>
      <c r="B13" s="35" t="s">
        <v>18</v>
      </c>
      <c r="C13" s="36">
        <f>IF(Triangulo2!D25=0,"-",Triangulo2!D25)</f>
        <v>4959185</v>
      </c>
      <c r="D13" s="36">
        <f>IF(Triangulo2!E25=0,"-",Triangulo2!E25)</f>
        <v>7332815</v>
      </c>
      <c r="E13" s="36">
        <f>IF(Triangulo2!F25=0,"-",Triangulo2!F25)</f>
        <v>6338245</v>
      </c>
      <c r="F13" s="36">
        <f>IF(Triangulo2!G25=0,"-",Triangulo2!G25)</f>
        <v>6335214</v>
      </c>
      <c r="G13" s="36">
        <f>IF(Triangulo2!H25=0,"-",Triangulo2!H25)</f>
        <v>5820802</v>
      </c>
      <c r="H13" s="36">
        <f>IF(Triangulo2!I25=0,"-",Triangulo2!I25)</f>
        <v>5372283</v>
      </c>
      <c r="I13" s="36">
        <f>IF(Triangulo2!J25=0,"-",Triangulo2!J25)</f>
        <v>5126418</v>
      </c>
      <c r="J13" s="36">
        <f>IF(Triangulo2!K25=0,"-",Triangulo2!K25)</f>
        <v>4909923</v>
      </c>
      <c r="K13" s="36">
        <f>IF(Triangulo2!L25=0,"-",Triangulo2!L25)</f>
        <v>4699737</v>
      </c>
      <c r="L13" s="36">
        <f>IF(Triangulo2!M25=0,"-",Triangulo2!M25)</f>
        <v>4565993</v>
      </c>
      <c r="M13" s="36">
        <f>IF(Triangulo2!N25=0,"-",Triangulo2!N25)</f>
        <v>4388069</v>
      </c>
      <c r="N13" s="36">
        <f>IF(Triangulo2!O25=0,"-",Triangulo2!O25)</f>
        <v>4350454</v>
      </c>
      <c r="O13" s="36">
        <f>IF(Triangulo2!P25=0,"-",Triangulo2!P25)</f>
        <v>4349470</v>
      </c>
      <c r="P13" s="36">
        <f>IF(Triangulo2!Q25=0,"-",Triangulo2!Q25)</f>
        <v>4354085</v>
      </c>
      <c r="Q13" s="37">
        <f>IF(Triangulo2!R25=0,"-",Triangulo2!R25)</f>
        <v>4354413</v>
      </c>
      <c r="R13" s="43">
        <f>+Q13*Q30</f>
        <v>4352627.1045875447</v>
      </c>
      <c r="S13" s="43">
        <f t="shared" ref="S13:Z13" si="9">+R13*R30</f>
        <v>4352155.8413512623</v>
      </c>
      <c r="T13" s="43">
        <f t="shared" si="9"/>
        <v>4351650.7417724989</v>
      </c>
      <c r="U13" s="43">
        <f t="shared" si="9"/>
        <v>4351224.4235741273</v>
      </c>
      <c r="V13" s="43">
        <f t="shared" si="9"/>
        <v>4351096.4207673799</v>
      </c>
      <c r="W13" s="43">
        <f t="shared" si="9"/>
        <v>4351070.7582010999</v>
      </c>
      <c r="X13" s="43">
        <f t="shared" si="9"/>
        <v>4351076.1614389643</v>
      </c>
      <c r="Y13" s="43">
        <f t="shared" si="9"/>
        <v>4351080.8873128407</v>
      </c>
      <c r="Z13" s="43">
        <f t="shared" si="9"/>
        <v>4351081.6356249368</v>
      </c>
      <c r="AA13" s="43">
        <f t="shared" si="5"/>
        <v>4351081.6356249368</v>
      </c>
      <c r="AB13" s="39">
        <f>+Q13</f>
        <v>4354413</v>
      </c>
      <c r="AC13" s="38">
        <f t="shared" si="3"/>
        <v>-3331.3643750632182</v>
      </c>
    </row>
    <row r="14" spans="1:29" ht="15" customHeight="1" x14ac:dyDescent="0.25">
      <c r="A14" s="40" t="s">
        <v>91</v>
      </c>
      <c r="B14" s="41" t="s">
        <v>19</v>
      </c>
      <c r="C14" s="42">
        <f>IF(Triangulo2!D26=0,"-",Triangulo2!D26)</f>
        <v>6194048</v>
      </c>
      <c r="D14" s="42">
        <f>IF(Triangulo2!E26=0,"-",Triangulo2!E26)</f>
        <v>7741218</v>
      </c>
      <c r="E14" s="42">
        <f>IF(Triangulo2!F26=0,"-",Triangulo2!F26)</f>
        <v>6754577</v>
      </c>
      <c r="F14" s="42">
        <f>IF(Triangulo2!G26=0,"-",Triangulo2!G26)</f>
        <v>6157468</v>
      </c>
      <c r="G14" s="42">
        <f>IF(Triangulo2!H26=0,"-",Triangulo2!H26)</f>
        <v>5562103</v>
      </c>
      <c r="H14" s="42">
        <f>IF(Triangulo2!I26=0,"-",Triangulo2!I26)</f>
        <v>5078341</v>
      </c>
      <c r="I14" s="42">
        <f>IF(Triangulo2!J26=0,"-",Triangulo2!J26)</f>
        <v>5094245</v>
      </c>
      <c r="J14" s="42">
        <f>IF(Triangulo2!K26=0,"-",Triangulo2!K26)</f>
        <v>4970573</v>
      </c>
      <c r="K14" s="42">
        <f>IF(Triangulo2!L26=0,"-",Triangulo2!L26)</f>
        <v>4756133</v>
      </c>
      <c r="L14" s="42">
        <f>IF(Triangulo2!M26=0,"-",Triangulo2!M26)</f>
        <v>4568920</v>
      </c>
      <c r="M14" s="42">
        <f>IF(Triangulo2!N26=0,"-",Triangulo2!N26)</f>
        <v>4414181</v>
      </c>
      <c r="N14" s="42">
        <f>IF(Triangulo2!O26=0,"-",Triangulo2!O26)</f>
        <v>4318353</v>
      </c>
      <c r="O14" s="42">
        <f>IF(Triangulo2!P26=0,"-",Triangulo2!P26)</f>
        <v>4308927</v>
      </c>
      <c r="P14" s="37">
        <f>IF(Triangulo2!Q26=0,"-",Triangulo2!Q26)</f>
        <v>4284653</v>
      </c>
      <c r="Q14" s="43">
        <f>+P14*P30</f>
        <v>4281028.3010028945</v>
      </c>
      <c r="R14" s="43">
        <f t="shared" ref="R14:Z14" si="10">+Q14*Q30</f>
        <v>4279272.5031942455</v>
      </c>
      <c r="S14" s="43">
        <f t="shared" si="10"/>
        <v>4278809.1821331177</v>
      </c>
      <c r="T14" s="43">
        <f t="shared" si="10"/>
        <v>4278312.594971654</v>
      </c>
      <c r="U14" s="43">
        <f t="shared" si="10"/>
        <v>4277893.4614920178</v>
      </c>
      <c r="V14" s="43">
        <f t="shared" si="10"/>
        <v>4277767.6159100095</v>
      </c>
      <c r="W14" s="43">
        <f t="shared" si="10"/>
        <v>4277742.3858336434</v>
      </c>
      <c r="X14" s="43">
        <f t="shared" si="10"/>
        <v>4277747.6980110165</v>
      </c>
      <c r="Y14" s="43">
        <f t="shared" si="10"/>
        <v>4277752.3442399828</v>
      </c>
      <c r="Z14" s="43">
        <f t="shared" si="10"/>
        <v>4277753.0799408136</v>
      </c>
      <c r="AA14" s="43">
        <f t="shared" si="5"/>
        <v>4277753.0799408136</v>
      </c>
      <c r="AB14" s="39">
        <f>+P14</f>
        <v>4284653</v>
      </c>
      <c r="AC14" s="38">
        <f t="shared" si="3"/>
        <v>-6899.9200591864064</v>
      </c>
    </row>
    <row r="15" spans="1:29" ht="15" customHeight="1" x14ac:dyDescent="0.25">
      <c r="A15" s="34" t="s">
        <v>92</v>
      </c>
      <c r="B15" s="35" t="s">
        <v>20</v>
      </c>
      <c r="C15" s="36">
        <f>IF(Triangulo2!D27=0,"-",Triangulo2!D27)</f>
        <v>6500694</v>
      </c>
      <c r="D15" s="36">
        <f>IF(Triangulo2!E27=0,"-",Triangulo2!E27)</f>
        <v>9436157</v>
      </c>
      <c r="E15" s="36">
        <f>IF(Triangulo2!F27=0,"-",Triangulo2!F27)</f>
        <v>8641541</v>
      </c>
      <c r="F15" s="36">
        <f>IF(Triangulo2!G27=0,"-",Triangulo2!G27)</f>
        <v>8462835</v>
      </c>
      <c r="G15" s="36">
        <f>IF(Triangulo2!H27=0,"-",Triangulo2!H27)</f>
        <v>8478196</v>
      </c>
      <c r="H15" s="36">
        <f>IF(Triangulo2!I27=0,"-",Triangulo2!I27)</f>
        <v>8406511</v>
      </c>
      <c r="I15" s="36">
        <f>IF(Triangulo2!J27=0,"-",Triangulo2!J27)</f>
        <v>7938776</v>
      </c>
      <c r="J15" s="36">
        <f>IF(Triangulo2!K27=0,"-",Triangulo2!K27)</f>
        <v>7694015</v>
      </c>
      <c r="K15" s="36">
        <f>IF(Triangulo2!L27=0,"-",Triangulo2!L27)</f>
        <v>7414340</v>
      </c>
      <c r="L15" s="36">
        <f>IF(Triangulo2!M27=0,"-",Triangulo2!M27)</f>
        <v>7365359</v>
      </c>
      <c r="M15" s="36">
        <f>IF(Triangulo2!N27=0,"-",Triangulo2!N27)</f>
        <v>7323515</v>
      </c>
      <c r="N15" s="36">
        <f>IF(Triangulo2!O27=0,"-",Triangulo2!O27)</f>
        <v>7284864</v>
      </c>
      <c r="O15" s="37">
        <f>IF(Triangulo2!P27=0,"-",Triangulo2!P27)</f>
        <v>7266841</v>
      </c>
      <c r="P15" s="43">
        <f>+O15*O30</f>
        <v>7251920.6975913476</v>
      </c>
      <c r="Q15" s="43">
        <f t="shared" ref="Q15:Z15" si="11">+P15*P30</f>
        <v>7245785.7714538872</v>
      </c>
      <c r="R15" s="43">
        <f t="shared" si="11"/>
        <v>7242814.0240406599</v>
      </c>
      <c r="S15" s="43">
        <f t="shared" si="11"/>
        <v>7242029.8374115862</v>
      </c>
      <c r="T15" s="43">
        <f t="shared" si="11"/>
        <v>7241189.3467780678</v>
      </c>
      <c r="U15" s="43">
        <f t="shared" si="11"/>
        <v>7240479.9491311582</v>
      </c>
      <c r="V15" s="43">
        <f t="shared" si="11"/>
        <v>7240266.9512102371</v>
      </c>
      <c r="W15" s="43">
        <f t="shared" si="11"/>
        <v>7240224.2484492427</v>
      </c>
      <c r="X15" s="43">
        <f t="shared" si="11"/>
        <v>7240233.2394898338</v>
      </c>
      <c r="Y15" s="43">
        <f t="shared" si="11"/>
        <v>7240241.103390133</v>
      </c>
      <c r="Z15" s="43">
        <f t="shared" si="11"/>
        <v>7240242.3485887712</v>
      </c>
      <c r="AA15" s="43">
        <f t="shared" si="5"/>
        <v>7240242.3485887712</v>
      </c>
      <c r="AB15" s="39">
        <f>+O15</f>
        <v>7266841</v>
      </c>
      <c r="AC15" s="38">
        <f t="shared" si="3"/>
        <v>-26598.651411228813</v>
      </c>
    </row>
    <row r="16" spans="1:29" ht="15" customHeight="1" x14ac:dyDescent="0.25">
      <c r="A16" s="40" t="s">
        <v>93</v>
      </c>
      <c r="B16" s="41" t="s">
        <v>21</v>
      </c>
      <c r="C16" s="42">
        <f>IF(Triangulo2!D28=0,"-",Triangulo2!D28)</f>
        <v>5205434</v>
      </c>
      <c r="D16" s="42">
        <f>IF(Triangulo2!E28=0,"-",Triangulo2!E28)</f>
        <v>7752400</v>
      </c>
      <c r="E16" s="42">
        <f>IF(Triangulo2!F28=0,"-",Triangulo2!F28)</f>
        <v>7497356</v>
      </c>
      <c r="F16" s="42">
        <f>IF(Triangulo2!G28=0,"-",Triangulo2!G28)</f>
        <v>7293599</v>
      </c>
      <c r="G16" s="42">
        <f>IF(Triangulo2!H28=0,"-",Triangulo2!H28)</f>
        <v>6566528</v>
      </c>
      <c r="H16" s="42">
        <f>IF(Triangulo2!I28=0,"-",Triangulo2!I28)</f>
        <v>6681703</v>
      </c>
      <c r="I16" s="42">
        <f>IF(Triangulo2!J28=0,"-",Triangulo2!J28)</f>
        <v>6326840</v>
      </c>
      <c r="J16" s="42">
        <f>IF(Triangulo2!K28=0,"-",Triangulo2!K28)</f>
        <v>6334277</v>
      </c>
      <c r="K16" s="42">
        <f>IF(Triangulo2!L28=0,"-",Triangulo2!L28)</f>
        <v>6175261</v>
      </c>
      <c r="L16" s="42">
        <f>IF(Triangulo2!M28=0,"-",Triangulo2!M28)</f>
        <v>6025240</v>
      </c>
      <c r="M16" s="42">
        <f>IF(Triangulo2!N28=0,"-",Triangulo2!N28)</f>
        <v>5846424</v>
      </c>
      <c r="N16" s="37">
        <f>IF(Triangulo2!O28=0,"-",Triangulo2!O28)</f>
        <v>5844768</v>
      </c>
      <c r="O16" s="43">
        <f>+N16*N30</f>
        <v>5822108.1391408155</v>
      </c>
      <c r="P16" s="43">
        <f t="shared" ref="P16:Z16" si="12">+O16*O30</f>
        <v>5810154.1671064943</v>
      </c>
      <c r="Q16" s="43">
        <f t="shared" si="12"/>
        <v>5805238.9359354898</v>
      </c>
      <c r="R16" s="43">
        <f t="shared" si="12"/>
        <v>5802858.0066153053</v>
      </c>
      <c r="S16" s="43">
        <f t="shared" si="12"/>
        <v>5802229.725446674</v>
      </c>
      <c r="T16" s="43">
        <f t="shared" si="12"/>
        <v>5801556.3341672616</v>
      </c>
      <c r="U16" s="43">
        <f t="shared" si="12"/>
        <v>5800987.9730576733</v>
      </c>
      <c r="V16" s="43">
        <f t="shared" si="12"/>
        <v>5800817.3216110524</v>
      </c>
      <c r="W16" s="43">
        <f t="shared" si="12"/>
        <v>5800783.108657673</v>
      </c>
      <c r="X16" s="43">
        <f t="shared" si="12"/>
        <v>5800790.3121743882</v>
      </c>
      <c r="Y16" s="43">
        <f t="shared" si="12"/>
        <v>5800796.6126394644</v>
      </c>
      <c r="Z16" s="43">
        <f t="shared" si="12"/>
        <v>5800797.6102780709</v>
      </c>
      <c r="AA16" s="43">
        <f t="shared" si="5"/>
        <v>5800797.6102780709</v>
      </c>
      <c r="AB16" s="39">
        <f>+N16</f>
        <v>5844768</v>
      </c>
      <c r="AC16" s="38">
        <f t="shared" si="3"/>
        <v>-43970.389721929096</v>
      </c>
    </row>
    <row r="17" spans="1:29" ht="15" customHeight="1" x14ac:dyDescent="0.25">
      <c r="A17" s="34" t="s">
        <v>94</v>
      </c>
      <c r="B17" s="35" t="s">
        <v>22</v>
      </c>
      <c r="C17" s="36">
        <f>IF(Triangulo2!D29=0,"-",Triangulo2!D29)</f>
        <v>5184519</v>
      </c>
      <c r="D17" s="36">
        <f>IF(Triangulo2!E29=0,"-",Triangulo2!E29)</f>
        <v>7275135</v>
      </c>
      <c r="E17" s="36">
        <f>IF(Triangulo2!F29=0,"-",Triangulo2!F29)</f>
        <v>7269751</v>
      </c>
      <c r="F17" s="36">
        <f>IF(Triangulo2!G29=0,"-",Triangulo2!G29)</f>
        <v>6967745</v>
      </c>
      <c r="G17" s="36">
        <f>IF(Triangulo2!H29=0,"-",Triangulo2!H29)</f>
        <v>6399402</v>
      </c>
      <c r="H17" s="36">
        <f>IF(Triangulo2!I29=0,"-",Triangulo2!I29)</f>
        <v>5827678</v>
      </c>
      <c r="I17" s="36">
        <f>IF(Triangulo2!J29=0,"-",Triangulo2!J29)</f>
        <v>5837462</v>
      </c>
      <c r="J17" s="36">
        <f>IF(Triangulo2!K29=0,"-",Triangulo2!K29)</f>
        <v>5752901</v>
      </c>
      <c r="K17" s="36">
        <f>IF(Triangulo2!L29=0,"-",Triangulo2!L29)</f>
        <v>5510232</v>
      </c>
      <c r="L17" s="36">
        <f>IF(Triangulo2!M29=0,"-",Triangulo2!M29)</f>
        <v>5306283</v>
      </c>
      <c r="M17" s="37">
        <f>IF(Triangulo2!N29=0,"-",Triangulo2!N29)</f>
        <v>5171805</v>
      </c>
      <c r="N17" s="43">
        <f>+M17*M30</f>
        <v>5131070.8611376332</v>
      </c>
      <c r="O17" s="43">
        <f t="shared" ref="O17:Z17" si="13">+N17*N30</f>
        <v>5111177.9668821227</v>
      </c>
      <c r="P17" s="43">
        <f t="shared" si="13"/>
        <v>5100683.6790711842</v>
      </c>
      <c r="Q17" s="43">
        <f t="shared" si="13"/>
        <v>5096368.6404867107</v>
      </c>
      <c r="R17" s="43">
        <f t="shared" si="13"/>
        <v>5094278.4433980957</v>
      </c>
      <c r="S17" s="43">
        <f t="shared" si="13"/>
        <v>5093726.8808387322</v>
      </c>
      <c r="T17" s="43">
        <f t="shared" si="13"/>
        <v>5093135.7165064719</v>
      </c>
      <c r="U17" s="43">
        <f t="shared" si="13"/>
        <v>5092636.7572444426</v>
      </c>
      <c r="V17" s="43">
        <f t="shared" si="13"/>
        <v>5092486.9438275248</v>
      </c>
      <c r="W17" s="43">
        <f t="shared" si="13"/>
        <v>5092456.9085740885</v>
      </c>
      <c r="X17" s="43">
        <f t="shared" si="13"/>
        <v>5092463.2324785981</v>
      </c>
      <c r="Y17" s="43">
        <f t="shared" si="13"/>
        <v>5092468.7636019485</v>
      </c>
      <c r="Z17" s="43">
        <f t="shared" si="13"/>
        <v>5092469.6394201815</v>
      </c>
      <c r="AA17" s="43">
        <f t="shared" si="5"/>
        <v>5092469.6394201815</v>
      </c>
      <c r="AB17" s="39">
        <f>+M17</f>
        <v>5171805</v>
      </c>
      <c r="AC17" s="38">
        <f t="shared" si="3"/>
        <v>-79335.360579818487</v>
      </c>
    </row>
    <row r="18" spans="1:29" ht="15" customHeight="1" x14ac:dyDescent="0.25">
      <c r="A18" s="40" t="s">
        <v>95</v>
      </c>
      <c r="B18" s="41" t="s">
        <v>23</v>
      </c>
      <c r="C18" s="42">
        <f>IF(Triangulo2!D30=0,"-",Triangulo2!D30)</f>
        <v>3419011</v>
      </c>
      <c r="D18" s="42">
        <f>IF(Triangulo2!E30=0,"-",Triangulo2!E30)</f>
        <v>4773306</v>
      </c>
      <c r="E18" s="42">
        <f>IF(Triangulo2!F30=0,"-",Triangulo2!F30)</f>
        <v>3716822</v>
      </c>
      <c r="F18" s="42">
        <f>IF(Triangulo2!G30=0,"-",Triangulo2!G30)</f>
        <v>3313659</v>
      </c>
      <c r="G18" s="42">
        <f>IF(Triangulo2!H30=0,"-",Triangulo2!H30)</f>
        <v>3377536</v>
      </c>
      <c r="H18" s="42">
        <f>IF(Triangulo2!I30=0,"-",Triangulo2!I30)</f>
        <v>3222093</v>
      </c>
      <c r="I18" s="42">
        <f>IF(Triangulo2!J30=0,"-",Triangulo2!J30)</f>
        <v>2783981</v>
      </c>
      <c r="J18" s="42">
        <f>IF(Triangulo2!K30=0,"-",Triangulo2!K30)</f>
        <v>2603716</v>
      </c>
      <c r="K18" s="42">
        <f>IF(Triangulo2!L30=0,"-",Triangulo2!L30)</f>
        <v>2643618</v>
      </c>
      <c r="L18" s="37">
        <f>IF(Triangulo2!M30=0,"-",Triangulo2!M30)</f>
        <v>2473125</v>
      </c>
      <c r="M18" s="43">
        <f>+L18*L30</f>
        <v>2429834.7202237789</v>
      </c>
      <c r="N18" s="43">
        <f t="shared" ref="N18:Y18" si="14">+M18*M30</f>
        <v>2410696.8708837139</v>
      </c>
      <c r="O18" s="43">
        <f t="shared" si="14"/>
        <v>2401350.7247804133</v>
      </c>
      <c r="P18" s="43">
        <f t="shared" si="14"/>
        <v>2396420.2633869466</v>
      </c>
      <c r="Q18" s="43">
        <f t="shared" si="14"/>
        <v>2394392.9575291933</v>
      </c>
      <c r="R18" s="43">
        <f t="shared" si="14"/>
        <v>2393410.9341431553</v>
      </c>
      <c r="S18" s="43">
        <f t="shared" si="14"/>
        <v>2393151.7971770251</v>
      </c>
      <c r="T18" s="43">
        <f t="shared" si="14"/>
        <v>2392874.0543735195</v>
      </c>
      <c r="U18" s="43">
        <f t="shared" si="14"/>
        <v>2392639.6316644545</v>
      </c>
      <c r="V18" s="43">
        <f t="shared" si="14"/>
        <v>2392569.2458239249</v>
      </c>
      <c r="W18" s="43">
        <f t="shared" si="14"/>
        <v>2392555.134560714</v>
      </c>
      <c r="X18" s="43">
        <f t="shared" si="14"/>
        <v>2392558.1056786785</v>
      </c>
      <c r="Y18" s="43">
        <f t="shared" si="14"/>
        <v>2392560.7043295479</v>
      </c>
      <c r="Z18" s="43">
        <f>+Y18*Y30</f>
        <v>2392561.1158093992</v>
      </c>
      <c r="AA18" s="43">
        <f t="shared" si="5"/>
        <v>2392561.1158093992</v>
      </c>
      <c r="AB18" s="39">
        <f>+L18</f>
        <v>2473125</v>
      </c>
      <c r="AC18" s="38">
        <f t="shared" si="3"/>
        <v>-80563.884190600831</v>
      </c>
    </row>
    <row r="19" spans="1:29" ht="15" customHeight="1" x14ac:dyDescent="0.25">
      <c r="A19" s="34" t="s">
        <v>96</v>
      </c>
      <c r="B19" s="35" t="s">
        <v>24</v>
      </c>
      <c r="C19" s="36">
        <f>IF(Triangulo2!D31=0,"-",Triangulo2!D31)</f>
        <v>5498188</v>
      </c>
      <c r="D19" s="36">
        <f>IF(Triangulo2!E31=0,"-",Triangulo2!E31)</f>
        <v>10669557</v>
      </c>
      <c r="E19" s="36">
        <f>IF(Triangulo2!F31=0,"-",Triangulo2!F31)</f>
        <v>10857709</v>
      </c>
      <c r="F19" s="36">
        <f>IF(Triangulo2!G31=0,"-",Triangulo2!G31)</f>
        <v>14275258</v>
      </c>
      <c r="G19" s="36">
        <f>IF(Triangulo2!H31=0,"-",Triangulo2!H31)</f>
        <v>14084665</v>
      </c>
      <c r="H19" s="36">
        <f>IF(Triangulo2!I31=0,"-",Triangulo2!I31)</f>
        <v>14163048</v>
      </c>
      <c r="I19" s="36">
        <f>IF(Triangulo2!J31=0,"-",Triangulo2!J31)</f>
        <v>13850553</v>
      </c>
      <c r="J19" s="36">
        <f>IF(Triangulo2!K31=0,"-",Triangulo2!K31)</f>
        <v>13534768</v>
      </c>
      <c r="K19" s="37">
        <f>IF(Triangulo2!L31=0,"-",Triangulo2!L31)</f>
        <v>13371613</v>
      </c>
      <c r="L19" s="43">
        <f>+K19*K30</f>
        <v>13072683.431082129</v>
      </c>
      <c r="M19" s="43">
        <f t="shared" ref="M19:Z19" si="15">+L19*L30</f>
        <v>12843855.481359607</v>
      </c>
      <c r="N19" s="43">
        <f t="shared" si="15"/>
        <v>12742694.785489235</v>
      </c>
      <c r="O19" s="43">
        <f t="shared" si="15"/>
        <v>12693292.022058722</v>
      </c>
      <c r="P19" s="43">
        <f t="shared" si="15"/>
        <v>12667230.112140719</v>
      </c>
      <c r="Q19" s="43">
        <f t="shared" si="15"/>
        <v>12656513.982670356</v>
      </c>
      <c r="R19" s="43">
        <f t="shared" si="15"/>
        <v>12651323.108433271</v>
      </c>
      <c r="S19" s="43">
        <f t="shared" si="15"/>
        <v>12649953.337182926</v>
      </c>
      <c r="T19" s="43">
        <f t="shared" si="15"/>
        <v>12648485.21739703</v>
      </c>
      <c r="U19" s="43">
        <f t="shared" si="15"/>
        <v>12647246.083158096</v>
      </c>
      <c r="V19" s="43">
        <f t="shared" si="15"/>
        <v>12646874.030871505</v>
      </c>
      <c r="W19" s="43">
        <f t="shared" si="15"/>
        <v>12646799.440190982</v>
      </c>
      <c r="X19" s="43">
        <f t="shared" si="15"/>
        <v>12646815.145213813</v>
      </c>
      <c r="Y19" s="43">
        <f t="shared" si="15"/>
        <v>12646828.88141403</v>
      </c>
      <c r="Z19" s="43">
        <f t="shared" si="15"/>
        <v>12646831.056454044</v>
      </c>
      <c r="AA19" s="43">
        <f t="shared" si="5"/>
        <v>12646831.056454044</v>
      </c>
      <c r="AB19" s="39">
        <f>+K19</f>
        <v>13371613</v>
      </c>
      <c r="AC19" s="38">
        <f t="shared" si="3"/>
        <v>-724781.94354595616</v>
      </c>
    </row>
    <row r="20" spans="1:29" ht="15" customHeight="1" x14ac:dyDescent="0.25">
      <c r="A20" s="40" t="s">
        <v>97</v>
      </c>
      <c r="B20" s="41" t="s">
        <v>25</v>
      </c>
      <c r="C20" s="42">
        <f>IF(Triangulo2!D32=0,"-",Triangulo2!D32)</f>
        <v>6382667</v>
      </c>
      <c r="D20" s="42">
        <f>IF(Triangulo2!E32=0,"-",Triangulo2!E32)</f>
        <v>10460689</v>
      </c>
      <c r="E20" s="42">
        <f>IF(Triangulo2!F32=0,"-",Triangulo2!F32)</f>
        <v>9727516</v>
      </c>
      <c r="F20" s="42">
        <f>IF(Triangulo2!G32=0,"-",Triangulo2!G32)</f>
        <v>13561133</v>
      </c>
      <c r="G20" s="42">
        <f>IF(Triangulo2!H32=0,"-",Triangulo2!H32)</f>
        <v>12865538</v>
      </c>
      <c r="H20" s="42">
        <f>IF(Triangulo2!I32=0,"-",Triangulo2!I32)</f>
        <v>12816850</v>
      </c>
      <c r="I20" s="42">
        <f>IF(Triangulo2!J32=0,"-",Triangulo2!J32)</f>
        <v>12593535</v>
      </c>
      <c r="J20" s="37">
        <f>IF(Triangulo2!K32=0,"-",Triangulo2!K32)</f>
        <v>12422697</v>
      </c>
      <c r="K20" s="43">
        <f>+J20*J30</f>
        <v>12130523.497186149</v>
      </c>
      <c r="L20" s="43">
        <f t="shared" ref="L20:Z20" si="16">+K20*K30</f>
        <v>11859339.148688927</v>
      </c>
      <c r="M20" s="43">
        <f t="shared" si="16"/>
        <v>11651749.920603879</v>
      </c>
      <c r="N20" s="43">
        <f t="shared" si="16"/>
        <v>11559978.479249178</v>
      </c>
      <c r="O20" s="43">
        <f t="shared" si="16"/>
        <v>11515161.045285169</v>
      </c>
      <c r="P20" s="43">
        <f t="shared" si="16"/>
        <v>11491518.077855444</v>
      </c>
      <c r="Q20" s="43">
        <f t="shared" si="16"/>
        <v>11481796.568540215</v>
      </c>
      <c r="R20" s="43">
        <f t="shared" si="16"/>
        <v>11477087.486554079</v>
      </c>
      <c r="S20" s="43">
        <f t="shared" si="16"/>
        <v>11475844.850954464</v>
      </c>
      <c r="T20" s="43">
        <f t="shared" si="16"/>
        <v>11474512.995062472</v>
      </c>
      <c r="U20" s="43">
        <f t="shared" si="16"/>
        <v>11473388.871368378</v>
      </c>
      <c r="V20" s="43">
        <f t="shared" si="16"/>
        <v>11473051.351204978</v>
      </c>
      <c r="W20" s="43">
        <f t="shared" si="16"/>
        <v>11472983.683676554</v>
      </c>
      <c r="X20" s="43">
        <f t="shared" si="16"/>
        <v>11472997.931033881</v>
      </c>
      <c r="Y20" s="43">
        <f t="shared" si="16"/>
        <v>11473010.392305344</v>
      </c>
      <c r="Z20" s="43">
        <f t="shared" si="16"/>
        <v>11473012.365468491</v>
      </c>
      <c r="AA20" s="43">
        <f t="shared" si="5"/>
        <v>11473012.365468491</v>
      </c>
      <c r="AB20" s="39">
        <f>+J20</f>
        <v>12422697</v>
      </c>
      <c r="AC20" s="38">
        <f t="shared" si="3"/>
        <v>-949684.63453150913</v>
      </c>
    </row>
    <row r="21" spans="1:29" ht="15" customHeight="1" x14ac:dyDescent="0.25">
      <c r="A21" s="34" t="s">
        <v>98</v>
      </c>
      <c r="B21" s="35" t="s">
        <v>26</v>
      </c>
      <c r="C21" s="36">
        <f>IF(Triangulo2!D33=0,"-",Triangulo2!D33)</f>
        <v>3022770</v>
      </c>
      <c r="D21" s="36">
        <f>IF(Triangulo2!E33=0,"-",Triangulo2!E33)</f>
        <v>7899209</v>
      </c>
      <c r="E21" s="36">
        <f>IF(Triangulo2!F33=0,"-",Triangulo2!F33)</f>
        <v>7498380</v>
      </c>
      <c r="F21" s="36">
        <f>IF(Triangulo2!G33=0,"-",Triangulo2!G33)</f>
        <v>10736732</v>
      </c>
      <c r="G21" s="36">
        <f>IF(Triangulo2!H33=0,"-",Triangulo2!H33)</f>
        <v>10856995</v>
      </c>
      <c r="H21" s="36">
        <f>IF(Triangulo2!I33=0,"-",Triangulo2!I33)</f>
        <v>10834399</v>
      </c>
      <c r="I21" s="37">
        <f>IF(Triangulo2!J33=0,"-",Triangulo2!J33)</f>
        <v>10568629</v>
      </c>
      <c r="J21" s="43">
        <f>+I21*I30</f>
        <v>10285142.27492637</v>
      </c>
      <c r="K21" s="43">
        <f t="shared" ref="K21:Z21" si="17">+J21*J30</f>
        <v>10043242.625807982</v>
      </c>
      <c r="L21" s="43">
        <f t="shared" si="17"/>
        <v>9818720.5588987488</v>
      </c>
      <c r="M21" s="43">
        <f t="shared" si="17"/>
        <v>9646850.8960069586</v>
      </c>
      <c r="N21" s="43">
        <f t="shared" si="17"/>
        <v>9570870.4280692674</v>
      </c>
      <c r="O21" s="43">
        <f t="shared" si="17"/>
        <v>9533764.662331203</v>
      </c>
      <c r="P21" s="43">
        <f t="shared" si="17"/>
        <v>9514189.9046263192</v>
      </c>
      <c r="Q21" s="43">
        <f t="shared" si="17"/>
        <v>9506141.1607477441</v>
      </c>
      <c r="R21" s="43">
        <f t="shared" si="17"/>
        <v>9502242.3633922487</v>
      </c>
      <c r="S21" s="43">
        <f t="shared" si="17"/>
        <v>9501213.546224935</v>
      </c>
      <c r="T21" s="43">
        <f t="shared" si="17"/>
        <v>9500110.8607663065</v>
      </c>
      <c r="U21" s="43">
        <f t="shared" si="17"/>
        <v>9499180.1633397844</v>
      </c>
      <c r="V21" s="43">
        <f t="shared" si="17"/>
        <v>9498900.7197615318</v>
      </c>
      <c r="W21" s="43">
        <f t="shared" si="17"/>
        <v>9498844.695682602</v>
      </c>
      <c r="X21" s="43">
        <f t="shared" si="17"/>
        <v>9498856.4915186558</v>
      </c>
      <c r="Y21" s="43">
        <f t="shared" si="17"/>
        <v>9498866.8085979447</v>
      </c>
      <c r="Z21" s="43">
        <f t="shared" si="17"/>
        <v>9498868.4422418866</v>
      </c>
      <c r="AA21" s="43">
        <f t="shared" si="5"/>
        <v>9498868.4422418866</v>
      </c>
      <c r="AB21" s="39">
        <f>+I21</f>
        <v>10568629</v>
      </c>
      <c r="AC21" s="38">
        <f t="shared" si="3"/>
        <v>-1069760.5577581134</v>
      </c>
    </row>
    <row r="22" spans="1:29" ht="15" customHeight="1" x14ac:dyDescent="0.25">
      <c r="A22" s="40" t="s">
        <v>99</v>
      </c>
      <c r="B22" s="41" t="s">
        <v>27</v>
      </c>
      <c r="C22" s="42">
        <f>IF(Triangulo2!D34=0,"-",Triangulo2!D34)</f>
        <v>6936281</v>
      </c>
      <c r="D22" s="42">
        <f>IF(Triangulo2!E34=0,"-",Triangulo2!E34)</f>
        <v>21936281</v>
      </c>
      <c r="E22" s="42">
        <f>IF(Triangulo2!F34=0,"-",Triangulo2!F34)</f>
        <v>21767538</v>
      </c>
      <c r="F22" s="42">
        <f>IF(Triangulo2!G34=0,"-",Triangulo2!G34)</f>
        <v>25515798</v>
      </c>
      <c r="G22" s="42">
        <f>IF(Triangulo2!H34=0,"-",Triangulo2!H34)</f>
        <v>25644750</v>
      </c>
      <c r="H22" s="37">
        <f>IF(Triangulo2!I34=0,"-",Triangulo2!I34)</f>
        <v>25593031</v>
      </c>
      <c r="I22" s="43">
        <f>H30*H22</f>
        <v>24629717.490660027</v>
      </c>
      <c r="J22" s="43">
        <f t="shared" ref="J22:Z22" si="18">I30*I22</f>
        <v>23969064.3490921</v>
      </c>
      <c r="K22" s="43">
        <f t="shared" si="18"/>
        <v>23405328.02918952</v>
      </c>
      <c r="L22" s="43">
        <f t="shared" si="18"/>
        <v>22882089.38788671</v>
      </c>
      <c r="M22" s="43">
        <f t="shared" si="18"/>
        <v>22481554.820703041</v>
      </c>
      <c r="N22" s="43">
        <f t="shared" si="18"/>
        <v>22304485.736329515</v>
      </c>
      <c r="O22" s="43">
        <f t="shared" si="18"/>
        <v>22218012.407820858</v>
      </c>
      <c r="P22" s="43">
        <f t="shared" si="18"/>
        <v>22172394.309937075</v>
      </c>
      <c r="Q22" s="43">
        <f t="shared" si="18"/>
        <v>22153637.072088722</v>
      </c>
      <c r="R22" s="43">
        <f t="shared" si="18"/>
        <v>22144551.099119175</v>
      </c>
      <c r="S22" s="43">
        <f t="shared" si="18"/>
        <v>22142153.486696552</v>
      </c>
      <c r="T22" s="43">
        <f t="shared" si="18"/>
        <v>22139583.727522768</v>
      </c>
      <c r="U22" s="43">
        <f t="shared" si="18"/>
        <v>22137414.778770328</v>
      </c>
      <c r="V22" s="43">
        <f t="shared" si="18"/>
        <v>22136763.548001707</v>
      </c>
      <c r="W22" s="43">
        <f t="shared" si="18"/>
        <v>22136632.986389913</v>
      </c>
      <c r="X22" s="43">
        <f t="shared" si="18"/>
        <v>22136660.476058591</v>
      </c>
      <c r="Y22" s="43">
        <f t="shared" si="18"/>
        <v>22136684.519550722</v>
      </c>
      <c r="Z22" s="43">
        <f t="shared" si="18"/>
        <v>22136688.326684907</v>
      </c>
      <c r="AA22" s="43">
        <f t="shared" si="5"/>
        <v>22136688.326684907</v>
      </c>
      <c r="AB22" s="39">
        <f>+H22</f>
        <v>25593031</v>
      </c>
      <c r="AC22" s="38">
        <f t="shared" si="3"/>
        <v>-3456342.6733150929</v>
      </c>
    </row>
    <row r="23" spans="1:29" ht="15" customHeight="1" x14ac:dyDescent="0.25">
      <c r="A23" s="34" t="s">
        <v>100</v>
      </c>
      <c r="B23" s="35" t="s">
        <v>28</v>
      </c>
      <c r="C23" s="36">
        <f>IF(Triangulo2!D35=0,"-",Triangulo2!D35)</f>
        <v>6691248</v>
      </c>
      <c r="D23" s="36">
        <f>IF(Triangulo2!E35=0,"-",Triangulo2!E35)</f>
        <v>11756013</v>
      </c>
      <c r="E23" s="36">
        <f>IF(Triangulo2!F35=0,"-",Triangulo2!F35)</f>
        <v>11113520</v>
      </c>
      <c r="F23" s="36">
        <f>IF(Triangulo2!G35=0,"-",Triangulo2!G35)</f>
        <v>14458725</v>
      </c>
      <c r="G23" s="37">
        <f>IF(Triangulo2!H35=0,"-",Triangulo2!H35)</f>
        <v>14275150</v>
      </c>
      <c r="H23" s="43">
        <f>G30*G23</f>
        <v>13866746.072703864</v>
      </c>
      <c r="I23" s="43">
        <f t="shared" ref="I23:Z23" si="19">H30*H23</f>
        <v>13344806.181237994</v>
      </c>
      <c r="J23" s="43">
        <f t="shared" si="19"/>
        <v>12986852.902618648</v>
      </c>
      <c r="K23" s="43">
        <f t="shared" si="19"/>
        <v>12681410.831296589</v>
      </c>
      <c r="L23" s="43">
        <f t="shared" si="19"/>
        <v>12397911.101453234</v>
      </c>
      <c r="M23" s="43">
        <f t="shared" si="19"/>
        <v>12180894.557516867</v>
      </c>
      <c r="N23" s="43">
        <f t="shared" si="19"/>
        <v>12084955.470414059</v>
      </c>
      <c r="O23" s="43">
        <f t="shared" si="19"/>
        <v>12038102.728021372</v>
      </c>
      <c r="P23" s="43">
        <f t="shared" si="19"/>
        <v>12013386.054967908</v>
      </c>
      <c r="Q23" s="43">
        <f t="shared" si="19"/>
        <v>12003223.059648268</v>
      </c>
      <c r="R23" s="43">
        <f t="shared" si="19"/>
        <v>11998300.12261935</v>
      </c>
      <c r="S23" s="43">
        <f t="shared" si="19"/>
        <v>11997001.054812755</v>
      </c>
      <c r="T23" s="43">
        <f t="shared" si="19"/>
        <v>11995608.714924181</v>
      </c>
      <c r="U23" s="43">
        <f t="shared" si="19"/>
        <v>11994433.541042088</v>
      </c>
      <c r="V23" s="43">
        <f t="shared" si="19"/>
        <v>11994080.692967813</v>
      </c>
      <c r="W23" s="43">
        <f t="shared" si="19"/>
        <v>11994009.952432329</v>
      </c>
      <c r="X23" s="43">
        <f t="shared" si="19"/>
        <v>11994024.846809441</v>
      </c>
      <c r="Y23" s="43">
        <f t="shared" si="19"/>
        <v>11994037.873988602</v>
      </c>
      <c r="Z23" s="43">
        <f t="shared" si="19"/>
        <v>11994039.936759638</v>
      </c>
      <c r="AA23" s="43">
        <f t="shared" si="5"/>
        <v>11994039.936759638</v>
      </c>
      <c r="AB23" s="39">
        <f>+G23</f>
        <v>14275150</v>
      </c>
      <c r="AC23" s="38">
        <f t="shared" si="3"/>
        <v>-2281110.0632403623</v>
      </c>
    </row>
    <row r="24" spans="1:29" ht="15" customHeight="1" x14ac:dyDescent="0.25">
      <c r="A24" s="40" t="s">
        <v>101</v>
      </c>
      <c r="B24" s="41" t="s">
        <v>29</v>
      </c>
      <c r="C24" s="42">
        <f>IF(Triangulo2!D36=0,"-",Triangulo2!D36)</f>
        <v>4191817</v>
      </c>
      <c r="D24" s="42">
        <f>IF(Triangulo2!E36=0,"-",Triangulo2!E36)</f>
        <v>9775450</v>
      </c>
      <c r="E24" s="42">
        <f>IF(Triangulo2!F36=0,"-",Triangulo2!F36)</f>
        <v>9803541</v>
      </c>
      <c r="F24" s="37">
        <f>IF(Triangulo2!G36=0,"-",Triangulo2!G36)</f>
        <v>12735195</v>
      </c>
      <c r="G24" s="43">
        <f>F30*F24</f>
        <v>12203360.662009085</v>
      </c>
      <c r="H24" s="43">
        <f t="shared" ref="H24:Z24" si="20">G30*G24</f>
        <v>11854229.450037533</v>
      </c>
      <c r="I24" s="43">
        <f t="shared" si="20"/>
        <v>11408040.041208351</v>
      </c>
      <c r="J24" s="43">
        <f t="shared" si="20"/>
        <v>11102037.445148731</v>
      </c>
      <c r="K24" s="43">
        <f t="shared" si="20"/>
        <v>10840924.969434347</v>
      </c>
      <c r="L24" s="43">
        <f t="shared" si="20"/>
        <v>10598570.286586137</v>
      </c>
      <c r="M24" s="43">
        <f t="shared" si="20"/>
        <v>10413049.913400691</v>
      </c>
      <c r="N24" s="43">
        <f t="shared" si="20"/>
        <v>10331034.713455368</v>
      </c>
      <c r="O24" s="43">
        <f t="shared" si="20"/>
        <v>10290981.830408804</v>
      </c>
      <c r="P24" s="43">
        <f t="shared" si="20"/>
        <v>10269852.351864874</v>
      </c>
      <c r="Q24" s="43">
        <f t="shared" si="20"/>
        <v>10261164.338268388</v>
      </c>
      <c r="R24" s="43">
        <f t="shared" si="20"/>
        <v>10256955.879787724</v>
      </c>
      <c r="S24" s="43">
        <f t="shared" si="20"/>
        <v>10255845.34904246</v>
      </c>
      <c r="T24" s="43">
        <f t="shared" si="20"/>
        <v>10254655.08303304</v>
      </c>
      <c r="U24" s="43">
        <f t="shared" si="20"/>
        <v>10253650.465167467</v>
      </c>
      <c r="V24" s="43">
        <f t="shared" si="20"/>
        <v>10253348.826844279</v>
      </c>
      <c r="W24" s="43">
        <f t="shared" si="20"/>
        <v>10253288.353065163</v>
      </c>
      <c r="X24" s="43">
        <f t="shared" si="20"/>
        <v>10253301.08578291</v>
      </c>
      <c r="Y24" s="43">
        <f t="shared" si="20"/>
        <v>10253312.22229396</v>
      </c>
      <c r="Z24" s="43">
        <f t="shared" si="20"/>
        <v>10253313.985689715</v>
      </c>
      <c r="AA24" s="43">
        <f t="shared" si="5"/>
        <v>10253313.985689715</v>
      </c>
      <c r="AB24" s="39">
        <f>+F24</f>
        <v>12735195</v>
      </c>
      <c r="AC24" s="38">
        <f t="shared" si="3"/>
        <v>-2481881.0143102854</v>
      </c>
    </row>
    <row r="25" spans="1:29" ht="15" customHeight="1" x14ac:dyDescent="0.25">
      <c r="A25" s="34" t="s">
        <v>102</v>
      </c>
      <c r="B25" s="35" t="s">
        <v>30</v>
      </c>
      <c r="C25" s="36">
        <f>IF(Triangulo2!D37=0,"-",Triangulo2!D37)</f>
        <v>5916671</v>
      </c>
      <c r="D25" s="36">
        <f>IF(Triangulo2!E37=0,"-",Triangulo2!E37)</f>
        <v>11716355</v>
      </c>
      <c r="E25" s="37">
        <f>IF(Triangulo2!F37=0,"-",Triangulo2!F37)</f>
        <v>11277873</v>
      </c>
      <c r="F25" s="43">
        <f>E25*E30</f>
        <v>12275328.715582781</v>
      </c>
      <c r="G25" s="43">
        <f t="shared" ref="G25:Z25" si="21">F25*F30</f>
        <v>11762698.848425439</v>
      </c>
      <c r="H25" s="43">
        <f t="shared" si="21"/>
        <v>11426174.720461901</v>
      </c>
      <c r="I25" s="43">
        <f t="shared" si="21"/>
        <v>10996097.154881652</v>
      </c>
      <c r="J25" s="43">
        <f t="shared" si="21"/>
        <v>10701144.273951793</v>
      </c>
      <c r="K25" s="43">
        <f t="shared" si="21"/>
        <v>10449460.536786113</v>
      </c>
      <c r="L25" s="43">
        <f t="shared" si="21"/>
        <v>10215857.250953224</v>
      </c>
      <c r="M25" s="43">
        <f t="shared" si="21"/>
        <v>10037035.995033</v>
      </c>
      <c r="N25" s="43">
        <f t="shared" si="21"/>
        <v>9957982.3536083438</v>
      </c>
      <c r="O25" s="43">
        <f t="shared" si="21"/>
        <v>9919375.7751143854</v>
      </c>
      <c r="P25" s="43">
        <f t="shared" si="21"/>
        <v>9899009.2793743834</v>
      </c>
      <c r="Q25" s="43">
        <f t="shared" si="21"/>
        <v>9890634.98885254</v>
      </c>
      <c r="R25" s="43">
        <f t="shared" si="21"/>
        <v>9886578.4972765539</v>
      </c>
      <c r="S25" s="43">
        <f t="shared" si="21"/>
        <v>9885508.0676563643</v>
      </c>
      <c r="T25" s="43">
        <f t="shared" si="21"/>
        <v>9884360.7820023466</v>
      </c>
      <c r="U25" s="43">
        <f t="shared" si="21"/>
        <v>9883392.4407611284</v>
      </c>
      <c r="V25" s="43">
        <f t="shared" si="21"/>
        <v>9883101.6945597269</v>
      </c>
      <c r="W25" s="43">
        <f t="shared" si="21"/>
        <v>9883043.4044811446</v>
      </c>
      <c r="X25" s="43">
        <f t="shared" si="21"/>
        <v>9883055.6774220597</v>
      </c>
      <c r="Y25" s="43">
        <f t="shared" si="21"/>
        <v>9883066.4117951002</v>
      </c>
      <c r="Z25" s="43">
        <f t="shared" si="21"/>
        <v>9883068.1115148552</v>
      </c>
      <c r="AA25" s="43">
        <f t="shared" si="5"/>
        <v>9883068.1115148552</v>
      </c>
      <c r="AB25" s="39">
        <f>+E25</f>
        <v>11277873</v>
      </c>
      <c r="AC25" s="38">
        <f t="shared" si="3"/>
        <v>-1394804.8884851448</v>
      </c>
    </row>
    <row r="26" spans="1:29" ht="15" customHeight="1" x14ac:dyDescent="0.25">
      <c r="A26" s="40" t="s">
        <v>103</v>
      </c>
      <c r="B26" s="41" t="s">
        <v>31</v>
      </c>
      <c r="C26" s="42">
        <f>IF(Triangulo2!D38=0,"-",Triangulo2!D38)</f>
        <v>4926500</v>
      </c>
      <c r="D26" s="37">
        <f>IF(Triangulo2!E38=0,"-",Triangulo2!E38)</f>
        <v>9321834</v>
      </c>
      <c r="E26" s="43">
        <f>D26*D30</f>
        <v>8774273.2899707109</v>
      </c>
      <c r="F26" s="43">
        <f t="shared" ref="F26:Z26" si="22">E26*E30</f>
        <v>9550301.6282191221</v>
      </c>
      <c r="G26" s="43">
        <f t="shared" si="22"/>
        <v>9151471.5872140583</v>
      </c>
      <c r="H26" s="43">
        <f t="shared" si="22"/>
        <v>8889653.1869340464</v>
      </c>
      <c r="I26" s="43">
        <f t="shared" si="22"/>
        <v>8555049.481404962</v>
      </c>
      <c r="J26" s="43">
        <f t="shared" si="22"/>
        <v>8325573.8360467656</v>
      </c>
      <c r="K26" s="43">
        <f t="shared" si="22"/>
        <v>8129761.9225296658</v>
      </c>
      <c r="L26" s="43">
        <f t="shared" si="22"/>
        <v>7948016.7413831046</v>
      </c>
      <c r="M26" s="43">
        <f t="shared" si="22"/>
        <v>7808892.4074329147</v>
      </c>
      <c r="N26" s="43">
        <f t="shared" si="22"/>
        <v>7747388.0568849621</v>
      </c>
      <c r="O26" s="43">
        <f t="shared" si="22"/>
        <v>7717351.8372452576</v>
      </c>
      <c r="P26" s="43">
        <f t="shared" si="22"/>
        <v>7701506.5444687027</v>
      </c>
      <c r="Q26" s="43">
        <f t="shared" si="22"/>
        <v>7694991.2810277808</v>
      </c>
      <c r="R26" s="43">
        <f t="shared" si="22"/>
        <v>7691835.2988947881</v>
      </c>
      <c r="S26" s="43">
        <f t="shared" si="22"/>
        <v>7691002.496288728</v>
      </c>
      <c r="T26" s="43">
        <f t="shared" si="22"/>
        <v>7690109.8990879953</v>
      </c>
      <c r="U26" s="43">
        <f t="shared" si="22"/>
        <v>7689356.5220382269</v>
      </c>
      <c r="V26" s="43">
        <f t="shared" si="22"/>
        <v>7689130.3192224018</v>
      </c>
      <c r="W26" s="43">
        <f t="shared" si="22"/>
        <v>7689084.9690859374</v>
      </c>
      <c r="X26" s="43">
        <f t="shared" si="22"/>
        <v>7689094.5175298387</v>
      </c>
      <c r="Y26" s="43">
        <f t="shared" si="22"/>
        <v>7689102.8689559149</v>
      </c>
      <c r="Z26" s="43">
        <f t="shared" si="22"/>
        <v>7689104.1913511623</v>
      </c>
      <c r="AA26" s="43">
        <f t="shared" si="5"/>
        <v>7689104.1913511623</v>
      </c>
      <c r="AB26" s="39">
        <f>+D26</f>
        <v>9321834</v>
      </c>
      <c r="AC26" s="38">
        <f>AA26-AB26</f>
        <v>-1632729.8086488377</v>
      </c>
    </row>
    <row r="27" spans="1:29" ht="15" customHeight="1" x14ac:dyDescent="0.25">
      <c r="A27" s="34" t="s">
        <v>104</v>
      </c>
      <c r="B27" s="35" t="s">
        <v>32</v>
      </c>
      <c r="C27" s="49">
        <f>IF(Triangulo2!D39=0,"-",Triangulo2!D39)</f>
        <v>5149958</v>
      </c>
      <c r="D27" s="50">
        <f>C27*C30</f>
        <v>8420852.1216109749</v>
      </c>
      <c r="E27" s="50">
        <f t="shared" ref="E27:Z27" si="23">D27*D30</f>
        <v>7926214.7179883663</v>
      </c>
      <c r="F27" s="50">
        <f t="shared" si="23"/>
        <v>8627237.7010804657</v>
      </c>
      <c r="G27" s="50">
        <f t="shared" si="23"/>
        <v>8266955.7225599652</v>
      </c>
      <c r="H27" s="50">
        <f t="shared" si="23"/>
        <v>8030442.8183959639</v>
      </c>
      <c r="I27" s="50">
        <f t="shared" si="23"/>
        <v>7728179.5166032612</v>
      </c>
      <c r="J27" s="50">
        <f t="shared" si="23"/>
        <v>7520883.3477299884</v>
      </c>
      <c r="K27" s="50">
        <f t="shared" si="23"/>
        <v>7343997.2148748897</v>
      </c>
      <c r="L27" s="50">
        <f t="shared" si="23"/>
        <v>7179818.2245334405</v>
      </c>
      <c r="M27" s="50">
        <f t="shared" si="23"/>
        <v>7054140.6547856666</v>
      </c>
      <c r="N27" s="50">
        <f t="shared" si="23"/>
        <v>6998580.8753688661</v>
      </c>
      <c r="O27" s="50">
        <f t="shared" si="23"/>
        <v>6971447.7421379825</v>
      </c>
      <c r="P27" s="50">
        <f t="shared" si="23"/>
        <v>6957133.9421609612</v>
      </c>
      <c r="Q27" s="50">
        <f t="shared" si="23"/>
        <v>6951248.3975385893</v>
      </c>
      <c r="R27" s="50">
        <f t="shared" si="23"/>
        <v>6948397.4500919413</v>
      </c>
      <c r="S27" s="50">
        <f t="shared" si="23"/>
        <v>6947645.1402361635</v>
      </c>
      <c r="T27" s="50">
        <f t="shared" si="23"/>
        <v>6946838.8151040561</v>
      </c>
      <c r="U27" s="50">
        <f t="shared" si="23"/>
        <v>6946158.2540977225</v>
      </c>
      <c r="V27" s="50">
        <f t="shared" si="23"/>
        <v>6945953.9144300614</v>
      </c>
      <c r="W27" s="50">
        <f t="shared" si="23"/>
        <v>6945912.947513802</v>
      </c>
      <c r="X27" s="50">
        <f t="shared" si="23"/>
        <v>6945921.5730733303</v>
      </c>
      <c r="Y27" s="50">
        <f t="shared" si="23"/>
        <v>6945929.117310225</v>
      </c>
      <c r="Z27" s="50">
        <f t="shared" si="23"/>
        <v>6945930.3118921947</v>
      </c>
      <c r="AA27" s="43">
        <f t="shared" si="5"/>
        <v>6945930.3118921947</v>
      </c>
      <c r="AB27" s="39">
        <f>+C27</f>
        <v>5149958</v>
      </c>
      <c r="AC27" s="38">
        <f>AA27-AB27</f>
        <v>1795972.3118921947</v>
      </c>
    </row>
    <row r="28" spans="1:29" ht="15" customHeight="1" x14ac:dyDescent="0.25">
      <c r="A28" s="44" t="s">
        <v>105</v>
      </c>
      <c r="B28" s="48"/>
      <c r="C28" s="53">
        <f>SUM(D4:D26)</f>
        <v>206842466</v>
      </c>
      <c r="D28" s="53">
        <f>SUM(E4:E25)</f>
        <v>185918351</v>
      </c>
      <c r="E28" s="53">
        <f>SUM(F4:F24)</f>
        <v>190086311</v>
      </c>
      <c r="F28" s="53">
        <f>SUM(G4:G23)</f>
        <v>169944758</v>
      </c>
      <c r="G28" s="53">
        <f>SUM(H4:H22)</f>
        <v>151215989</v>
      </c>
      <c r="H28" s="53">
        <f>SUM(I4:I21)</f>
        <v>120894550</v>
      </c>
      <c r="I28" s="53">
        <f>SUM(J4:J20)</f>
        <v>107366603</v>
      </c>
      <c r="J28" s="53">
        <f>SUM(K4:K19)</f>
        <v>92710889</v>
      </c>
      <c r="K28" s="53">
        <f>SUM(L4:L18)</f>
        <v>77565604</v>
      </c>
      <c r="L28" s="53">
        <f>SUM(M4:M17)</f>
        <v>73778039</v>
      </c>
      <c r="M28" s="53">
        <f>SUM(N4:N16)</f>
        <v>68065878</v>
      </c>
      <c r="N28" s="53">
        <f>SUM(O4:O15)</f>
        <v>61979882</v>
      </c>
      <c r="O28" s="53">
        <f>SUM(P4:P14)</f>
        <v>54600704</v>
      </c>
      <c r="P28" s="53">
        <f>SUM(Q4:Q13)</f>
        <v>50273485</v>
      </c>
      <c r="Q28" s="53">
        <f>SUM(R4:R12)</f>
        <v>45900239</v>
      </c>
      <c r="R28" s="53">
        <f>SUM(S4:S11)</f>
        <v>39858625</v>
      </c>
      <c r="S28" s="53">
        <f>SUM(T4:T10)</f>
        <v>33315873</v>
      </c>
      <c r="T28" s="53">
        <f>SUM(U4:U9)</f>
        <v>30670587</v>
      </c>
      <c r="U28" s="53">
        <f>SUM(V4:V8)</f>
        <v>28179530</v>
      </c>
      <c r="V28" s="53">
        <f>SUM(W4:W7)</f>
        <v>23567356</v>
      </c>
      <c r="W28" s="53">
        <f>SUM(X4:X6)</f>
        <v>18521256</v>
      </c>
      <c r="X28" s="53">
        <f>SUM(Y4:Y5)</f>
        <v>13810401</v>
      </c>
      <c r="Y28" s="53">
        <f>SUM(Z4)</f>
        <v>5814528</v>
      </c>
      <c r="Z28" s="53"/>
      <c r="AA28" s="43"/>
      <c r="AB28" s="39"/>
      <c r="AC28" s="38"/>
    </row>
    <row r="29" spans="1:29" ht="15" customHeight="1" x14ac:dyDescent="0.25">
      <c r="A29" s="46" t="s">
        <v>106</v>
      </c>
      <c r="B29" s="47"/>
      <c r="C29" s="51">
        <f>SUM(C4:C26)</f>
        <v>126499076</v>
      </c>
      <c r="D29" s="51">
        <f>SUM(D4:D25)</f>
        <v>197520632</v>
      </c>
      <c r="E29" s="51">
        <f>SUM(E4:E24)</f>
        <v>174640478</v>
      </c>
      <c r="F29" s="51">
        <f>SUM(F4:F23)</f>
        <v>177351116</v>
      </c>
      <c r="G29" s="51">
        <f>SUM(G4:G22)</f>
        <v>155669608</v>
      </c>
      <c r="H29" s="51">
        <f>SUM(H4:H21)</f>
        <v>125622958</v>
      </c>
      <c r="I29" s="51">
        <f>SUM(I4:I20)</f>
        <v>110325921</v>
      </c>
      <c r="J29" s="51">
        <f>SUM(J4:J19)</f>
        <v>94943906</v>
      </c>
      <c r="K29" s="51">
        <f>SUM(K4:K18)</f>
        <v>79339276</v>
      </c>
      <c r="L29" s="51">
        <f>SUM(L4:L17)</f>
        <v>75092479</v>
      </c>
      <c r="M29" s="51">
        <f>SUM(M4:M16)</f>
        <v>68606234</v>
      </c>
      <c r="N29" s="51">
        <f>SUM(N4:N15)</f>
        <v>62221110</v>
      </c>
      <c r="O29" s="51">
        <f>SUM(O4:O14)</f>
        <v>54713041</v>
      </c>
      <c r="P29" s="51">
        <f>SUM(P4:P13)</f>
        <v>50316051</v>
      </c>
      <c r="Q29" s="51">
        <f>SUM(Q4:Q12)</f>
        <v>45919072</v>
      </c>
      <c r="R29" s="51">
        <f>SUM(R4:R11)</f>
        <v>39862941</v>
      </c>
      <c r="S29" s="51">
        <f>SUM(S4:S10)</f>
        <v>33319740</v>
      </c>
      <c r="T29" s="51">
        <f>SUM(T4:T9)</f>
        <v>30673592</v>
      </c>
      <c r="U29" s="51">
        <f>SUM(U4:U8)</f>
        <v>28180359</v>
      </c>
      <c r="V29" s="51">
        <f>SUM(V4:V7)</f>
        <v>23567495</v>
      </c>
      <c r="W29" s="51">
        <f>SUM(W4:W6)</f>
        <v>18521233</v>
      </c>
      <c r="X29" s="51">
        <f>SUM(X4:X5)</f>
        <v>13810386</v>
      </c>
      <c r="Y29" s="51">
        <f>SUM(Y4)</f>
        <v>5814527</v>
      </c>
      <c r="Z29" s="51"/>
      <c r="AA29" s="43"/>
      <c r="AB29" s="39"/>
      <c r="AC29" s="38"/>
    </row>
    <row r="30" spans="1:29" ht="15" customHeight="1" x14ac:dyDescent="0.25">
      <c r="A30" s="46" t="s">
        <v>50</v>
      </c>
      <c r="B30" s="47"/>
      <c r="C30" s="52">
        <f>C28/C29</f>
        <v>1.6351302518604958</v>
      </c>
      <c r="D30" s="52">
        <f t="shared" ref="D30:Y30" si="24">D28/D29</f>
        <v>0.94126040969735247</v>
      </c>
      <c r="E30" s="52">
        <f t="shared" si="24"/>
        <v>1.0884436024047071</v>
      </c>
      <c r="F30" s="52">
        <f t="shared" si="24"/>
        <v>0.95823901102488696</v>
      </c>
      <c r="G30" s="52">
        <f t="shared" si="24"/>
        <v>0.97139056841461313</v>
      </c>
      <c r="H30" s="52">
        <f t="shared" si="24"/>
        <v>0.96236031952057677</v>
      </c>
      <c r="I30" s="52">
        <f>I28/I29</f>
        <v>0.97317658467587143</v>
      </c>
      <c r="J30" s="52">
        <f t="shared" si="24"/>
        <v>0.9764806705972261</v>
      </c>
      <c r="K30" s="52">
        <f t="shared" si="24"/>
        <v>0.9776444645146497</v>
      </c>
      <c r="L30" s="52">
        <f t="shared" si="24"/>
        <v>0.98249571704777516</v>
      </c>
      <c r="M30" s="52">
        <f t="shared" si="24"/>
        <v>0.99212380612525675</v>
      </c>
      <c r="N30" s="52">
        <f t="shared" si="24"/>
        <v>0.99612305212812824</v>
      </c>
      <c r="O30" s="52">
        <f t="shared" si="24"/>
        <v>0.99794679663300012</v>
      </c>
      <c r="P30" s="52">
        <f t="shared" si="24"/>
        <v>0.99915402740966297</v>
      </c>
      <c r="Q30" s="52">
        <f t="shared" si="24"/>
        <v>0.99958986540494543</v>
      </c>
      <c r="R30" s="52">
        <f t="shared" si="24"/>
        <v>0.99989172901216694</v>
      </c>
      <c r="S30" s="52">
        <f t="shared" si="24"/>
        <v>0.99988394267182157</v>
      </c>
      <c r="T30" s="52">
        <f t="shared" si="24"/>
        <v>0.99990203299307101</v>
      </c>
      <c r="U30" s="52">
        <f t="shared" si="24"/>
        <v>0.99997058234779768</v>
      </c>
      <c r="V30" s="52">
        <f t="shared" si="24"/>
        <v>0.99999410204605965</v>
      </c>
      <c r="W30" s="52">
        <f t="shared" si="24"/>
        <v>1.0000012418179718</v>
      </c>
      <c r="X30" s="52">
        <f t="shared" si="24"/>
        <v>1.000001086139084</v>
      </c>
      <c r="Y30" s="52">
        <f t="shared" si="24"/>
        <v>1.0000001719830349</v>
      </c>
      <c r="Z30" s="52">
        <v>1</v>
      </c>
      <c r="AA30" s="43"/>
      <c r="AB30" s="39"/>
      <c r="AC30" s="38"/>
    </row>
    <row r="31" spans="1:29" ht="15" customHeight="1" x14ac:dyDescent="0.25">
      <c r="A31" s="157" t="s">
        <v>151</v>
      </c>
      <c r="B31" s="157"/>
      <c r="C31" s="81">
        <f>+C30*D31</f>
        <v>1.3487353318011903</v>
      </c>
      <c r="D31" s="81">
        <f t="shared" ref="D31:X31" si="25">+D30*E31</f>
        <v>0.82484886464950569</v>
      </c>
      <c r="E31" s="81">
        <f t="shared" si="25"/>
        <v>0.87632376348934393</v>
      </c>
      <c r="F31" s="81">
        <f t="shared" si="25"/>
        <v>0.8051163712600955</v>
      </c>
      <c r="G31" s="81">
        <f t="shared" si="25"/>
        <v>0.84020412652473964</v>
      </c>
      <c r="H31" s="81">
        <f t="shared" si="25"/>
        <v>0.86494985008555292</v>
      </c>
      <c r="I31" s="81">
        <f t="shared" si="25"/>
        <v>0.89877962810899015</v>
      </c>
      <c r="J31" s="81">
        <f t="shared" si="25"/>
        <v>0.92355245929837071</v>
      </c>
      <c r="K31" s="81">
        <f t="shared" si="25"/>
        <v>0.94579696977874239</v>
      </c>
      <c r="L31" s="81">
        <f t="shared" si="25"/>
        <v>0.9674242570874495</v>
      </c>
      <c r="M31" s="81">
        <f t="shared" si="25"/>
        <v>0.98466002477281767</v>
      </c>
      <c r="N31" s="81">
        <f t="shared" si="25"/>
        <v>0.9924769657714505</v>
      </c>
      <c r="O31" s="81">
        <f t="shared" si="25"/>
        <v>0.99633972293996387</v>
      </c>
      <c r="P31" s="81">
        <f t="shared" si="25"/>
        <v>0.99838961986905672</v>
      </c>
      <c r="Q31" s="81">
        <f t="shared" si="25"/>
        <v>0.99923494524404011</v>
      </c>
      <c r="R31" s="81">
        <f t="shared" si="25"/>
        <v>0.99964493421433243</v>
      </c>
      <c r="S31" s="81">
        <f>+S30*T31</f>
        <v>0.99975317847855549</v>
      </c>
      <c r="T31" s="81">
        <f>+T30*U31</f>
        <v>0.99986922062882955</v>
      </c>
      <c r="U31" s="81">
        <f t="shared" si="25"/>
        <v>0.99996718442091448</v>
      </c>
      <c r="V31" s="81">
        <f t="shared" si="25"/>
        <v>0.99999660197315487</v>
      </c>
      <c r="W31" s="81">
        <f t="shared" si="25"/>
        <v>1.0000024999418398</v>
      </c>
      <c r="X31" s="81">
        <f t="shared" si="25"/>
        <v>1.0000012581223057</v>
      </c>
      <c r="Y31" s="81">
        <f>+Y30*Z31</f>
        <v>1.0000001719830349</v>
      </c>
      <c r="Z31" s="81">
        <v>1</v>
      </c>
      <c r="AA31" s="43"/>
      <c r="AB31" s="39"/>
      <c r="AC31" s="38"/>
    </row>
    <row r="32" spans="1:29" ht="15" customHeight="1" x14ac:dyDescent="0.25">
      <c r="A32" s="157" t="s">
        <v>152</v>
      </c>
      <c r="B32" s="157"/>
      <c r="C32" s="64">
        <f>1/C31</f>
        <v>0.74143531085860548</v>
      </c>
      <c r="D32" s="64">
        <f t="shared" ref="D32:Y32" si="26">1/D31</f>
        <v>1.2123433065824967</v>
      </c>
      <c r="E32" s="64">
        <f t="shared" si="26"/>
        <v>1.1411307574476839</v>
      </c>
      <c r="F32" s="64">
        <f t="shared" si="26"/>
        <v>1.2420564724511691</v>
      </c>
      <c r="G32" s="64">
        <f t="shared" si="26"/>
        <v>1.1901869657986679</v>
      </c>
      <c r="H32" s="64">
        <f t="shared" si="26"/>
        <v>1.1561363932268318</v>
      </c>
      <c r="I32" s="64">
        <f t="shared" si="26"/>
        <v>1.112619788795141</v>
      </c>
      <c r="J32" s="64">
        <f t="shared" si="26"/>
        <v>1.0827755261024448</v>
      </c>
      <c r="K32" s="64">
        <f t="shared" si="26"/>
        <v>1.0573093718347795</v>
      </c>
      <c r="L32" s="64">
        <f t="shared" si="26"/>
        <v>1.0336726546537336</v>
      </c>
      <c r="M32" s="64">
        <f t="shared" si="26"/>
        <v>1.0155789560266972</v>
      </c>
      <c r="N32" s="64">
        <f t="shared" si="26"/>
        <v>1.0075800592739217</v>
      </c>
      <c r="O32" s="64">
        <f t="shared" si="26"/>
        <v>1.0036737239073792</v>
      </c>
      <c r="P32" s="64">
        <f t="shared" si="26"/>
        <v>1.0016129776380833</v>
      </c>
      <c r="Q32" s="64">
        <f t="shared" si="26"/>
        <v>1.0007656405128755</v>
      </c>
      <c r="R32" s="64">
        <f t="shared" si="26"/>
        <v>1.0003551919021594</v>
      </c>
      <c r="S32" s="64">
        <f t="shared" si="26"/>
        <v>1.0002468824573483</v>
      </c>
      <c r="T32" s="64">
        <f t="shared" si="26"/>
        <v>1.0001307964766515</v>
      </c>
      <c r="U32" s="64">
        <f t="shared" si="26"/>
        <v>1.0000328166559831</v>
      </c>
      <c r="V32" s="64">
        <f t="shared" si="26"/>
        <v>1.0000033980383918</v>
      </c>
      <c r="W32" s="64">
        <f t="shared" si="26"/>
        <v>0.99999750006440991</v>
      </c>
      <c r="X32" s="64">
        <f t="shared" si="26"/>
        <v>0.99999874187927718</v>
      </c>
      <c r="Y32" s="64">
        <f t="shared" si="26"/>
        <v>0.99999982801699461</v>
      </c>
      <c r="Z32" s="64">
        <v>1</v>
      </c>
      <c r="AA32" s="43"/>
      <c r="AB32" s="39"/>
      <c r="AC32" s="38"/>
    </row>
    <row r="33" spans="1:29" ht="19.5" customHeight="1" x14ac:dyDescent="0.25">
      <c r="A33" s="158" t="s">
        <v>150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60"/>
      <c r="AA33" s="45">
        <f>+SUM(AA4:AA27)</f>
        <v>177559703.55329624</v>
      </c>
      <c r="AB33" s="45">
        <f>+SUM(AB4:AB27)</f>
        <v>189999707</v>
      </c>
      <c r="AC33" s="45">
        <f>SUM(AC4:AC28)</f>
        <v>-12440003.44670379</v>
      </c>
    </row>
  </sheetData>
  <mergeCells count="5">
    <mergeCell ref="A1:AC1"/>
    <mergeCell ref="A2:AC2"/>
    <mergeCell ref="A31:B31"/>
    <mergeCell ref="A32:B32"/>
    <mergeCell ref="A33:Z33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8007-2B3D-407E-82AE-F6DF57EE5081}">
  <dimension ref="A3:K32"/>
  <sheetViews>
    <sheetView topLeftCell="A12" workbookViewId="0">
      <selection activeCell="C31" sqref="C31"/>
    </sheetView>
  </sheetViews>
  <sheetFormatPr baseColWidth="10" defaultRowHeight="15" x14ac:dyDescent="0.25"/>
  <cols>
    <col min="1" max="1" width="12" bestFit="1" customWidth="1"/>
    <col min="3" max="4" width="12.42578125" bestFit="1" customWidth="1"/>
    <col min="7" max="7" width="12.42578125" bestFit="1" customWidth="1"/>
    <col min="8" max="8" width="12.28515625" customWidth="1"/>
    <col min="9" max="9" width="12.42578125" bestFit="1" customWidth="1"/>
    <col min="10" max="10" width="20.42578125" customWidth="1"/>
    <col min="11" max="11" width="15.42578125" bestFit="1" customWidth="1"/>
    <col min="13" max="13" width="27.42578125" customWidth="1"/>
  </cols>
  <sheetData>
    <row r="3" spans="1:11" ht="15.75" thickBot="1" x14ac:dyDescent="0.3"/>
    <row r="4" spans="1:11" ht="15.75" thickBot="1" x14ac:dyDescent="0.3">
      <c r="A4" s="56" t="s">
        <v>138</v>
      </c>
      <c r="B4" s="57">
        <v>0.55000000000000004</v>
      </c>
    </row>
    <row r="7" spans="1:11" ht="33.75" x14ac:dyDescent="0.25">
      <c r="A7" s="54" t="s">
        <v>53</v>
      </c>
      <c r="B7" s="54" t="s">
        <v>54</v>
      </c>
      <c r="C7" s="54" t="s">
        <v>107</v>
      </c>
      <c r="D7" s="54" t="s">
        <v>108</v>
      </c>
      <c r="E7" s="54" t="s">
        <v>109</v>
      </c>
      <c r="F7" s="54" t="s">
        <v>110</v>
      </c>
      <c r="G7" s="54" t="s">
        <v>111</v>
      </c>
      <c r="H7" s="54" t="s">
        <v>112</v>
      </c>
      <c r="I7" s="54" t="s">
        <v>113</v>
      </c>
    </row>
    <row r="8" spans="1:11" x14ac:dyDescent="0.25">
      <c r="A8" s="59" t="s">
        <v>114</v>
      </c>
      <c r="B8" s="61" t="s">
        <v>8</v>
      </c>
      <c r="C8" s="62">
        <f>+Triangulo2!E78</f>
        <v>5814528</v>
      </c>
      <c r="D8" s="63">
        <f>+Triangulo2!D78</f>
        <v>20213006.09090909</v>
      </c>
      <c r="E8" s="64">
        <v>1</v>
      </c>
      <c r="F8" s="65">
        <f>1-E8</f>
        <v>0</v>
      </c>
      <c r="G8" s="66">
        <f>+$B$4*D8</f>
        <v>11117153.35</v>
      </c>
      <c r="H8" s="67">
        <f>+G8*F8</f>
        <v>0</v>
      </c>
      <c r="I8" s="68">
        <f>+H8+C8</f>
        <v>5814528</v>
      </c>
    </row>
    <row r="9" spans="1:11" x14ac:dyDescent="0.25">
      <c r="A9" s="60" t="s">
        <v>115</v>
      </c>
      <c r="B9" s="69" t="s">
        <v>9</v>
      </c>
      <c r="C9" s="62">
        <f>+Triangulo2!E79</f>
        <v>7995874</v>
      </c>
      <c r="D9" s="63">
        <f>+Triangulo2!D79</f>
        <v>22641631.727272727</v>
      </c>
      <c r="E9" s="64">
        <f>+'2_CL'!Y32</f>
        <v>0.99999982801699461</v>
      </c>
      <c r="F9" s="65">
        <f>1-E9</f>
        <v>1.7198300539256195E-7</v>
      </c>
      <c r="G9" s="66">
        <f t="shared" ref="G9:G31" si="0">+$B$4*D9</f>
        <v>12452897.450000001</v>
      </c>
      <c r="H9" s="67">
        <f>+G9*F9</f>
        <v>2.1416867292963713</v>
      </c>
      <c r="I9" s="68">
        <f>+H9+C9</f>
        <v>7995876.1416867292</v>
      </c>
      <c r="J9" s="55" t="s">
        <v>10</v>
      </c>
      <c r="K9" s="55"/>
    </row>
    <row r="10" spans="1:11" x14ac:dyDescent="0.25">
      <c r="A10" s="59" t="s">
        <v>116</v>
      </c>
      <c r="B10" s="61" t="s">
        <v>11</v>
      </c>
      <c r="C10" s="62">
        <f>+Triangulo2!E80</f>
        <v>4710870</v>
      </c>
      <c r="D10" s="63">
        <f>+Triangulo2!D80</f>
        <v>19561331.18181818</v>
      </c>
      <c r="E10" s="64">
        <f>+'2_CL'!X32</f>
        <v>0.99999874187927718</v>
      </c>
      <c r="F10" s="65">
        <f t="shared" ref="F10:F31" si="1">1-E10</f>
        <v>1.2581207228246072E-6</v>
      </c>
      <c r="G10" s="66">
        <f t="shared" si="0"/>
        <v>10758732.15</v>
      </c>
      <c r="H10" s="67">
        <f>+G10*F10</f>
        <v>13.53578386923434</v>
      </c>
      <c r="I10" s="68">
        <f>+H10+C10</f>
        <v>4710883.5357838692</v>
      </c>
    </row>
    <row r="11" spans="1:11" x14ac:dyDescent="0.25">
      <c r="A11" s="60" t="s">
        <v>117</v>
      </c>
      <c r="B11" s="69" t="s">
        <v>12</v>
      </c>
      <c r="C11" s="62">
        <f>+Triangulo2!E81</f>
        <v>5046123</v>
      </c>
      <c r="D11" s="63">
        <f>+Triangulo2!D81</f>
        <v>9083808.0909090899</v>
      </c>
      <c r="E11" s="64">
        <f>+'2_CL'!W32</f>
        <v>0.99999750006440991</v>
      </c>
      <c r="F11" s="65">
        <f t="shared" si="1"/>
        <v>2.4999355900945375E-6</v>
      </c>
      <c r="G11" s="66">
        <f t="shared" si="0"/>
        <v>4996094.45</v>
      </c>
      <c r="H11" s="67">
        <f t="shared" ref="H11:H31" si="2">+G11*F11</f>
        <v>12.489914327028794</v>
      </c>
      <c r="I11" s="68">
        <f t="shared" ref="I11:I31" si="3">+H11+C11</f>
        <v>5046135.4899143269</v>
      </c>
    </row>
    <row r="12" spans="1:11" x14ac:dyDescent="0.25">
      <c r="A12" s="59" t="s">
        <v>118</v>
      </c>
      <c r="B12" s="61" t="s">
        <v>13</v>
      </c>
      <c r="C12" s="62">
        <f>+Triangulo2!E82</f>
        <v>4612035</v>
      </c>
      <c r="D12" s="63">
        <f>+Triangulo2!D82</f>
        <v>18994502.724418178</v>
      </c>
      <c r="E12" s="64">
        <f>+'2_CL'!V32</f>
        <v>1.0000033980383918</v>
      </c>
      <c r="F12" s="65">
        <f t="shared" si="1"/>
        <v>-3.398038391777547E-6</v>
      </c>
      <c r="G12" s="66">
        <f t="shared" si="0"/>
        <v>10446976.498429999</v>
      </c>
      <c r="H12" s="67">
        <f t="shared" si="2"/>
        <v>-35.499227219662899</v>
      </c>
      <c r="I12" s="68">
        <f>+H12+C12</f>
        <v>4611999.5007727807</v>
      </c>
    </row>
    <row r="13" spans="1:11" x14ac:dyDescent="0.25">
      <c r="A13" s="60" t="s">
        <v>119</v>
      </c>
      <c r="B13" s="69" t="s">
        <v>14</v>
      </c>
      <c r="C13" s="62">
        <f>+Triangulo2!E83</f>
        <v>2490228</v>
      </c>
      <c r="D13" s="63">
        <f>+Triangulo2!D83</f>
        <v>-1004591.6245076172</v>
      </c>
      <c r="E13" s="64">
        <f>+'2_CL'!U32</f>
        <v>1.0000328166559831</v>
      </c>
      <c r="F13" s="65">
        <f t="shared" si="1"/>
        <v>-3.2816655983092247E-5</v>
      </c>
      <c r="G13" s="66">
        <f t="shared" si="0"/>
        <v>-552525.39347918949</v>
      </c>
      <c r="H13" s="67">
        <f t="shared" si="2"/>
        <v>18.132035759729241</v>
      </c>
      <c r="I13" s="68">
        <f>+H13+C13</f>
        <v>2490246.1320357597</v>
      </c>
    </row>
    <row r="14" spans="1:11" x14ac:dyDescent="0.25">
      <c r="A14" s="59" t="s">
        <v>120</v>
      </c>
      <c r="B14" s="61" t="s">
        <v>15</v>
      </c>
      <c r="C14" s="62">
        <f>+Triangulo2!E84</f>
        <v>2642281</v>
      </c>
      <c r="D14" s="63">
        <f>+Triangulo2!D84</f>
        <v>-5936695.0191201437</v>
      </c>
      <c r="E14" s="64">
        <f>+'2_CL'!T32</f>
        <v>1.0001307964766515</v>
      </c>
      <c r="F14" s="65">
        <f t="shared" si="1"/>
        <v>-1.3079647665148464E-4</v>
      </c>
      <c r="G14" s="66">
        <f t="shared" si="0"/>
        <v>-3265182.2605160791</v>
      </c>
      <c r="H14" s="67">
        <f t="shared" si="2"/>
        <v>427.07433530043318</v>
      </c>
      <c r="I14" s="68">
        <f>+H14+C14</f>
        <v>2642708.0743353004</v>
      </c>
    </row>
    <row r="15" spans="1:11" x14ac:dyDescent="0.25">
      <c r="A15" s="60" t="s">
        <v>121</v>
      </c>
      <c r="B15" s="69" t="s">
        <v>16</v>
      </c>
      <c r="C15" s="62">
        <f>+Triangulo2!E85</f>
        <v>6538885</v>
      </c>
      <c r="D15" s="63">
        <f>+Triangulo2!D85</f>
        <v>4268257.6721802894</v>
      </c>
      <c r="E15" s="64">
        <f>+'2_CL'!S32</f>
        <v>1.0002468824573483</v>
      </c>
      <c r="F15" s="65">
        <f t="shared" si="1"/>
        <v>-2.4688245734827419E-4</v>
      </c>
      <c r="G15" s="66">
        <f t="shared" si="0"/>
        <v>2347541.7196991593</v>
      </c>
      <c r="H15" s="67">
        <f t="shared" si="2"/>
        <v>-579.56686848692198</v>
      </c>
      <c r="I15" s="68">
        <f t="shared" si="3"/>
        <v>6538305.4331315132</v>
      </c>
    </row>
    <row r="16" spans="1:11" x14ac:dyDescent="0.25">
      <c r="A16" s="59" t="s">
        <v>122</v>
      </c>
      <c r="B16" s="61" t="s">
        <v>17</v>
      </c>
      <c r="C16" s="62">
        <f>+Triangulo2!E86</f>
        <v>6037298</v>
      </c>
      <c r="D16" s="63">
        <f>+Triangulo2!D86</f>
        <v>16145782.499172982</v>
      </c>
      <c r="E16" s="64">
        <f>+'2_CL'!R32</f>
        <v>1.0003551919021594</v>
      </c>
      <c r="F16" s="65">
        <f t="shared" si="1"/>
        <v>-3.5519190215937968E-4</v>
      </c>
      <c r="G16" s="66">
        <f t="shared" si="0"/>
        <v>8880180.3745451402</v>
      </c>
      <c r="H16" s="67">
        <f t="shared" si="2"/>
        <v>-3154.1681587530811</v>
      </c>
      <c r="I16" s="68">
        <f t="shared" si="3"/>
        <v>6034143.8318412472</v>
      </c>
    </row>
    <row r="17" spans="1:9" x14ac:dyDescent="0.25">
      <c r="A17" s="60" t="s">
        <v>123</v>
      </c>
      <c r="B17" s="69" t="s">
        <v>18</v>
      </c>
      <c r="C17" s="62">
        <f>+Triangulo2!E87</f>
        <v>4354413</v>
      </c>
      <c r="D17" s="63">
        <f>+Triangulo2!D87</f>
        <v>16851116.636917692</v>
      </c>
      <c r="E17" s="64">
        <f>+'2_CL'!Q32</f>
        <v>1.0007656405128755</v>
      </c>
      <c r="F17" s="65">
        <f t="shared" si="1"/>
        <v>-7.656405128755317E-4</v>
      </c>
      <c r="G17" s="66">
        <f t="shared" si="0"/>
        <v>9268114.150304731</v>
      </c>
      <c r="H17" s="67">
        <f t="shared" si="2"/>
        <v>-7096.0436714282869</v>
      </c>
      <c r="I17" s="68">
        <f t="shared" si="3"/>
        <v>4347316.9563285718</v>
      </c>
    </row>
    <row r="18" spans="1:9" x14ac:dyDescent="0.25">
      <c r="A18" s="59" t="s">
        <v>124</v>
      </c>
      <c r="B18" s="61" t="s">
        <v>19</v>
      </c>
      <c r="C18" s="62">
        <f>+Triangulo2!E88</f>
        <v>4284653</v>
      </c>
      <c r="D18" s="63">
        <f>+Triangulo2!D88</f>
        <v>-4179642.7741903318</v>
      </c>
      <c r="E18" s="64">
        <f>+'2_CL'!P32</f>
        <v>1.0016129776380833</v>
      </c>
      <c r="F18" s="65">
        <f t="shared" si="1"/>
        <v>-1.6129776380833238E-3</v>
      </c>
      <c r="G18" s="66">
        <f t="shared" si="0"/>
        <v>-2298803.5258046826</v>
      </c>
      <c r="H18" s="67">
        <f t="shared" si="2"/>
        <v>3707.9186814700543</v>
      </c>
      <c r="I18" s="68">
        <f t="shared" si="3"/>
        <v>4288360.9186814697</v>
      </c>
    </row>
    <row r="19" spans="1:9" x14ac:dyDescent="0.25">
      <c r="A19" s="60" t="s">
        <v>125</v>
      </c>
      <c r="B19" s="69" t="s">
        <v>20</v>
      </c>
      <c r="C19" s="62">
        <f>+Triangulo2!E89</f>
        <v>7266841</v>
      </c>
      <c r="D19" s="63">
        <f>+Triangulo2!D89</f>
        <v>3503668.9779778551</v>
      </c>
      <c r="E19" s="64">
        <f>+'2_CL'!O32</f>
        <v>1.0036737239073792</v>
      </c>
      <c r="F19" s="65">
        <f t="shared" si="1"/>
        <v>-3.6737239073791894E-3</v>
      </c>
      <c r="G19" s="66">
        <f t="shared" si="0"/>
        <v>1927017.9378878204</v>
      </c>
      <c r="H19" s="67">
        <f t="shared" si="2"/>
        <v>-7079.3318683670313</v>
      </c>
      <c r="I19" s="68">
        <f t="shared" si="3"/>
        <v>7259761.6681316327</v>
      </c>
    </row>
    <row r="20" spans="1:9" x14ac:dyDescent="0.25">
      <c r="A20" s="59" t="s">
        <v>126</v>
      </c>
      <c r="B20" s="61" t="s">
        <v>21</v>
      </c>
      <c r="C20" s="62">
        <f>+Triangulo2!E90</f>
        <v>5844768</v>
      </c>
      <c r="D20" s="63">
        <f>+Triangulo2!D90</f>
        <v>17466795.417860202</v>
      </c>
      <c r="E20" s="64">
        <f>+'2_CL'!N32</f>
        <v>1.0075800592739217</v>
      </c>
      <c r="F20" s="65">
        <f t="shared" si="1"/>
        <v>-7.580059273921691E-3</v>
      </c>
      <c r="G20" s="66">
        <f t="shared" si="0"/>
        <v>9606737.4798231125</v>
      </c>
      <c r="H20" s="67">
        <f t="shared" si="2"/>
        <v>-72819.639526064275</v>
      </c>
      <c r="I20" s="68">
        <f t="shared" si="3"/>
        <v>5771948.3604739355</v>
      </c>
    </row>
    <row r="21" spans="1:9" x14ac:dyDescent="0.25">
      <c r="A21" s="60" t="s">
        <v>127</v>
      </c>
      <c r="B21" s="69" t="s">
        <v>22</v>
      </c>
      <c r="C21" s="62">
        <f>+Triangulo2!E91</f>
        <v>5171805</v>
      </c>
      <c r="D21" s="63">
        <f>+Triangulo2!D91</f>
        <v>15433825.712611966</v>
      </c>
      <c r="E21" s="64">
        <f>+'2_CL'!M32</f>
        <v>1.0155789560266972</v>
      </c>
      <c r="F21" s="65">
        <f t="shared" si="1"/>
        <v>-1.5578956026697233E-2</v>
      </c>
      <c r="G21" s="66">
        <f t="shared" si="0"/>
        <v>8488604.1419365816</v>
      </c>
      <c r="H21" s="67">
        <f t="shared" si="2"/>
        <v>-132243.59065527</v>
      </c>
      <c r="I21" s="68">
        <f t="shared" si="3"/>
        <v>5039561.40934473</v>
      </c>
    </row>
    <row r="22" spans="1:9" x14ac:dyDescent="0.25">
      <c r="A22" s="59" t="s">
        <v>128</v>
      </c>
      <c r="B22" s="61" t="s">
        <v>23</v>
      </c>
      <c r="C22" s="62">
        <f>+Triangulo2!E92</f>
        <v>2473125</v>
      </c>
      <c r="D22" s="63">
        <f>+Triangulo2!D92</f>
        <v>15413447.856489912</v>
      </c>
      <c r="E22" s="64">
        <f>+'2_CL'!L32</f>
        <v>1.0336726546537336</v>
      </c>
      <c r="F22" s="65">
        <f t="shared" si="1"/>
        <v>-3.3672654653733591E-2</v>
      </c>
      <c r="G22" s="66">
        <f t="shared" si="0"/>
        <v>8477396.3210694529</v>
      </c>
      <c r="H22" s="67">
        <f t="shared" si="2"/>
        <v>-285456.43868220336</v>
      </c>
      <c r="I22" s="68">
        <f t="shared" si="3"/>
        <v>2187668.5613177968</v>
      </c>
    </row>
    <row r="23" spans="1:9" x14ac:dyDescent="0.25">
      <c r="A23" s="60" t="s">
        <v>129</v>
      </c>
      <c r="B23" s="69" t="s">
        <v>24</v>
      </c>
      <c r="C23" s="62">
        <f>+Triangulo2!E93</f>
        <v>13371613</v>
      </c>
      <c r="D23" s="63">
        <f>+Triangulo2!D93</f>
        <v>19246631.966259398</v>
      </c>
      <c r="E23" s="64">
        <f>+'2_CL'!K32</f>
        <v>1.0573093718347795</v>
      </c>
      <c r="F23" s="65">
        <f t="shared" si="1"/>
        <v>-5.7309371834779466E-2</v>
      </c>
      <c r="G23" s="66">
        <f t="shared" si="0"/>
        <v>10585647.581442669</v>
      </c>
      <c r="H23" s="67">
        <f t="shared" si="2"/>
        <v>-606656.8133568319</v>
      </c>
      <c r="I23" s="68">
        <f t="shared" si="3"/>
        <v>12764956.186643168</v>
      </c>
    </row>
    <row r="24" spans="1:9" x14ac:dyDescent="0.25">
      <c r="A24" s="59" t="s">
        <v>130</v>
      </c>
      <c r="B24" s="61" t="s">
        <v>25</v>
      </c>
      <c r="C24" s="62">
        <f>+Triangulo2!E94</f>
        <v>12422697</v>
      </c>
      <c r="D24" s="63">
        <f>+Triangulo2!D94</f>
        <v>32511744.962999582</v>
      </c>
      <c r="E24" s="64">
        <f>+'2_CL'!J32</f>
        <v>1.0827755261024448</v>
      </c>
      <c r="F24" s="65">
        <f t="shared" si="1"/>
        <v>-8.2775526102444763E-2</v>
      </c>
      <c r="G24" s="66">
        <f t="shared" si="0"/>
        <v>17881459.729649771</v>
      </c>
      <c r="H24" s="67">
        <f t="shared" si="2"/>
        <v>-1480147.2366014395</v>
      </c>
      <c r="I24" s="68">
        <f t="shared" si="3"/>
        <v>10942549.76339856</v>
      </c>
    </row>
    <row r="25" spans="1:9" x14ac:dyDescent="0.25">
      <c r="A25" s="60" t="s">
        <v>131</v>
      </c>
      <c r="B25" s="69" t="s">
        <v>26</v>
      </c>
      <c r="C25" s="62">
        <f>+Triangulo2!E95</f>
        <v>10568629</v>
      </c>
      <c r="D25" s="63">
        <f>+Triangulo2!D95</f>
        <v>24625764.100566026</v>
      </c>
      <c r="E25" s="64">
        <f>+'2_CL'!I32</f>
        <v>1.112619788795141</v>
      </c>
      <c r="F25" s="65">
        <f t="shared" si="1"/>
        <v>-0.11261978879514101</v>
      </c>
      <c r="G25" s="66">
        <f t="shared" si="0"/>
        <v>13544170.255311316</v>
      </c>
      <c r="H25" s="67">
        <f t="shared" si="2"/>
        <v>-1525341.5935585916</v>
      </c>
      <c r="I25" s="68">
        <f t="shared" si="3"/>
        <v>9043287.4064414091</v>
      </c>
    </row>
    <row r="26" spans="1:9" x14ac:dyDescent="0.25">
      <c r="A26" s="59" t="s">
        <v>132</v>
      </c>
      <c r="B26" s="61" t="s">
        <v>27</v>
      </c>
      <c r="C26" s="62">
        <f>+Triangulo2!E96</f>
        <v>25593031</v>
      </c>
      <c r="D26" s="63">
        <f>+Triangulo2!D96</f>
        <v>52753853.564416327</v>
      </c>
      <c r="E26" s="64">
        <f>+'2_CL'!H32</f>
        <v>1.1561363932268318</v>
      </c>
      <c r="F26" s="65">
        <f t="shared" si="1"/>
        <v>-0.15613639322683182</v>
      </c>
      <c r="G26" s="66">
        <f t="shared" si="0"/>
        <v>29014619.460428983</v>
      </c>
      <c r="H26" s="67">
        <f t="shared" si="2"/>
        <v>-4530238.0334004266</v>
      </c>
      <c r="I26" s="68">
        <f t="shared" si="3"/>
        <v>21062792.966599572</v>
      </c>
    </row>
    <row r="27" spans="1:9" x14ac:dyDescent="0.25">
      <c r="A27" s="60" t="s">
        <v>133</v>
      </c>
      <c r="B27" s="69" t="s">
        <v>28</v>
      </c>
      <c r="C27" s="62">
        <f>+Triangulo2!E97</f>
        <v>14275150</v>
      </c>
      <c r="D27" s="63">
        <f>+Triangulo2!D97</f>
        <v>31407599.395625263</v>
      </c>
      <c r="E27" s="64">
        <f>+'2_CL'!G32</f>
        <v>1.1901869657986679</v>
      </c>
      <c r="F27" s="65">
        <f t="shared" si="1"/>
        <v>-0.1901869657986679</v>
      </c>
      <c r="G27" s="66">
        <f t="shared" si="0"/>
        <v>17274179.667593896</v>
      </c>
      <c r="H27" s="67">
        <f t="shared" si="2"/>
        <v>-3285323.8176407246</v>
      </c>
      <c r="I27" s="68">
        <f t="shared" si="3"/>
        <v>10989826.182359274</v>
      </c>
    </row>
    <row r="28" spans="1:9" x14ac:dyDescent="0.25">
      <c r="A28" s="59" t="s">
        <v>134</v>
      </c>
      <c r="B28" s="61" t="s">
        <v>29</v>
      </c>
      <c r="C28" s="62">
        <f>+Triangulo2!E98</f>
        <v>12735195</v>
      </c>
      <c r="D28" s="63">
        <f>+Triangulo2!D98</f>
        <v>30304298.832185101</v>
      </c>
      <c r="E28" s="64">
        <f>+'2_CL'!F32</f>
        <v>1.2420564724511691</v>
      </c>
      <c r="F28" s="65">
        <f t="shared" si="1"/>
        <v>-0.24205647245116912</v>
      </c>
      <c r="G28" s="66">
        <f t="shared" si="0"/>
        <v>16667364.357701806</v>
      </c>
      <c r="H28" s="67">
        <f t="shared" si="2"/>
        <v>-4034443.4214836457</v>
      </c>
      <c r="I28" s="68">
        <f t="shared" si="3"/>
        <v>8700751.5785163548</v>
      </c>
    </row>
    <row r="29" spans="1:9" x14ac:dyDescent="0.25">
      <c r="A29" s="60" t="s">
        <v>135</v>
      </c>
      <c r="B29" s="69" t="s">
        <v>30</v>
      </c>
      <c r="C29" s="62">
        <f>+Triangulo2!E99</f>
        <v>11277873</v>
      </c>
      <c r="D29" s="63">
        <f>+Triangulo2!D99</f>
        <v>11368457.883217428</v>
      </c>
      <c r="E29" s="64">
        <f>+'2_CL'!E32</f>
        <v>1.1411307574476839</v>
      </c>
      <c r="F29" s="65">
        <f t="shared" si="1"/>
        <v>-0.14113075744768389</v>
      </c>
      <c r="G29" s="66">
        <f t="shared" si="0"/>
        <v>6252651.8357695863</v>
      </c>
      <c r="H29" s="67">
        <f t="shared" si="2"/>
        <v>-882441.48963881284</v>
      </c>
      <c r="I29" s="68">
        <f t="shared" si="3"/>
        <v>10395431.510361187</v>
      </c>
    </row>
    <row r="30" spans="1:9" x14ac:dyDescent="0.25">
      <c r="A30" s="59" t="s">
        <v>136</v>
      </c>
      <c r="B30" s="61" t="s">
        <v>31</v>
      </c>
      <c r="C30" s="62">
        <f>+Triangulo2!E100</f>
        <v>9321834</v>
      </c>
      <c r="D30" s="63">
        <f>+Triangulo2!D100</f>
        <v>9631669.6535887755</v>
      </c>
      <c r="E30" s="64">
        <f>+'2_CL'!D32</f>
        <v>1.2123433065824967</v>
      </c>
      <c r="F30" s="65">
        <f t="shared" si="1"/>
        <v>-0.21234330658249667</v>
      </c>
      <c r="G30" s="66">
        <f t="shared" si="0"/>
        <v>5297418.3094738265</v>
      </c>
      <c r="H30" s="67">
        <f t="shared" si="2"/>
        <v>-1124871.3201843321</v>
      </c>
      <c r="I30" s="68">
        <f t="shared" si="3"/>
        <v>8196962.6798156677</v>
      </c>
    </row>
    <row r="31" spans="1:9" x14ac:dyDescent="0.25">
      <c r="A31" s="60" t="s">
        <v>137</v>
      </c>
      <c r="B31" s="69" t="s">
        <v>32</v>
      </c>
      <c r="C31" s="62">
        <f>+Triangulo2!E101</f>
        <v>5149958</v>
      </c>
      <c r="D31" s="63">
        <f>+Triangulo2!D101</f>
        <v>32995207.804397486</v>
      </c>
      <c r="E31" s="64">
        <f>+'2_CL'!C32</f>
        <v>0.74143531085860548</v>
      </c>
      <c r="F31" s="65">
        <f t="shared" si="1"/>
        <v>0.25856468914139452</v>
      </c>
      <c r="G31" s="66">
        <f t="shared" si="0"/>
        <v>18147364.292418618</v>
      </c>
      <c r="H31" s="67">
        <f t="shared" si="2"/>
        <v>4692267.6070048632</v>
      </c>
      <c r="I31" s="68">
        <f t="shared" si="3"/>
        <v>9842225.6070048623</v>
      </c>
    </row>
    <row r="32" spans="1:9" x14ac:dyDescent="0.25">
      <c r="A32" s="161" t="s">
        <v>139</v>
      </c>
      <c r="B32" s="161"/>
      <c r="C32" s="161"/>
      <c r="D32" s="161"/>
      <c r="E32" s="161"/>
      <c r="F32" s="161"/>
      <c r="G32" s="161"/>
      <c r="H32" s="70">
        <f>SUM(H8:H31)</f>
        <v>-13281479.105080277</v>
      </c>
      <c r="I32" s="70">
        <f>SUM(I8:I31)</f>
        <v>176718227.89491972</v>
      </c>
    </row>
  </sheetData>
  <mergeCells count="1">
    <mergeCell ref="A32:G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6434-3A96-40C7-87AF-87D2E355631A}">
  <dimension ref="A1:I32"/>
  <sheetViews>
    <sheetView topLeftCell="A12" workbookViewId="0">
      <selection activeCell="C17" sqref="C17"/>
    </sheetView>
  </sheetViews>
  <sheetFormatPr baseColWidth="10" defaultRowHeight="15" x14ac:dyDescent="0.25"/>
  <cols>
    <col min="2" max="2" width="7.28515625" bestFit="1" customWidth="1"/>
  </cols>
  <sheetData>
    <row r="1" spans="1:9" x14ac:dyDescent="0.25">
      <c r="A1" s="162" t="s">
        <v>140</v>
      </c>
      <c r="B1" s="162"/>
      <c r="C1" s="162"/>
      <c r="D1" s="162"/>
      <c r="E1" s="162"/>
      <c r="F1" s="162"/>
      <c r="G1" s="162"/>
      <c r="H1" s="162"/>
      <c r="I1" s="162"/>
    </row>
    <row r="2" spans="1:9" x14ac:dyDescent="0.25">
      <c r="A2" s="163" t="s">
        <v>141</v>
      </c>
      <c r="B2" s="163"/>
      <c r="C2" s="163"/>
      <c r="D2" s="163"/>
      <c r="E2" s="163"/>
      <c r="F2" s="163"/>
      <c r="G2" s="163"/>
      <c r="H2" s="163"/>
      <c r="I2" s="163"/>
    </row>
    <row r="3" spans="1:9" ht="15.75" thickBot="1" x14ac:dyDescent="0.3"/>
    <row r="4" spans="1:9" ht="15.75" thickBot="1" x14ac:dyDescent="0.3">
      <c r="A4" s="71" t="s">
        <v>142</v>
      </c>
      <c r="B4" s="72">
        <f>SUM(C8:C31)/SUM(G8:G31)</f>
        <v>0.43433506293343233</v>
      </c>
      <c r="C4" s="73" t="s">
        <v>143</v>
      </c>
    </row>
    <row r="7" spans="1:9" ht="33.75" x14ac:dyDescent="0.25">
      <c r="A7" s="74" t="s">
        <v>53</v>
      </c>
      <c r="B7" s="74" t="s">
        <v>54</v>
      </c>
      <c r="C7" s="74" t="s">
        <v>144</v>
      </c>
      <c r="D7" s="74" t="s">
        <v>108</v>
      </c>
      <c r="E7" s="74" t="s">
        <v>145</v>
      </c>
      <c r="F7" s="74" t="s">
        <v>146</v>
      </c>
      <c r="G7" s="74" t="s">
        <v>147</v>
      </c>
      <c r="H7" s="74" t="s">
        <v>148</v>
      </c>
      <c r="I7" s="74" t="s">
        <v>149</v>
      </c>
    </row>
    <row r="8" spans="1:9" x14ac:dyDescent="0.25">
      <c r="A8" s="75" t="str">
        <f>+'1_BF'!A8</f>
        <v>AO001</v>
      </c>
      <c r="B8" s="76" t="str">
        <f>+'1_BF'!B8</f>
        <v>1Q19</v>
      </c>
      <c r="C8" s="62">
        <f>+'2_BF'!C8</f>
        <v>5814528</v>
      </c>
      <c r="D8" s="77">
        <f>+'2_BF'!D8</f>
        <v>20213006.09090909</v>
      </c>
      <c r="E8" s="64">
        <f>+'2_BF'!E8</f>
        <v>1</v>
      </c>
      <c r="F8" s="65">
        <f>1-E8</f>
        <v>0</v>
      </c>
      <c r="G8" s="77">
        <f>D8*E8</f>
        <v>20213006.09090909</v>
      </c>
      <c r="H8" s="67">
        <f>D8*F8*$B$4</f>
        <v>0</v>
      </c>
      <c r="I8" s="68">
        <f>C8+H8</f>
        <v>5814528</v>
      </c>
    </row>
    <row r="9" spans="1:9" x14ac:dyDescent="0.25">
      <c r="A9" s="78" t="str">
        <f>+'1_BF'!A9</f>
        <v>AO002</v>
      </c>
      <c r="B9" s="69" t="str">
        <f>+'1_BF'!B9</f>
        <v>2Q19</v>
      </c>
      <c r="C9" s="62">
        <f>+'2_BF'!C9</f>
        <v>7995874</v>
      </c>
      <c r="D9" s="77">
        <f>+'2_BF'!D9</f>
        <v>22641631.727272727</v>
      </c>
      <c r="E9" s="64">
        <f>+'2_BF'!E9</f>
        <v>0.99999982801699461</v>
      </c>
      <c r="F9" s="65">
        <f t="shared" ref="F9:F31" si="0">1-E9</f>
        <v>1.7198300539256195E-7</v>
      </c>
      <c r="G9" s="77">
        <f t="shared" ref="G9:G31" si="1">D9*E9</f>
        <v>22641627.833296854</v>
      </c>
      <c r="H9" s="67">
        <f t="shared" ref="H9:H31" si="2">D9*F9*$B$4</f>
        <v>1.6912902551866109</v>
      </c>
      <c r="I9" s="68">
        <f t="shared" ref="I9:I31" si="3">C9+H9</f>
        <v>7995875.6912902556</v>
      </c>
    </row>
    <row r="10" spans="1:9" x14ac:dyDescent="0.25">
      <c r="A10" s="75" t="str">
        <f>+'1_BF'!A10</f>
        <v>AO003</v>
      </c>
      <c r="B10" s="76" t="str">
        <f>+'1_BF'!B10</f>
        <v>3Q19</v>
      </c>
      <c r="C10" s="62">
        <f>+'2_BF'!C10</f>
        <v>4710870</v>
      </c>
      <c r="D10" s="77">
        <f>+'2_BF'!D10</f>
        <v>19561331.18181818</v>
      </c>
      <c r="E10" s="64">
        <f>+'2_BF'!E10</f>
        <v>0.99999874187927718</v>
      </c>
      <c r="F10" s="65">
        <f t="shared" si="0"/>
        <v>1.2581207228246072E-6</v>
      </c>
      <c r="G10" s="77">
        <f t="shared" si="1"/>
        <v>19561306.571302053</v>
      </c>
      <c r="H10" s="67">
        <f t="shared" si="2"/>
        <v>10.689210070358609</v>
      </c>
      <c r="I10" s="68">
        <f t="shared" si="3"/>
        <v>4710880.6892100703</v>
      </c>
    </row>
    <row r="11" spans="1:9" x14ac:dyDescent="0.25">
      <c r="A11" s="78" t="str">
        <f>+'1_BF'!A11</f>
        <v>AO004</v>
      </c>
      <c r="B11" s="69" t="str">
        <f>+'1_BF'!B11</f>
        <v>4Q19</v>
      </c>
      <c r="C11" s="62">
        <f>+'2_BF'!C11</f>
        <v>5046123</v>
      </c>
      <c r="D11" s="77">
        <f>+'2_BF'!D11</f>
        <v>9083808.0909090899</v>
      </c>
      <c r="E11" s="64">
        <f>+'2_BF'!E11</f>
        <v>0.99999750006440991</v>
      </c>
      <c r="F11" s="65">
        <f t="shared" si="0"/>
        <v>2.4999355900945375E-6</v>
      </c>
      <c r="G11" s="77">
        <f t="shared" si="1"/>
        <v>9083785.3819739502</v>
      </c>
      <c r="H11" s="67">
        <f t="shared" si="2"/>
        <v>9.8632867732058713</v>
      </c>
      <c r="I11" s="68">
        <f t="shared" si="3"/>
        <v>5046132.8632867727</v>
      </c>
    </row>
    <row r="12" spans="1:9" x14ac:dyDescent="0.25">
      <c r="A12" s="75" t="str">
        <f>+'1_BF'!A12</f>
        <v>AO005</v>
      </c>
      <c r="B12" s="76" t="str">
        <f>+'1_BF'!B12</f>
        <v>1Q20</v>
      </c>
      <c r="C12" s="62">
        <f>+'2_BF'!C12</f>
        <v>4612035</v>
      </c>
      <c r="D12" s="77">
        <f>+'2_BF'!D12</f>
        <v>18994502.724418178</v>
      </c>
      <c r="E12" s="64">
        <f>+'2_BF'!E12</f>
        <v>1.0000033980383918</v>
      </c>
      <c r="F12" s="65">
        <f t="shared" si="0"/>
        <v>-3.398038391777547E-6</v>
      </c>
      <c r="G12" s="77">
        <f t="shared" si="1"/>
        <v>18994567.268467668</v>
      </c>
      <c r="H12" s="67">
        <f t="shared" si="2"/>
        <v>-28.033743797346361</v>
      </c>
      <c r="I12" s="68">
        <f t="shared" si="3"/>
        <v>4612006.9662562022</v>
      </c>
    </row>
    <row r="13" spans="1:9" x14ac:dyDescent="0.25">
      <c r="A13" s="78" t="str">
        <f>+'1_BF'!A13</f>
        <v>AO006</v>
      </c>
      <c r="B13" s="69" t="str">
        <f>+'1_BF'!B13</f>
        <v>2Q20</v>
      </c>
      <c r="C13" s="62">
        <f>+'2_BF'!C13</f>
        <v>2490228</v>
      </c>
      <c r="D13" s="77">
        <f>+'2_BF'!D13</f>
        <v>-1004591.6245076172</v>
      </c>
      <c r="E13" s="64">
        <f>+'2_BF'!E13</f>
        <v>1.0000328166559831</v>
      </c>
      <c r="F13" s="65">
        <f t="shared" si="0"/>
        <v>-3.2816655983092247E-5</v>
      </c>
      <c r="G13" s="77">
        <f t="shared" si="1"/>
        <v>-1004624.5918453622</v>
      </c>
      <c r="H13" s="67">
        <f t="shared" si="2"/>
        <v>14.318870714205902</v>
      </c>
      <c r="I13" s="68">
        <f t="shared" si="3"/>
        <v>2490242.3188707144</v>
      </c>
    </row>
    <row r="14" spans="1:9" x14ac:dyDescent="0.25">
      <c r="A14" s="75" t="str">
        <f>+'1_BF'!A14</f>
        <v>AO007</v>
      </c>
      <c r="B14" s="76" t="str">
        <f>+'1_BF'!B14</f>
        <v>3Q20</v>
      </c>
      <c r="C14" s="62">
        <f>+'2_BF'!C14</f>
        <v>2642281</v>
      </c>
      <c r="D14" s="77">
        <f>+'2_BF'!D14</f>
        <v>-5936695.0191201437</v>
      </c>
      <c r="E14" s="64">
        <f>+'2_BF'!E14</f>
        <v>1.0001307964766515</v>
      </c>
      <c r="F14" s="65">
        <f t="shared" si="0"/>
        <v>-1.3079647665148464E-4</v>
      </c>
      <c r="G14" s="77">
        <f t="shared" si="1"/>
        <v>-5937471.517911599</v>
      </c>
      <c r="H14" s="67">
        <f t="shared" si="2"/>
        <v>337.26065145448621</v>
      </c>
      <c r="I14" s="68">
        <f t="shared" si="3"/>
        <v>2642618.2606514543</v>
      </c>
    </row>
    <row r="15" spans="1:9" x14ac:dyDescent="0.25">
      <c r="A15" s="78" t="str">
        <f>+'1_BF'!A15</f>
        <v>AO008</v>
      </c>
      <c r="B15" s="69" t="str">
        <f>+'1_BF'!B15</f>
        <v>4Q20</v>
      </c>
      <c r="C15" s="62">
        <f>+'2_BF'!C15</f>
        <v>6538885</v>
      </c>
      <c r="D15" s="77">
        <f>+'2_BF'!D15</f>
        <v>4268257.6721802894</v>
      </c>
      <c r="E15" s="64">
        <f>+'2_BF'!E15</f>
        <v>1.0002468824573483</v>
      </c>
      <c r="F15" s="65">
        <f t="shared" si="0"/>
        <v>-2.4688245734827419E-4</v>
      </c>
      <c r="G15" s="77">
        <f t="shared" si="1"/>
        <v>4269311.430122993</v>
      </c>
      <c r="H15" s="67">
        <f t="shared" si="2"/>
        <v>-457.68402236072637</v>
      </c>
      <c r="I15" s="68">
        <f t="shared" si="3"/>
        <v>6538427.3159776395</v>
      </c>
    </row>
    <row r="16" spans="1:9" x14ac:dyDescent="0.25">
      <c r="A16" s="75" t="str">
        <f>+'1_BF'!A16</f>
        <v>AO009</v>
      </c>
      <c r="B16" s="76" t="str">
        <f>+'1_BF'!B16</f>
        <v>1Q21</v>
      </c>
      <c r="C16" s="62">
        <f>+'2_BF'!C16</f>
        <v>6037298</v>
      </c>
      <c r="D16" s="77">
        <f>+'2_BF'!D16</f>
        <v>16145782.499172982</v>
      </c>
      <c r="E16" s="64">
        <f>+'2_BF'!E16</f>
        <v>1.0003551919021594</v>
      </c>
      <c r="F16" s="65">
        <f t="shared" si="0"/>
        <v>-3.5519190215937968E-4</v>
      </c>
      <c r="G16" s="77">
        <f t="shared" si="1"/>
        <v>16151517.350370714</v>
      </c>
      <c r="H16" s="67">
        <f t="shared" si="2"/>
        <v>-2490.8469558811776</v>
      </c>
      <c r="I16" s="68">
        <f t="shared" si="3"/>
        <v>6034807.1530441185</v>
      </c>
    </row>
    <row r="17" spans="1:9" x14ac:dyDescent="0.25">
      <c r="A17" s="78" t="str">
        <f>+'1_BF'!A17</f>
        <v>AO010</v>
      </c>
      <c r="B17" s="69" t="str">
        <f>+'1_BF'!B17</f>
        <v>2Q21</v>
      </c>
      <c r="C17" s="62">
        <f>+'2_BF'!C17</f>
        <v>4354413</v>
      </c>
      <c r="D17" s="77">
        <f>+'2_BF'!D17</f>
        <v>16851116.636917692</v>
      </c>
      <c r="E17" s="64">
        <f>+'2_BF'!E17</f>
        <v>1.0007656405128755</v>
      </c>
      <c r="F17" s="65">
        <f t="shared" si="0"/>
        <v>-7.656405128755317E-4</v>
      </c>
      <c r="G17" s="77">
        <f t="shared" si="1"/>
        <v>16864018.534502108</v>
      </c>
      <c r="H17" s="67">
        <f t="shared" si="2"/>
        <v>-5603.7464992876166</v>
      </c>
      <c r="I17" s="68">
        <f t="shared" si="3"/>
        <v>4348809.2535007121</v>
      </c>
    </row>
    <row r="18" spans="1:9" x14ac:dyDescent="0.25">
      <c r="A18" s="75" t="str">
        <f>+'1_BF'!A18</f>
        <v>AO011</v>
      </c>
      <c r="B18" s="76" t="str">
        <f>+'1_BF'!B18</f>
        <v>3Q21</v>
      </c>
      <c r="C18" s="62">
        <f>+'2_BF'!C18</f>
        <v>4284653</v>
      </c>
      <c r="D18" s="77">
        <f>+'2_BF'!D18</f>
        <v>-4179642.7741903318</v>
      </c>
      <c r="E18" s="64">
        <f>+'2_BF'!E18</f>
        <v>1.0016129776380833</v>
      </c>
      <c r="F18" s="65">
        <f t="shared" si="0"/>
        <v>-1.6129776380833238E-3</v>
      </c>
      <c r="G18" s="77">
        <f t="shared" si="1"/>
        <v>-4186384.4445202774</v>
      </c>
      <c r="H18" s="67">
        <f t="shared" si="2"/>
        <v>2928.1438070333552</v>
      </c>
      <c r="I18" s="68">
        <f t="shared" si="3"/>
        <v>4287581.1438070331</v>
      </c>
    </row>
    <row r="19" spans="1:9" x14ac:dyDescent="0.25">
      <c r="A19" s="78" t="str">
        <f>+'1_BF'!A19</f>
        <v>AO012</v>
      </c>
      <c r="B19" s="69" t="str">
        <f>+'1_BF'!B19</f>
        <v>4Q21</v>
      </c>
      <c r="C19" s="62">
        <f>+'2_BF'!C19</f>
        <v>7266841</v>
      </c>
      <c r="D19" s="77">
        <f>+'2_BF'!D19</f>
        <v>3503668.9779778551</v>
      </c>
      <c r="E19" s="64">
        <f>+'2_BF'!E19</f>
        <v>1.0036737239073792</v>
      </c>
      <c r="F19" s="65">
        <f t="shared" si="0"/>
        <v>-3.6737239073791894E-3</v>
      </c>
      <c r="G19" s="77">
        <f t="shared" si="1"/>
        <v>3516540.4904657952</v>
      </c>
      <c r="H19" s="67">
        <f t="shared" si="2"/>
        <v>-5590.5491864979049</v>
      </c>
      <c r="I19" s="68">
        <f t="shared" si="3"/>
        <v>7261250.4508135021</v>
      </c>
    </row>
    <row r="20" spans="1:9" x14ac:dyDescent="0.25">
      <c r="A20" s="75" t="str">
        <f>+'1_BF'!A20</f>
        <v>AO013</v>
      </c>
      <c r="B20" s="76" t="str">
        <f>+'1_BF'!B20</f>
        <v>1Q22</v>
      </c>
      <c r="C20" s="62">
        <f>+'2_BF'!C20</f>
        <v>5844768</v>
      </c>
      <c r="D20" s="77">
        <f>+'2_BF'!D20</f>
        <v>17466795.417860202</v>
      </c>
      <c r="E20" s="64">
        <f>+'2_BF'!E20</f>
        <v>1.0075800592739217</v>
      </c>
      <c r="F20" s="65">
        <f t="shared" si="0"/>
        <v>-7.580059273921691E-3</v>
      </c>
      <c r="G20" s="77">
        <f t="shared" si="1"/>
        <v>17599194.762453046</v>
      </c>
      <c r="H20" s="67">
        <f t="shared" si="2"/>
        <v>-57505.677666078154</v>
      </c>
      <c r="I20" s="68">
        <f t="shared" si="3"/>
        <v>5787262.3223339217</v>
      </c>
    </row>
    <row r="21" spans="1:9" x14ac:dyDescent="0.25">
      <c r="A21" s="78" t="str">
        <f>+'1_BF'!A21</f>
        <v>AO014</v>
      </c>
      <c r="B21" s="69" t="str">
        <f>+'1_BF'!B21</f>
        <v>2Q22</v>
      </c>
      <c r="C21" s="62">
        <f>+'2_BF'!C21</f>
        <v>5171805</v>
      </c>
      <c r="D21" s="77">
        <f>+'2_BF'!D21</f>
        <v>15433825.712611966</v>
      </c>
      <c r="E21" s="64">
        <f>+'2_BF'!E21</f>
        <v>1.0155789560266972</v>
      </c>
      <c r="F21" s="65">
        <f t="shared" si="0"/>
        <v>-1.5578956026697233E-2</v>
      </c>
      <c r="G21" s="77">
        <f t="shared" si="1"/>
        <v>15674268.604712456</v>
      </c>
      <c r="H21" s="67">
        <f t="shared" si="2"/>
        <v>-104432.77867236319</v>
      </c>
      <c r="I21" s="68">
        <f t="shared" si="3"/>
        <v>5067372.2213276364</v>
      </c>
    </row>
    <row r="22" spans="1:9" x14ac:dyDescent="0.25">
      <c r="A22" s="75" t="str">
        <f>+'1_BF'!A22</f>
        <v>AO015</v>
      </c>
      <c r="B22" s="76" t="str">
        <f>+'1_BF'!B22</f>
        <v>3Q22</v>
      </c>
      <c r="C22" s="62">
        <f>+'2_BF'!C22</f>
        <v>2473125</v>
      </c>
      <c r="D22" s="77">
        <f>+'2_BF'!D22</f>
        <v>15413447.856489912</v>
      </c>
      <c r="E22" s="64">
        <f>+'2_BF'!E22</f>
        <v>1.0336726546537336</v>
      </c>
      <c r="F22" s="65">
        <f t="shared" si="0"/>
        <v>-3.3672654653733591E-2</v>
      </c>
      <c r="G22" s="77">
        <f t="shared" si="1"/>
        <v>15932459.563184828</v>
      </c>
      <c r="H22" s="67">
        <f t="shared" si="2"/>
        <v>-225424.98229052406</v>
      </c>
      <c r="I22" s="68">
        <f t="shared" si="3"/>
        <v>2247700.0177094759</v>
      </c>
    </row>
    <row r="23" spans="1:9" x14ac:dyDescent="0.25">
      <c r="A23" s="78" t="str">
        <f>+'1_BF'!A23</f>
        <v>AO016</v>
      </c>
      <c r="B23" s="69" t="str">
        <f>+'1_BF'!B23</f>
        <v>4Q22</v>
      </c>
      <c r="C23" s="62">
        <f>+'2_BF'!C23</f>
        <v>13371613</v>
      </c>
      <c r="D23" s="77">
        <f>+'2_BF'!D23</f>
        <v>19246631.966259398</v>
      </c>
      <c r="E23" s="64">
        <f>+'2_BF'!E23</f>
        <v>1.0573093718347795</v>
      </c>
      <c r="F23" s="65">
        <f t="shared" si="0"/>
        <v>-5.7309371834779466E-2</v>
      </c>
      <c r="G23" s="77">
        <f t="shared" si="1"/>
        <v>20349644.35418091</v>
      </c>
      <c r="H23" s="67">
        <f t="shared" si="2"/>
        <v>-479076.95492424554</v>
      </c>
      <c r="I23" s="68">
        <f t="shared" si="3"/>
        <v>12892536.045075754</v>
      </c>
    </row>
    <row r="24" spans="1:9" x14ac:dyDescent="0.25">
      <c r="A24" s="75" t="str">
        <f>+'1_BF'!A24</f>
        <v>AO017</v>
      </c>
      <c r="B24" s="76" t="str">
        <f>+'1_BF'!B24</f>
        <v>1Q23</v>
      </c>
      <c r="C24" s="62">
        <f>+'2_BF'!C24</f>
        <v>12422697</v>
      </c>
      <c r="D24" s="77">
        <f>+'2_BF'!D24</f>
        <v>32511744.962999582</v>
      </c>
      <c r="E24" s="64">
        <f>+'2_BF'!E24</f>
        <v>1.0827755261024448</v>
      </c>
      <c r="F24" s="65">
        <f t="shared" si="0"/>
        <v>-8.2775526102444763E-2</v>
      </c>
      <c r="G24" s="77">
        <f t="shared" si="1"/>
        <v>35202921.756820381</v>
      </c>
      <c r="H24" s="67">
        <f t="shared" si="2"/>
        <v>-1168872.4421091494</v>
      </c>
      <c r="I24" s="68">
        <f t="shared" si="3"/>
        <v>11253824.557890851</v>
      </c>
    </row>
    <row r="25" spans="1:9" x14ac:dyDescent="0.25">
      <c r="A25" s="78" t="str">
        <f>+'1_BF'!A25</f>
        <v>AO018</v>
      </c>
      <c r="B25" s="69" t="str">
        <f>+'1_BF'!B25</f>
        <v>2Q23</v>
      </c>
      <c r="C25" s="62">
        <f>+'2_BF'!C25</f>
        <v>10568629</v>
      </c>
      <c r="D25" s="77">
        <f>+'2_BF'!D25</f>
        <v>24625764.100566026</v>
      </c>
      <c r="E25" s="64">
        <f>+'2_BF'!E25</f>
        <v>1.112619788795141</v>
      </c>
      <c r="F25" s="65">
        <f t="shared" si="0"/>
        <v>-0.11261978879514101</v>
      </c>
      <c r="G25" s="77">
        <f t="shared" si="1"/>
        <v>27399112.452490736</v>
      </c>
      <c r="H25" s="67">
        <f t="shared" si="2"/>
        <v>-1204562.4309695503</v>
      </c>
      <c r="I25" s="68">
        <f t="shared" si="3"/>
        <v>9364066.5690304488</v>
      </c>
    </row>
    <row r="26" spans="1:9" x14ac:dyDescent="0.25">
      <c r="A26" s="75" t="str">
        <f>+'1_BF'!A26</f>
        <v>AO019</v>
      </c>
      <c r="B26" s="76" t="str">
        <f>+'1_BF'!B26</f>
        <v>3Q23</v>
      </c>
      <c r="C26" s="62">
        <f>+'2_BF'!C26</f>
        <v>25593031</v>
      </c>
      <c r="D26" s="77">
        <f>+'2_BF'!D26</f>
        <v>52753853.564416327</v>
      </c>
      <c r="E26" s="64">
        <f>+'2_BF'!E26</f>
        <v>1.1561363932268318</v>
      </c>
      <c r="F26" s="65">
        <f t="shared" si="0"/>
        <v>-0.15613639322683182</v>
      </c>
      <c r="G26" s="77">
        <f t="shared" si="1"/>
        <v>60990649.988780737</v>
      </c>
      <c r="H26" s="67">
        <f t="shared" si="2"/>
        <v>-3577529.4933461864</v>
      </c>
      <c r="I26" s="68">
        <f t="shared" si="3"/>
        <v>22015501.506653816</v>
      </c>
    </row>
    <row r="27" spans="1:9" x14ac:dyDescent="0.25">
      <c r="A27" s="78" t="str">
        <f>+'1_BF'!A27</f>
        <v>AO020</v>
      </c>
      <c r="B27" s="69" t="str">
        <f>+'1_BF'!B27</f>
        <v>4Q23</v>
      </c>
      <c r="C27" s="62">
        <f>+'2_BF'!C27</f>
        <v>14275150</v>
      </c>
      <c r="D27" s="77">
        <f>+'2_BF'!D27</f>
        <v>31407599.395625263</v>
      </c>
      <c r="E27" s="64">
        <f>+'2_BF'!E27</f>
        <v>1.1901869657986679</v>
      </c>
      <c r="F27" s="65">
        <f t="shared" si="0"/>
        <v>-0.1901869657986679</v>
      </c>
      <c r="G27" s="77">
        <f t="shared" si="1"/>
        <v>37380915.427699305</v>
      </c>
      <c r="H27" s="67">
        <f t="shared" si="2"/>
        <v>-2594420.5947121605</v>
      </c>
      <c r="I27" s="68">
        <f t="shared" si="3"/>
        <v>11680729.405287839</v>
      </c>
    </row>
    <row r="28" spans="1:9" x14ac:dyDescent="0.25">
      <c r="A28" s="75" t="str">
        <f>+'1_BF'!A28</f>
        <v>AO021</v>
      </c>
      <c r="B28" s="76" t="str">
        <f>+'1_BF'!B28</f>
        <v>1Q24</v>
      </c>
      <c r="C28" s="62">
        <f>+'2_BF'!C28</f>
        <v>12735195</v>
      </c>
      <c r="D28" s="77">
        <f>+'2_BF'!D28</f>
        <v>30304298.832185101</v>
      </c>
      <c r="E28" s="64">
        <f>+'2_BF'!E28</f>
        <v>1.2420564724511691</v>
      </c>
      <c r="F28" s="65">
        <f t="shared" si="0"/>
        <v>-0.24205647245116912</v>
      </c>
      <c r="G28" s="77">
        <f t="shared" si="1"/>
        <v>37639650.507609911</v>
      </c>
      <c r="H28" s="67">
        <f t="shared" si="2"/>
        <v>-3186000.4315844928</v>
      </c>
      <c r="I28" s="68">
        <f t="shared" si="3"/>
        <v>9549194.5684155077</v>
      </c>
    </row>
    <row r="29" spans="1:9" x14ac:dyDescent="0.25">
      <c r="A29" s="78" t="str">
        <f>+'1_BF'!A29</f>
        <v>AO022</v>
      </c>
      <c r="B29" s="69" t="str">
        <f>+'1_BF'!B29</f>
        <v>2Q24</v>
      </c>
      <c r="C29" s="62">
        <f>+'2_BF'!C29</f>
        <v>11277873</v>
      </c>
      <c r="D29" s="77">
        <f>+'2_BF'!D29</f>
        <v>11368457.883217428</v>
      </c>
      <c r="E29" s="64">
        <f>+'2_BF'!E29</f>
        <v>1.1411307574476839</v>
      </c>
      <c r="F29" s="65">
        <f t="shared" si="0"/>
        <v>-0.14113075744768389</v>
      </c>
      <c r="G29" s="77">
        <f t="shared" si="1"/>
        <v>12972896.955287997</v>
      </c>
      <c r="H29" s="67">
        <f t="shared" si="2"/>
        <v>-696864.14534062811</v>
      </c>
      <c r="I29" s="68">
        <f t="shared" si="3"/>
        <v>10581008.854659371</v>
      </c>
    </row>
    <row r="30" spans="1:9" x14ac:dyDescent="0.25">
      <c r="A30" s="75" t="str">
        <f>+'1_BF'!A30</f>
        <v>AO023</v>
      </c>
      <c r="B30" s="76" t="str">
        <f>+'1_BF'!B30</f>
        <v>3Q24</v>
      </c>
      <c r="C30" s="62">
        <f>+'2_BF'!C30</f>
        <v>9321834</v>
      </c>
      <c r="D30" s="77">
        <f>+'2_BF'!D30</f>
        <v>9631669.6535887755</v>
      </c>
      <c r="E30" s="64">
        <f>+'2_BF'!E30</f>
        <v>1.2123433065824967</v>
      </c>
      <c r="F30" s="65">
        <f t="shared" si="0"/>
        <v>-0.21234330658249667</v>
      </c>
      <c r="G30" s="77">
        <f t="shared" si="1"/>
        <v>11676890.235742107</v>
      </c>
      <c r="H30" s="67">
        <f t="shared" si="2"/>
        <v>-888311.01026231807</v>
      </c>
      <c r="I30" s="68">
        <f t="shared" si="3"/>
        <v>8433522.989737682</v>
      </c>
    </row>
    <row r="31" spans="1:9" x14ac:dyDescent="0.25">
      <c r="A31" s="78" t="str">
        <f>+'1_BF'!A31</f>
        <v>AO024</v>
      </c>
      <c r="B31" s="69" t="str">
        <f>+'1_BF'!B31</f>
        <v>4Q24</v>
      </c>
      <c r="C31" s="62">
        <f>+'2_BF'!C31</f>
        <v>5149958</v>
      </c>
      <c r="D31" s="77">
        <f>+'2_BF'!D31</f>
        <v>32995207.804397486</v>
      </c>
      <c r="E31" s="64">
        <f>+'2_BF'!E31</f>
        <v>0.74143531085860548</v>
      </c>
      <c r="F31" s="65">
        <f t="shared" si="0"/>
        <v>0.25856468914139452</v>
      </c>
      <c r="G31" s="77">
        <f t="shared" si="1"/>
        <v>24463812.155297734</v>
      </c>
      <c r="H31" s="67">
        <f t="shared" si="2"/>
        <v>3705484.266161751</v>
      </c>
      <c r="I31" s="68">
        <f t="shared" si="3"/>
        <v>8855442.266161751</v>
      </c>
    </row>
    <row r="32" spans="1:9" x14ac:dyDescent="0.25">
      <c r="A32" s="164" t="s">
        <v>139</v>
      </c>
      <c r="B32" s="165"/>
      <c r="C32" s="165"/>
      <c r="D32" s="165"/>
      <c r="E32" s="165"/>
      <c r="F32" s="166"/>
      <c r="G32" s="80">
        <f>SUM(G8:G31)</f>
        <v>437449617.16139412</v>
      </c>
      <c r="H32" s="70">
        <f>SUM(H8:H31)</f>
        <v>-10488385.569007469</v>
      </c>
      <c r="I32" s="70">
        <f>SUM(I8:I31)</f>
        <v>179511321.43099254</v>
      </c>
    </row>
  </sheetData>
  <mergeCells count="3">
    <mergeCell ref="A1:I1"/>
    <mergeCell ref="A2:I2"/>
    <mergeCell ref="A32:F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04B5-32AF-436E-8C98-6B063CB47B31}">
  <dimension ref="B1:N52"/>
  <sheetViews>
    <sheetView showGridLines="0" zoomScaleNormal="100" workbookViewId="0">
      <pane ySplit="7" topLeftCell="A33" activePane="bottomLeft" state="frozen"/>
      <selection pane="bottomLeft" activeCell="D53" sqref="D53"/>
    </sheetView>
  </sheetViews>
  <sheetFormatPr baseColWidth="10" defaultColWidth="8.7109375" defaultRowHeight="15" x14ac:dyDescent="0.25"/>
  <cols>
    <col min="1" max="1" width="3" style="28" customWidth="1"/>
    <col min="2" max="2" width="21.85546875" style="28" customWidth="1"/>
    <col min="3" max="5" width="14" style="28" customWidth="1"/>
    <col min="6" max="8" width="16" style="28" customWidth="1"/>
    <col min="9" max="9" width="18" style="28" customWidth="1"/>
    <col min="10" max="10" width="13" style="28" bestFit="1" customWidth="1"/>
    <col min="11" max="11" width="11.42578125" style="28" bestFit="1" customWidth="1"/>
    <col min="12" max="16384" width="8.7109375" style="28"/>
  </cols>
  <sheetData>
    <row r="1" spans="2:14" ht="30" customHeight="1" x14ac:dyDescent="0.25">
      <c r="B1" s="146" t="s">
        <v>153</v>
      </c>
      <c r="C1" s="146"/>
      <c r="D1" s="146"/>
      <c r="E1" s="146"/>
      <c r="F1" s="146"/>
      <c r="G1" s="146"/>
      <c r="H1" s="146"/>
      <c r="I1" s="146"/>
    </row>
    <row r="2" spans="2:14" ht="15" customHeight="1" x14ac:dyDescent="0.25">
      <c r="B2" s="147" t="s">
        <v>154</v>
      </c>
      <c r="C2" s="147"/>
      <c r="D2" s="147"/>
      <c r="E2" s="147"/>
      <c r="F2" s="147"/>
      <c r="G2" s="147"/>
      <c r="H2" s="147"/>
      <c r="I2" s="147"/>
      <c r="N2" s="28" t="s">
        <v>245</v>
      </c>
    </row>
    <row r="3" spans="2:14" x14ac:dyDescent="0.25">
      <c r="N3" s="28" t="s">
        <v>246</v>
      </c>
    </row>
    <row r="4" spans="2:14" ht="15" customHeight="1" thickBot="1" x14ac:dyDescent="0.3">
      <c r="B4" s="148" t="s">
        <v>155</v>
      </c>
      <c r="C4" s="148"/>
      <c r="D4" s="148"/>
      <c r="E4" s="148"/>
      <c r="I4" s="28" t="s">
        <v>245</v>
      </c>
    </row>
    <row r="5" spans="2:14" ht="18" customHeight="1" thickBot="1" x14ac:dyDescent="0.3">
      <c r="B5" s="83" t="s">
        <v>156</v>
      </c>
      <c r="C5" s="84">
        <f>'2_CL'!AC33</f>
        <v>-12440003.44670379</v>
      </c>
      <c r="D5" s="149" t="s">
        <v>157</v>
      </c>
      <c r="E5" s="149"/>
      <c r="F5" s="149"/>
      <c r="G5" s="149"/>
      <c r="H5" s="149"/>
      <c r="I5" s="149"/>
    </row>
    <row r="6" spans="2:14" ht="18" customHeight="1" thickBot="1" x14ac:dyDescent="0.3">
      <c r="B6" s="83" t="s">
        <v>158</v>
      </c>
      <c r="C6" s="85">
        <f>IF(I4="Anual",Triangulo2!E5, POWER(1+Triangulo2!E5,0.25)-1)</f>
        <v>1.4673846168659299E-2</v>
      </c>
      <c r="D6" s="149" t="s">
        <v>159</v>
      </c>
      <c r="E6" s="149"/>
      <c r="F6" s="149"/>
      <c r="G6" s="149"/>
      <c r="H6" s="149"/>
      <c r="I6" s="149"/>
      <c r="J6" s="86">
        <v>0.04</v>
      </c>
    </row>
    <row r="7" spans="2:14" ht="18" customHeight="1" thickBot="1" x14ac:dyDescent="0.3">
      <c r="B7" s="83" t="s">
        <v>160</v>
      </c>
      <c r="C7" s="85">
        <v>0.01</v>
      </c>
      <c r="D7" s="149" t="s">
        <v>161</v>
      </c>
      <c r="E7" s="149"/>
      <c r="F7" s="149"/>
      <c r="G7" s="149"/>
      <c r="H7" s="149"/>
      <c r="I7" s="149"/>
    </row>
    <row r="8" spans="2:14" ht="18" customHeight="1" thickBot="1" x14ac:dyDescent="0.3">
      <c r="B8" s="83" t="s">
        <v>162</v>
      </c>
      <c r="C8" s="85">
        <v>0.4</v>
      </c>
      <c r="D8" s="149" t="s">
        <v>163</v>
      </c>
      <c r="E8" s="149"/>
      <c r="F8" s="149"/>
      <c r="G8" s="149"/>
      <c r="H8" s="149"/>
      <c r="I8" s="149"/>
    </row>
    <row r="10" spans="2:14" ht="15" customHeight="1" x14ac:dyDescent="0.25">
      <c r="B10" s="148" t="s">
        <v>164</v>
      </c>
      <c r="C10" s="148"/>
      <c r="D10" s="148"/>
      <c r="E10" s="148"/>
      <c r="F10" s="148"/>
      <c r="G10" s="148"/>
      <c r="H10" s="148"/>
      <c r="I10" s="148"/>
    </row>
    <row r="11" spans="2:14" ht="31.5" customHeight="1" thickBot="1" x14ac:dyDescent="0.3">
      <c r="B11" s="87" t="s">
        <v>196</v>
      </c>
      <c r="C11" s="87" t="s">
        <v>165</v>
      </c>
      <c r="D11" s="87" t="s">
        <v>166</v>
      </c>
      <c r="E11" s="87" t="s">
        <v>167</v>
      </c>
      <c r="F11" s="87" t="s">
        <v>168</v>
      </c>
      <c r="G11" s="87" t="s">
        <v>169</v>
      </c>
      <c r="H11" s="87" t="s">
        <v>170</v>
      </c>
      <c r="I11" s="87" t="s">
        <v>171</v>
      </c>
    </row>
    <row r="12" spans="2:14" ht="15" customHeight="1" thickBot="1" x14ac:dyDescent="0.3">
      <c r="B12" s="143">
        <f>IF(I4= "Anual",1,0.25)</f>
        <v>0.25</v>
      </c>
      <c r="C12" s="88">
        <f>'2_BF'!E31</f>
        <v>0.74143531085860548</v>
      </c>
      <c r="D12" s="90">
        <f>C12</f>
        <v>0.74143531085860548</v>
      </c>
      <c r="E12" s="89">
        <f t="shared" ref="E12:E21" si="0">D12*$C$5</f>
        <v>-9223457.8225889485</v>
      </c>
      <c r="F12" s="89">
        <f>IF($I$4="Anual",E12/(1+$C$6)^B12,E12/(1+$C$6)^(B12*4))</f>
        <v>-9090071.5115661155</v>
      </c>
      <c r="G12" s="90">
        <f>F12/$F$36</f>
        <v>0.73161521654706652</v>
      </c>
      <c r="H12" s="91">
        <f>B12*G12</f>
        <v>0.18290380413676663</v>
      </c>
      <c r="I12" s="91">
        <f>B12*(B12+1)*F12/((1+$C$6)^2)/$F$36</f>
        <v>0.22206484891175443</v>
      </c>
      <c r="J12" s="28">
        <f>+B12*F12</f>
        <v>-2272517.8778915289</v>
      </c>
    </row>
    <row r="13" spans="2:14" ht="15" customHeight="1" thickBot="1" x14ac:dyDescent="0.3">
      <c r="B13" s="143">
        <f>IF($I$4="Anual",B12+1,B12+0.25)</f>
        <v>0.5</v>
      </c>
      <c r="C13" s="88">
        <f>'2_BF'!E30</f>
        <v>1.2123433065824967</v>
      </c>
      <c r="D13" s="93">
        <f>C13-C12</f>
        <v>0.47090799572389119</v>
      </c>
      <c r="E13" s="92">
        <f t="shared" si="0"/>
        <v>-5858097.0898855804</v>
      </c>
      <c r="F13" s="89">
        <f t="shared" ref="F13:F35" si="1">IF($I$4="Anual",E13/(1+$C$6)^B13,E13/(1+$C$6)^(B13*4))</f>
        <v>-5689886.8837220958</v>
      </c>
      <c r="G13" s="93">
        <f>F13/$F$36</f>
        <v>0.45795105343956199</v>
      </c>
      <c r="H13" s="94">
        <f>B13*G13</f>
        <v>0.228975526719781</v>
      </c>
      <c r="I13" s="94">
        <f>B13*(B13+1)*F13/((1+$C$6)^2)/$F$36</f>
        <v>0.33360103789309692</v>
      </c>
      <c r="J13" s="28">
        <f>+B13*F13</f>
        <v>-2844943.4418610479</v>
      </c>
    </row>
    <row r="14" spans="2:14" ht="15" customHeight="1" thickBot="1" x14ac:dyDescent="0.3">
      <c r="B14" s="143">
        <f t="shared" ref="B14:B35" si="2">IF($I$4="Anual",B13+1,B13+0.25)</f>
        <v>0.75</v>
      </c>
      <c r="C14" s="88">
        <f>'2_BF'!E29</f>
        <v>1.1411307574476839</v>
      </c>
      <c r="D14" s="90">
        <f>C14-C13</f>
        <v>-7.1212549134812786E-2</v>
      </c>
      <c r="E14" s="89">
        <f t="shared" si="0"/>
        <v>885884.356685634</v>
      </c>
      <c r="F14" s="89">
        <f t="shared" si="1"/>
        <v>848003.47873477428</v>
      </c>
      <c r="G14" s="90">
        <f>F14/$F$36</f>
        <v>-6.8251635637607611E-2</v>
      </c>
      <c r="H14" s="91">
        <f>B14*G14</f>
        <v>-5.1188726728205708E-2</v>
      </c>
      <c r="I14" s="91">
        <f>B14*(B14+1)*F14/((1+$C$6)^2)/$F$36</f>
        <v>-8.7008051520557336E-2</v>
      </c>
      <c r="J14" s="28">
        <f t="shared" ref="J14:J20" si="3">+B14*F14</f>
        <v>636002.60905108065</v>
      </c>
    </row>
    <row r="15" spans="2:14" ht="15" customHeight="1" thickBot="1" x14ac:dyDescent="0.3">
      <c r="B15" s="143">
        <f t="shared" si="2"/>
        <v>1</v>
      </c>
      <c r="C15" s="88">
        <f>'2_BF'!E28</f>
        <v>1.2420564724511691</v>
      </c>
      <c r="D15" s="93">
        <f>C15-C14</f>
        <v>0.10092571500348524</v>
      </c>
      <c r="E15" s="92">
        <f t="shared" si="0"/>
        <v>-1255516.2425044007</v>
      </c>
      <c r="F15" s="89">
        <f t="shared" si="1"/>
        <v>-1184449.2853815102</v>
      </c>
      <c r="G15" s="90">
        <f t="shared" ref="G15:G34" si="4">F15/$F$36</f>
        <v>9.5330506400396087E-2</v>
      </c>
      <c r="H15" s="94">
        <f>B15*G15</f>
        <v>9.5330506400396087E-2</v>
      </c>
      <c r="I15" s="91">
        <f t="shared" ref="I15:I35" si="5">B15*(B15+1)*F15/((1+$C$6)^2)/$F$36</f>
        <v>0.18518634623612684</v>
      </c>
      <c r="J15" s="28">
        <f t="shared" si="3"/>
        <v>-1184449.2853815102</v>
      </c>
    </row>
    <row r="16" spans="2:14" ht="15" customHeight="1" thickBot="1" x14ac:dyDescent="0.3">
      <c r="B16" s="143">
        <f t="shared" si="2"/>
        <v>1.25</v>
      </c>
      <c r="C16" s="88">
        <f>'2_BF'!E27</f>
        <v>1.1901869657986679</v>
      </c>
      <c r="D16" s="90">
        <f t="shared" ref="D16" si="6">C16-C15</f>
        <v>-5.1869506652501229E-2</v>
      </c>
      <c r="E16" s="89">
        <f t="shared" si="0"/>
        <v>645256.84153594042</v>
      </c>
      <c r="F16" s="89">
        <f t="shared" si="1"/>
        <v>599929.59478758962</v>
      </c>
      <c r="G16" s="93">
        <f t="shared" si="4"/>
        <v>-4.8285386957081899E-2</v>
      </c>
      <c r="H16" s="91">
        <f t="shared" ref="H16:H35" si="7">B16*G16</f>
        <v>-6.0356733696352374E-2</v>
      </c>
      <c r="I16" s="94">
        <f t="shared" si="5"/>
        <v>-0.13190319480899107</v>
      </c>
      <c r="J16" s="28">
        <f t="shared" si="3"/>
        <v>749911.99348448706</v>
      </c>
    </row>
    <row r="17" spans="2:10" ht="15" customHeight="1" thickBot="1" x14ac:dyDescent="0.3">
      <c r="B17" s="143">
        <f t="shared" si="2"/>
        <v>1.5</v>
      </c>
      <c r="C17" s="88">
        <f>'2_BF'!E26</f>
        <v>1.1561363932268318</v>
      </c>
      <c r="D17" s="93">
        <f>C17-C16</f>
        <v>-3.405057257183608E-2</v>
      </c>
      <c r="E17" s="92">
        <f t="shared" si="0"/>
        <v>423589.24015587836</v>
      </c>
      <c r="F17" s="89">
        <f t="shared" si="1"/>
        <v>388137.96265100065</v>
      </c>
      <c r="G17" s="90">
        <f t="shared" si="4"/>
        <v>-3.1239318550325097E-2</v>
      </c>
      <c r="H17" s="94">
        <f t="shared" si="7"/>
        <v>-4.6858977825487647E-2</v>
      </c>
      <c r="I17" s="91">
        <f t="shared" si="5"/>
        <v>-0.11378365671602172</v>
      </c>
      <c r="J17" s="28">
        <f t="shared" si="3"/>
        <v>582206.943976501</v>
      </c>
    </row>
    <row r="18" spans="2:10" ht="15" customHeight="1" thickBot="1" x14ac:dyDescent="0.3">
      <c r="B18" s="143">
        <f t="shared" si="2"/>
        <v>1.75</v>
      </c>
      <c r="C18" s="88">
        <f>'2_BF'!E25</f>
        <v>1.112619788795141</v>
      </c>
      <c r="D18" s="90">
        <f>C18-C17</f>
        <v>-4.3516604431690808E-2</v>
      </c>
      <c r="E18" s="89">
        <f t="shared" si="0"/>
        <v>541346.70911907905</v>
      </c>
      <c r="F18" s="89">
        <f t="shared" si="1"/>
        <v>488866.45376700116</v>
      </c>
      <c r="G18" s="90">
        <f t="shared" si="4"/>
        <v>-3.9346460143933448E-2</v>
      </c>
      <c r="H18" s="91">
        <f t="shared" si="7"/>
        <v>-6.8856305251883534E-2</v>
      </c>
      <c r="I18" s="91">
        <f t="shared" si="5"/>
        <v>-0.18391767851960447</v>
      </c>
      <c r="J18" s="28">
        <f t="shared" si="3"/>
        <v>855516.29409225204</v>
      </c>
    </row>
    <row r="19" spans="2:10" ht="15" customHeight="1" thickBot="1" x14ac:dyDescent="0.3">
      <c r="B19" s="143">
        <f t="shared" si="2"/>
        <v>2</v>
      </c>
      <c r="C19" s="88">
        <f>'2_BF'!E24</f>
        <v>1.0827755261024448</v>
      </c>
      <c r="D19" s="93">
        <f>C19-C18</f>
        <v>-2.9844262692696244E-2</v>
      </c>
      <c r="E19" s="92">
        <f t="shared" si="0"/>
        <v>371262.73076147458</v>
      </c>
      <c r="F19" s="89">
        <f t="shared" si="1"/>
        <v>330422.50868767773</v>
      </c>
      <c r="G19" s="93">
        <f t="shared" si="4"/>
        <v>-2.6594085089206399E-2</v>
      </c>
      <c r="H19" s="94">
        <f t="shared" si="7"/>
        <v>-5.3188170178412798E-2</v>
      </c>
      <c r="I19" s="94">
        <f t="shared" si="5"/>
        <v>-0.1549827532168338</v>
      </c>
      <c r="J19" s="28">
        <f t="shared" si="3"/>
        <v>660845.01737535547</v>
      </c>
    </row>
    <row r="20" spans="2:10" ht="15" customHeight="1" thickBot="1" x14ac:dyDescent="0.3">
      <c r="B20" s="143">
        <f t="shared" si="2"/>
        <v>2.25</v>
      </c>
      <c r="C20" s="88">
        <f>'2_BF'!E23</f>
        <v>1.0573093718347795</v>
      </c>
      <c r="D20" s="90">
        <f>C20-C19</f>
        <v>-2.5466154267665297E-2</v>
      </c>
      <c r="E20" s="89">
        <f t="shared" si="0"/>
        <v>316799.04686404672</v>
      </c>
      <c r="F20" s="89">
        <f t="shared" si="1"/>
        <v>277872.56464087497</v>
      </c>
      <c r="G20" s="90">
        <f t="shared" si="4"/>
        <v>-2.2364598154541573E-2</v>
      </c>
      <c r="H20" s="91">
        <f t="shared" si="7"/>
        <v>-5.0320345847718537E-2</v>
      </c>
      <c r="I20" s="91">
        <f t="shared" si="5"/>
        <v>-0.15884518166015554</v>
      </c>
      <c r="J20" s="28">
        <f t="shared" si="3"/>
        <v>625213.27044196869</v>
      </c>
    </row>
    <row r="21" spans="2:10" ht="15.75" customHeight="1" thickBot="1" x14ac:dyDescent="0.3">
      <c r="B21" s="143">
        <f t="shared" si="2"/>
        <v>2.5</v>
      </c>
      <c r="C21" s="88">
        <f>'2_BF'!E22</f>
        <v>1.0336726546537336</v>
      </c>
      <c r="D21" s="93">
        <f>C21-C20</f>
        <v>-2.3636717181045874E-2</v>
      </c>
      <c r="E21" s="92">
        <f t="shared" si="0"/>
        <v>294040.84320097335</v>
      </c>
      <c r="F21" s="89">
        <f t="shared" si="1"/>
        <v>254180.94869768122</v>
      </c>
      <c r="G21" s="90">
        <f t="shared" si="4"/>
        <v>-2.0457776331789673E-2</v>
      </c>
      <c r="H21" s="94">
        <f t="shared" si="7"/>
        <v>-5.1144440829474183E-2</v>
      </c>
      <c r="I21" s="91">
        <f t="shared" si="5"/>
        <v>-0.17386555310542565</v>
      </c>
      <c r="J21" s="28">
        <f>+B21*F21</f>
        <v>635452.37174420303</v>
      </c>
    </row>
    <row r="22" spans="2:10" ht="15.75" customHeight="1" thickBot="1" x14ac:dyDescent="0.3">
      <c r="B22" s="143">
        <f t="shared" si="2"/>
        <v>2.75</v>
      </c>
      <c r="C22" s="88">
        <f>'2_BF'!E21</f>
        <v>1.0155789560266972</v>
      </c>
      <c r="D22" s="93">
        <f t="shared" ref="D22:D35" si="8">C22-C21</f>
        <v>-1.8093698627036359E-2</v>
      </c>
      <c r="E22" s="89">
        <f t="shared" ref="E22:E34" si="9">D22*$C$5</f>
        <v>225085.67328395194</v>
      </c>
      <c r="F22" s="89">
        <f t="shared" si="1"/>
        <v>191759.42710130665</v>
      </c>
      <c r="G22" s="93">
        <f t="shared" si="4"/>
        <v>-1.5433774597389587E-2</v>
      </c>
      <c r="H22" s="91">
        <f t="shared" si="7"/>
        <v>-4.2442880142821361E-2</v>
      </c>
      <c r="I22" s="91">
        <f t="shared" si="5"/>
        <v>-0.15459063540167345</v>
      </c>
      <c r="J22" s="28">
        <f t="shared" ref="J22:J35" si="10">+B22*F22</f>
        <v>527338.42452859331</v>
      </c>
    </row>
    <row r="23" spans="2:10" ht="15.75" customHeight="1" thickBot="1" x14ac:dyDescent="0.3">
      <c r="B23" s="143">
        <f t="shared" si="2"/>
        <v>3</v>
      </c>
      <c r="C23" s="88">
        <f>'2_BF'!E20</f>
        <v>1.0075800592739217</v>
      </c>
      <c r="D23" s="93">
        <f t="shared" si="8"/>
        <v>-7.9988967527755417E-3</v>
      </c>
      <c r="E23" s="92">
        <f t="shared" si="9"/>
        <v>99506.303174355489</v>
      </c>
      <c r="F23" s="89">
        <f t="shared" si="1"/>
        <v>83547.410928447251</v>
      </c>
      <c r="G23" s="90">
        <f t="shared" si="4"/>
        <v>-6.7243208219636575E-3</v>
      </c>
      <c r="H23" s="94">
        <f t="shared" si="7"/>
        <v>-2.0172962465890974E-2</v>
      </c>
      <c r="I23" s="94">
        <f t="shared" si="5"/>
        <v>-7.8374852979934531E-2</v>
      </c>
      <c r="J23" s="28">
        <f t="shared" si="10"/>
        <v>250642.23278534174</v>
      </c>
    </row>
    <row r="24" spans="2:10" ht="15.75" customHeight="1" thickBot="1" x14ac:dyDescent="0.3">
      <c r="B24" s="143">
        <f t="shared" si="2"/>
        <v>3.25</v>
      </c>
      <c r="C24" s="88">
        <f>'2_BF'!E19</f>
        <v>1.0036737239073792</v>
      </c>
      <c r="D24" s="93">
        <f t="shared" si="8"/>
        <v>-3.9063353665425016E-3</v>
      </c>
      <c r="E24" s="89">
        <f t="shared" si="9"/>
        <v>48594.825423769631</v>
      </c>
      <c r="F24" s="89">
        <f t="shared" si="1"/>
        <v>40211.100971457752</v>
      </c>
      <c r="G24" s="90">
        <f t="shared" si="4"/>
        <v>-3.2363940489793189E-3</v>
      </c>
      <c r="H24" s="91">
        <f t="shared" si="7"/>
        <v>-1.0518280659182786E-2</v>
      </c>
      <c r="I24" s="91">
        <f t="shared" si="5"/>
        <v>-4.3419093527422875E-2</v>
      </c>
      <c r="J24" s="28">
        <f t="shared" si="10"/>
        <v>130686.0781572377</v>
      </c>
    </row>
    <row r="25" spans="2:10" ht="15.75" customHeight="1" thickBot="1" x14ac:dyDescent="0.3">
      <c r="B25" s="143">
        <f t="shared" si="2"/>
        <v>3.5</v>
      </c>
      <c r="C25" s="88">
        <f>'2_BF'!E18</f>
        <v>1.0016129776380833</v>
      </c>
      <c r="D25" s="93">
        <f t="shared" si="8"/>
        <v>-2.0607462692958656E-3</v>
      </c>
      <c r="E25" s="92">
        <f t="shared" si="9"/>
        <v>25635.690692822543</v>
      </c>
      <c r="F25" s="89">
        <f t="shared" si="1"/>
        <v>20906.170816934657</v>
      </c>
      <c r="G25" s="93">
        <f t="shared" si="4"/>
        <v>-1.6826350232712758E-3</v>
      </c>
      <c r="H25" s="94">
        <f t="shared" si="7"/>
        <v>-5.8892225814494653E-3</v>
      </c>
      <c r="I25" s="91">
        <f t="shared" si="5"/>
        <v>-2.5740533851366581E-2</v>
      </c>
      <c r="J25" s="28">
        <f t="shared" si="10"/>
        <v>73171.597859271293</v>
      </c>
    </row>
    <row r="26" spans="2:10" ht="15.75" customHeight="1" thickBot="1" x14ac:dyDescent="0.3">
      <c r="B26" s="143">
        <f t="shared" si="2"/>
        <v>3.75</v>
      </c>
      <c r="C26" s="88">
        <f>'2_BF'!E17</f>
        <v>1.0007656405128755</v>
      </c>
      <c r="D26" s="93">
        <f t="shared" si="8"/>
        <v>-8.4733712520779214E-4</v>
      </c>
      <c r="E26" s="89">
        <f t="shared" si="9"/>
        <v>10540.876758105014</v>
      </c>
      <c r="F26" s="89">
        <f t="shared" si="1"/>
        <v>8471.8789340411022</v>
      </c>
      <c r="G26" s="90">
        <f t="shared" si="4"/>
        <v>-6.8185993179509545E-4</v>
      </c>
      <c r="H26" s="91">
        <f t="shared" si="7"/>
        <v>-2.5569747442316078E-3</v>
      </c>
      <c r="I26" s="94">
        <f t="shared" si="5"/>
        <v>-1.1796878742514526E-2</v>
      </c>
      <c r="J26" s="28">
        <f t="shared" si="10"/>
        <v>31769.546002654133</v>
      </c>
    </row>
    <row r="27" spans="2:10" ht="15.75" customHeight="1" thickBot="1" x14ac:dyDescent="0.3">
      <c r="B27" s="143">
        <f t="shared" si="2"/>
        <v>4</v>
      </c>
      <c r="C27" s="88">
        <f>'2_BF'!E16</f>
        <v>1.0003551919021594</v>
      </c>
      <c r="D27" s="93">
        <f t="shared" si="8"/>
        <v>-4.1044861071615202E-4</v>
      </c>
      <c r="E27" s="92">
        <f t="shared" si="9"/>
        <v>5105.9821320037136</v>
      </c>
      <c r="F27" s="89">
        <f t="shared" si="1"/>
        <v>4044.4160913667019</v>
      </c>
      <c r="G27" s="90">
        <f t="shared" si="4"/>
        <v>-3.2551518992196527E-4</v>
      </c>
      <c r="H27" s="94">
        <f t="shared" si="7"/>
        <v>-1.3020607596878611E-3</v>
      </c>
      <c r="I27" s="91">
        <f t="shared" si="5"/>
        <v>-6.323366039074893E-3</v>
      </c>
      <c r="J27" s="28">
        <f t="shared" si="10"/>
        <v>16177.664365466808</v>
      </c>
    </row>
    <row r="28" spans="2:10" ht="15.75" customHeight="1" thickBot="1" x14ac:dyDescent="0.3">
      <c r="B28" s="143">
        <f t="shared" si="2"/>
        <v>4.25</v>
      </c>
      <c r="C28" s="88">
        <f>'2_BF'!E15</f>
        <v>1.0002468824573483</v>
      </c>
      <c r="D28" s="93">
        <f t="shared" si="8"/>
        <v>-1.0830944481110549E-4</v>
      </c>
      <c r="E28" s="89">
        <f t="shared" si="9"/>
        <v>1347.3698667607262</v>
      </c>
      <c r="F28" s="89">
        <f t="shared" si="1"/>
        <v>1051.8090493106397</v>
      </c>
      <c r="G28" s="93">
        <f t="shared" si="4"/>
        <v>-8.4654945167201266E-5</v>
      </c>
      <c r="H28" s="91">
        <f t="shared" si="7"/>
        <v>-3.5978351696060537E-4</v>
      </c>
      <c r="I28" s="91">
        <f t="shared" si="5"/>
        <v>-1.8346263785483079E-3</v>
      </c>
      <c r="J28" s="28">
        <f t="shared" si="10"/>
        <v>4470.1884595702186</v>
      </c>
    </row>
    <row r="29" spans="2:10" ht="15.75" customHeight="1" thickBot="1" x14ac:dyDescent="0.3">
      <c r="B29" s="143">
        <f t="shared" si="2"/>
        <v>4.5</v>
      </c>
      <c r="C29" s="88">
        <f>'2_BF'!E14</f>
        <v>1.0001307964766515</v>
      </c>
      <c r="D29" s="93">
        <f t="shared" si="8"/>
        <v>-1.1608598069678955E-4</v>
      </c>
      <c r="E29" s="92">
        <f t="shared" si="9"/>
        <v>1444.1099999820515</v>
      </c>
      <c r="F29" s="89">
        <f t="shared" si="1"/>
        <v>1111.0251284675455</v>
      </c>
      <c r="G29" s="90">
        <f t="shared" si="4"/>
        <v>-8.9420956580898471E-5</v>
      </c>
      <c r="H29" s="94">
        <f t="shared" si="7"/>
        <v>-4.0239430461404312E-4</v>
      </c>
      <c r="I29" s="94">
        <f t="shared" si="5"/>
        <v>-2.1496194454058638E-3</v>
      </c>
      <c r="J29" s="28">
        <f t="shared" si="10"/>
        <v>4999.6130781039546</v>
      </c>
    </row>
    <row r="30" spans="2:10" ht="15.75" customHeight="1" thickBot="1" x14ac:dyDescent="0.3">
      <c r="B30" s="143">
        <f t="shared" si="2"/>
        <v>4.75</v>
      </c>
      <c r="C30" s="88">
        <f>'2_BF'!E13</f>
        <v>1.0000328166559831</v>
      </c>
      <c r="D30" s="93">
        <f t="shared" si="8"/>
        <v>-9.7979820668392392E-5</v>
      </c>
      <c r="E30" s="89">
        <f t="shared" si="9"/>
        <v>1218.8693068222206</v>
      </c>
      <c r="F30" s="89">
        <f t="shared" si="1"/>
        <v>924.17513775835243</v>
      </c>
      <c r="G30" s="90">
        <f t="shared" si="4"/>
        <v>-7.4382318409506193E-5</v>
      </c>
      <c r="H30" s="91">
        <f t="shared" si="7"/>
        <v>-3.5331601244515439E-4</v>
      </c>
      <c r="I30" s="91">
        <f t="shared" si="5"/>
        <v>-1.9732323750364243E-3</v>
      </c>
      <c r="J30" s="28">
        <f t="shared" si="10"/>
        <v>4389.8319043521742</v>
      </c>
    </row>
    <row r="31" spans="2:10" ht="15.75" customHeight="1" thickBot="1" x14ac:dyDescent="0.3">
      <c r="B31" s="143">
        <f t="shared" si="2"/>
        <v>5</v>
      </c>
      <c r="C31" s="88">
        <f>'2_BF'!E12</f>
        <v>1.0000033980383918</v>
      </c>
      <c r="D31" s="93">
        <f t="shared" si="8"/>
        <v>-2.94186175913147E-5</v>
      </c>
      <c r="E31" s="92">
        <f t="shared" si="9"/>
        <v>365.96770423321561</v>
      </c>
      <c r="F31" s="89">
        <f t="shared" si="1"/>
        <v>273.47235799329849</v>
      </c>
      <c r="G31" s="93">
        <f t="shared" si="4"/>
        <v>-2.2010447129962464E-5</v>
      </c>
      <c r="H31" s="94">
        <f t="shared" si="7"/>
        <v>-1.1005223564981232E-4</v>
      </c>
      <c r="I31" s="91">
        <f t="shared" si="5"/>
        <v>-6.4135308364483682E-4</v>
      </c>
      <c r="J31" s="28">
        <f t="shared" si="10"/>
        <v>1367.3617899664923</v>
      </c>
    </row>
    <row r="32" spans="2:10" ht="15.75" customHeight="1" thickBot="1" x14ac:dyDescent="0.3">
      <c r="B32" s="143">
        <f t="shared" si="2"/>
        <v>5.25</v>
      </c>
      <c r="C32" s="88">
        <f>'2_BF'!E11</f>
        <v>0.99999750006440991</v>
      </c>
      <c r="D32" s="93">
        <f t="shared" si="8"/>
        <v>-5.8979739818720844E-6</v>
      </c>
      <c r="E32" s="89">
        <f t="shared" si="9"/>
        <v>73.370816663058008</v>
      </c>
      <c r="F32" s="89">
        <f t="shared" si="1"/>
        <v>54.034054990527345</v>
      </c>
      <c r="G32" s="90">
        <f t="shared" si="4"/>
        <v>-4.348935736370222E-6</v>
      </c>
      <c r="H32" s="91">
        <f t="shared" si="7"/>
        <v>-2.2831912615943667E-5</v>
      </c>
      <c r="I32" s="91">
        <f t="shared" si="5"/>
        <v>-1.386019620902659E-4</v>
      </c>
      <c r="J32" s="28">
        <f t="shared" si="10"/>
        <v>283.67878870026857</v>
      </c>
    </row>
    <row r="33" spans="2:11" ht="15.75" customHeight="1" thickBot="1" x14ac:dyDescent="0.3">
      <c r="B33" s="143">
        <f t="shared" si="2"/>
        <v>5.5</v>
      </c>
      <c r="C33" s="88">
        <f>'2_BF'!E10</f>
        <v>0.99999874187927718</v>
      </c>
      <c r="D33" s="93">
        <f t="shared" si="8"/>
        <v>1.2418148672699303E-6</v>
      </c>
      <c r="E33" s="92">
        <f t="shared" si="9"/>
        <v>-15.448181229005941</v>
      </c>
      <c r="F33" s="89">
        <f t="shared" si="1"/>
        <v>-11.212310000662139</v>
      </c>
      <c r="G33" s="90">
        <f t="shared" si="4"/>
        <v>9.0242377066998132E-7</v>
      </c>
      <c r="H33" s="94">
        <f t="shared" si="7"/>
        <v>4.9633307386848972E-6</v>
      </c>
      <c r="I33" s="94">
        <f t="shared" si="5"/>
        <v>3.1335284348471205E-5</v>
      </c>
      <c r="J33" s="28">
        <f t="shared" si="10"/>
        <v>-61.667705003641764</v>
      </c>
    </row>
    <row r="34" spans="2:11" ht="15.75" customHeight="1" thickBot="1" x14ac:dyDescent="0.3">
      <c r="B34" s="143">
        <f t="shared" si="2"/>
        <v>5.75</v>
      </c>
      <c r="C34" s="88">
        <f>'2_BF'!E9</f>
        <v>0.99999982801699461</v>
      </c>
      <c r="D34" s="93">
        <f t="shared" si="8"/>
        <v>1.0861377174320452E-6</v>
      </c>
      <c r="E34" s="89">
        <f t="shared" si="9"/>
        <v>-13.511556948449629</v>
      </c>
      <c r="F34" s="89">
        <f t="shared" si="1"/>
        <v>-9.66488455330453</v>
      </c>
      <c r="G34" s="93">
        <f t="shared" si="4"/>
        <v>7.7787909549130089E-7</v>
      </c>
      <c r="H34" s="91">
        <f t="shared" si="7"/>
        <v>4.4728047990749801E-6</v>
      </c>
      <c r="I34" s="91">
        <f t="shared" si="5"/>
        <v>2.932451144837045E-5</v>
      </c>
      <c r="J34" s="28">
        <f t="shared" si="10"/>
        <v>-55.573086181501047</v>
      </c>
    </row>
    <row r="35" spans="2:11" ht="15.75" customHeight="1" thickBot="1" x14ac:dyDescent="0.3">
      <c r="B35" s="143">
        <f t="shared" si="2"/>
        <v>6</v>
      </c>
      <c r="C35" s="88">
        <f>'2_BF'!E8</f>
        <v>1</v>
      </c>
      <c r="D35" s="93">
        <f t="shared" si="8"/>
        <v>1.7198300539256195E-7</v>
      </c>
      <c r="E35" s="92">
        <f>D35*$C$5</f>
        <v>-2.1394691798579473</v>
      </c>
      <c r="F35" s="89">
        <f t="shared" si="1"/>
        <v>-1.5082413492866911</v>
      </c>
      <c r="G35" s="90">
        <f>F35/$F$36</f>
        <v>1.2139093954977149E-7</v>
      </c>
      <c r="H35" s="94">
        <f t="shared" si="7"/>
        <v>7.2834563729862902E-7</v>
      </c>
      <c r="I35" s="91">
        <f t="shared" si="5"/>
        <v>4.9520227429242501E-6</v>
      </c>
      <c r="J35" s="28">
        <f t="shared" si="10"/>
        <v>-9.0494480957201464</v>
      </c>
    </row>
    <row r="36" spans="2:11" ht="15" customHeight="1" x14ac:dyDescent="0.25">
      <c r="B36" s="82" t="s">
        <v>139</v>
      </c>
      <c r="C36" s="95" t="s">
        <v>172</v>
      </c>
      <c r="D36" s="121">
        <f t="shared" ref="D36:J36" si="11">SUM(D12:D35)</f>
        <v>1</v>
      </c>
      <c r="E36" s="96">
        <f t="shared" si="11"/>
        <v>-12440003.446703788</v>
      </c>
      <c r="F36" s="97">
        <f t="shared" si="11"/>
        <v>-12424661.633566953</v>
      </c>
      <c r="G36" s="121">
        <f t="shared" si="11"/>
        <v>0.99999999999999978</v>
      </c>
      <c r="H36" s="98">
        <f t="shared" si="11"/>
        <v>4.1175542045034381E-2</v>
      </c>
      <c r="I36" s="122">
        <f t="shared" si="11"/>
        <v>-0.59037101847478402</v>
      </c>
      <c r="J36" s="99">
        <f t="shared" si="11"/>
        <v>-511592.17748826183</v>
      </c>
      <c r="K36" s="100">
        <f>+J36/F36</f>
        <v>4.1175542045034395E-2</v>
      </c>
    </row>
    <row r="37" spans="2:11" x14ac:dyDescent="0.25">
      <c r="F37" s="99">
        <v>895587.34222086053</v>
      </c>
    </row>
    <row r="38" spans="2:11" ht="21.75" customHeight="1" x14ac:dyDescent="0.25">
      <c r="B38" s="150" t="s">
        <v>173</v>
      </c>
      <c r="C38" s="150"/>
      <c r="D38" s="150"/>
      <c r="E38" s="150"/>
      <c r="F38" s="150"/>
      <c r="G38" s="150"/>
      <c r="H38" s="150"/>
      <c r="I38" s="150"/>
    </row>
    <row r="39" spans="2:11" ht="19.5" customHeight="1" x14ac:dyDescent="0.25">
      <c r="B39" s="101" t="s">
        <v>174</v>
      </c>
      <c r="C39" s="102">
        <f>SUMPRODUCT(B12:B35,F12:F35)/F36</f>
        <v>4.1175542045034395E-2</v>
      </c>
      <c r="D39" s="103" t="s">
        <v>175</v>
      </c>
      <c r="E39" s="144" t="s">
        <v>176</v>
      </c>
      <c r="F39" s="144"/>
      <c r="G39" s="144"/>
      <c r="H39" s="145" t="s">
        <v>250</v>
      </c>
      <c r="I39" s="145"/>
    </row>
    <row r="40" spans="2:11" ht="6" customHeight="1" x14ac:dyDescent="0.25"/>
    <row r="41" spans="2:11" ht="19.5" customHeight="1" x14ac:dyDescent="0.25">
      <c r="B41" s="101" t="s">
        <v>177</v>
      </c>
      <c r="C41" s="102">
        <f>(SUMPRODUCT(B12:B35,F12:F35)/F36)/(1+Triangulo2!E5)</f>
        <v>3.8844850985881502E-2</v>
      </c>
      <c r="D41" s="103" t="s">
        <v>175</v>
      </c>
      <c r="E41" s="144" t="s">
        <v>178</v>
      </c>
      <c r="F41" s="144"/>
      <c r="G41" s="144"/>
      <c r="H41" s="145" t="s">
        <v>249</v>
      </c>
      <c r="I41" s="145"/>
      <c r="J41" s="100">
        <f>+K36/(1+C6)</f>
        <v>4.0580076248649254E-2</v>
      </c>
    </row>
    <row r="42" spans="2:11" ht="6" customHeight="1" x14ac:dyDescent="0.25"/>
    <row r="43" spans="2:11" ht="19.5" customHeight="1" x14ac:dyDescent="0.25">
      <c r="B43" s="104" t="s">
        <v>179</v>
      </c>
      <c r="C43" s="105" cm="1">
        <f t="array" ref="C43">SUMPRODUCT(B12:B35*(B12:B35+1),F12:F35)/((1+Triangulo2!E5)^2*F36)</f>
        <v>-0.54096134319812939</v>
      </c>
      <c r="D43" s="106"/>
      <c r="E43" s="151" t="s">
        <v>180</v>
      </c>
      <c r="F43" s="151"/>
      <c r="G43" s="151"/>
      <c r="H43" s="145" t="s">
        <v>181</v>
      </c>
      <c r="I43" s="145"/>
    </row>
    <row r="44" spans="2:11" ht="6" customHeight="1" x14ac:dyDescent="0.25"/>
    <row r="46" spans="2:11" ht="15" customHeight="1" x14ac:dyDescent="0.25">
      <c r="B46" s="148" t="s">
        <v>182</v>
      </c>
      <c r="C46" s="148"/>
      <c r="D46" s="148"/>
      <c r="E46" s="148"/>
      <c r="F46" s="148"/>
      <c r="G46" s="148"/>
      <c r="H46" s="148"/>
      <c r="I46" s="148"/>
    </row>
    <row r="47" spans="2:11" ht="15" customHeight="1" x14ac:dyDescent="0.25">
      <c r="B47" s="107" t="s">
        <v>183</v>
      </c>
      <c r="C47" s="107" t="s">
        <v>184</v>
      </c>
      <c r="D47" s="107" t="s">
        <v>185</v>
      </c>
      <c r="E47" s="107" t="s">
        <v>186</v>
      </c>
      <c r="F47" s="107" t="s">
        <v>187</v>
      </c>
      <c r="G47" s="87" t="s">
        <v>188</v>
      </c>
    </row>
    <row r="48" spans="2:11" ht="15" customHeight="1" x14ac:dyDescent="0.25">
      <c r="B48" s="108" t="s">
        <v>189</v>
      </c>
      <c r="C48" s="109">
        <f>C6</f>
        <v>1.4673846168659299E-2</v>
      </c>
      <c r="D48" s="89" cm="1">
        <f t="array" ref="D48">SUMPRODUCT(D12:D35*$C$5,1/((1+C48)^(B12:B35*4)))</f>
        <v>-12424661.633566953</v>
      </c>
      <c r="E48" s="110" t="s">
        <v>190</v>
      </c>
      <c r="F48" s="111" t="s">
        <v>190</v>
      </c>
      <c r="G48" s="111" t="s">
        <v>190</v>
      </c>
    </row>
    <row r="49" spans="2:7" ht="15" customHeight="1" x14ac:dyDescent="0.25">
      <c r="B49" s="112" t="s">
        <v>191</v>
      </c>
      <c r="C49" s="113">
        <f>POWER(1+Triangulo2!$E$5+'2_Duration'!C7,0.25)-1</f>
        <v>1.7058525001811375E-2</v>
      </c>
      <c r="D49" s="114" cm="1">
        <f t="array" ref="D49">SUMPRODUCT(D12:D35*$C$5,1/((1+C49)^(B12:B35*4)))</f>
        <v>-12419505.562866053</v>
      </c>
      <c r="E49" s="115">
        <f>D49-D48</f>
        <v>5156.0707009006292</v>
      </c>
      <c r="F49" s="113">
        <f>E49/D48</f>
        <v>-4.149868103426484E-4</v>
      </c>
      <c r="G49" s="115">
        <f>-C41*(C49-$C$6)*D48</f>
        <v>1150.927393266451</v>
      </c>
    </row>
    <row r="50" spans="2:7" ht="15" customHeight="1" x14ac:dyDescent="0.25">
      <c r="B50" s="112" t="s">
        <v>192</v>
      </c>
      <c r="C50" s="113">
        <f>POWER(1+Triangulo2!$E$5+'2_Duration'!C7*2,0.25)-1</f>
        <v>1.9426546908273501E-2</v>
      </c>
      <c r="D50" s="114" cm="1">
        <f t="array" ref="D50">SUMPRODUCT(D12:D35*$C$5,1/((1+C50)^(B12:B35*4)))</f>
        <v>-12413714.65500436</v>
      </c>
      <c r="E50" s="115">
        <f>D50-D48</f>
        <v>10946.97856259346</v>
      </c>
      <c r="F50" s="113">
        <f>E50/D48</f>
        <v>-8.8106854620641521E-4</v>
      </c>
      <c r="G50" s="115">
        <f>-C41*(C50-$C$6)*D48</f>
        <v>2293.8155852163227</v>
      </c>
    </row>
    <row r="51" spans="2:7" ht="15" customHeight="1" x14ac:dyDescent="0.25">
      <c r="B51" s="116" t="s">
        <v>193</v>
      </c>
      <c r="C51" s="117">
        <f>POWER(1+Triangulo2!$E$5-'2_Duration'!C7,0.25)-1</f>
        <v>1.2272234429039353E-2</v>
      </c>
      <c r="D51" s="118" cm="1">
        <f t="array" ref="D51">SUMPRODUCT(D12:D35*$C$5,1/((1+C51)^(B12:B35*4)))</f>
        <v>-12429145.392800856</v>
      </c>
      <c r="E51" s="119">
        <f>D51-D48</f>
        <v>-4483.7592339031398</v>
      </c>
      <c r="F51" s="117">
        <f>E51/D48</f>
        <v>3.6087576194345931E-4</v>
      </c>
      <c r="G51" s="119">
        <f>-C41*(C51-$C$6)*D48</f>
        <v>-1159.099791842963</v>
      </c>
    </row>
    <row r="52" spans="2:7" ht="15" customHeight="1" x14ac:dyDescent="0.25">
      <c r="B52" s="116" t="s">
        <v>194</v>
      </c>
      <c r="C52" s="117">
        <f>POWER(1+Triangulo2!$E$5-'2_Duration'!C7*2,0.25)-1</f>
        <v>9.8534065489688238E-3</v>
      </c>
      <c r="D52" s="118" cm="1">
        <f t="array" ref="D52">SUMPRODUCT(D12:D35*$C$5,1/((1+C52)^(B12:B35*4)))</f>
        <v>-12432917.141219601</v>
      </c>
      <c r="E52" s="119">
        <f>D52-D48</f>
        <v>-8255.5076526477933</v>
      </c>
      <c r="F52" s="117">
        <f>E52/D48</f>
        <v>6.6444526990935436E-4</v>
      </c>
      <c r="G52" s="119">
        <f>-C41*(C52-$C$6)*D48</f>
        <v>-2326.5086806491872</v>
      </c>
    </row>
  </sheetData>
  <mergeCells count="16">
    <mergeCell ref="E43:G43"/>
    <mergeCell ref="H43:I43"/>
    <mergeCell ref="B46:I46"/>
    <mergeCell ref="E41:G41"/>
    <mergeCell ref="H41:I41"/>
    <mergeCell ref="B1:I1"/>
    <mergeCell ref="B2:I2"/>
    <mergeCell ref="B4:E4"/>
    <mergeCell ref="D5:I5"/>
    <mergeCell ref="D6:I6"/>
    <mergeCell ref="D7:I7"/>
    <mergeCell ref="D8:I8"/>
    <mergeCell ref="B10:I10"/>
    <mergeCell ref="B38:I38"/>
    <mergeCell ref="E39:G39"/>
    <mergeCell ref="H39:I39"/>
  </mergeCells>
  <dataValidations disablePrompts="1" count="1">
    <dataValidation type="list" allowBlank="1" showInputMessage="1" showErrorMessage="1" sqref="I4" xr:uid="{1C3F4381-2069-4F96-9919-02644A1609DF}">
      <formula1>$N$2:$N$3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6A1D-9697-4768-93AB-FF5BCD4B1935}">
  <dimension ref="A1:AY89"/>
  <sheetViews>
    <sheetView showGridLines="0" zoomScale="70" zoomScaleNormal="7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F52" sqref="F52"/>
    </sheetView>
  </sheetViews>
  <sheetFormatPr baseColWidth="10" defaultColWidth="8.7109375" defaultRowHeight="15" x14ac:dyDescent="0.25"/>
  <cols>
    <col min="1" max="19" width="20" style="28" customWidth="1"/>
    <col min="20" max="24" width="13" style="28" customWidth="1"/>
    <col min="25" max="25" width="14.42578125" style="28" bestFit="1" customWidth="1"/>
    <col min="26" max="27" width="13" style="28" customWidth="1"/>
    <col min="28" max="29" width="10.7109375" style="28" customWidth="1"/>
    <col min="30" max="30" width="11.140625" style="28" bestFit="1" customWidth="1"/>
    <col min="31" max="31" width="24.85546875" style="28" bestFit="1" customWidth="1"/>
    <col min="32" max="32" width="22.28515625" style="28" bestFit="1" customWidth="1"/>
    <col min="33" max="33" width="10.28515625" style="28" bestFit="1" customWidth="1"/>
    <col min="34" max="34" width="12" style="28" bestFit="1" customWidth="1"/>
    <col min="35" max="35" width="10.7109375" style="28" bestFit="1" customWidth="1"/>
    <col min="36" max="36" width="11.42578125" style="28" bestFit="1" customWidth="1"/>
    <col min="37" max="37" width="26.140625" style="28" bestFit="1" customWidth="1"/>
    <col min="38" max="49" width="8.7109375" style="28"/>
    <col min="50" max="50" width="9.5703125" style="28" bestFit="1" customWidth="1"/>
    <col min="51" max="51" width="22.28515625" style="28" bestFit="1" customWidth="1"/>
    <col min="52" max="56" width="8.7109375" style="28"/>
    <col min="57" max="57" width="12.140625" style="28" bestFit="1" customWidth="1"/>
    <col min="58" max="16384" width="8.7109375" style="28"/>
  </cols>
  <sheetData>
    <row r="1" spans="1:51" ht="27.75" customHeight="1" x14ac:dyDescent="0.25">
      <c r="A1" s="169" t="s">
        <v>234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</row>
    <row r="3" spans="1:51" x14ac:dyDescent="0.25">
      <c r="A3" s="148" t="s">
        <v>198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spans="1:51" ht="30" customHeight="1" x14ac:dyDescent="0.25">
      <c r="A4" s="107" t="s">
        <v>199</v>
      </c>
      <c r="B4" s="107" t="s">
        <v>200</v>
      </c>
      <c r="C4" s="107" t="s">
        <v>201</v>
      </c>
      <c r="D4" s="107" t="s">
        <v>202</v>
      </c>
      <c r="E4" s="107" t="s">
        <v>203</v>
      </c>
      <c r="F4" s="107" t="s">
        <v>204</v>
      </c>
      <c r="G4" s="107" t="s">
        <v>216</v>
      </c>
      <c r="H4" s="107" t="s">
        <v>217</v>
      </c>
      <c r="I4" s="107" t="s">
        <v>218</v>
      </c>
      <c r="J4" s="107" t="s">
        <v>219</v>
      </c>
      <c r="K4" s="107" t="s">
        <v>220</v>
      </c>
      <c r="L4" s="107" t="s">
        <v>221</v>
      </c>
      <c r="M4" s="107" t="s">
        <v>222</v>
      </c>
      <c r="N4" s="107" t="s">
        <v>223</v>
      </c>
      <c r="O4" s="107" t="s">
        <v>224</v>
      </c>
      <c r="P4" s="107" t="s">
        <v>225</v>
      </c>
      <c r="Q4" s="107" t="s">
        <v>226</v>
      </c>
      <c r="R4" s="107" t="s">
        <v>227</v>
      </c>
      <c r="S4" s="107" t="s">
        <v>228</v>
      </c>
      <c r="T4" s="107" t="s">
        <v>229</v>
      </c>
      <c r="U4" s="107" t="s">
        <v>230</v>
      </c>
      <c r="V4" s="107" t="s">
        <v>231</v>
      </c>
      <c r="W4" s="107" t="s">
        <v>232</v>
      </c>
      <c r="X4" s="107" t="s">
        <v>233</v>
      </c>
      <c r="Y4" s="123" t="s">
        <v>205</v>
      </c>
      <c r="Z4" s="107" t="s">
        <v>206</v>
      </c>
      <c r="AC4" s="107" t="s">
        <v>200</v>
      </c>
      <c r="AD4" s="107" t="s">
        <v>201</v>
      </c>
      <c r="AE4" s="107" t="s">
        <v>202</v>
      </c>
      <c r="AF4" s="107" t="s">
        <v>203</v>
      </c>
      <c r="AG4" s="107" t="s">
        <v>204</v>
      </c>
      <c r="AH4" s="107" t="s">
        <v>216</v>
      </c>
      <c r="AI4" s="107" t="s">
        <v>217</v>
      </c>
      <c r="AJ4" s="107" t="s">
        <v>218</v>
      </c>
      <c r="AK4" s="107" t="s">
        <v>219</v>
      </c>
      <c r="AL4" s="107" t="s">
        <v>220</v>
      </c>
      <c r="AM4" s="107" t="s">
        <v>221</v>
      </c>
      <c r="AN4" s="107" t="s">
        <v>222</v>
      </c>
      <c r="AO4" s="107" t="s">
        <v>223</v>
      </c>
      <c r="AP4" s="107" t="s">
        <v>224</v>
      </c>
      <c r="AQ4" s="107" t="s">
        <v>225</v>
      </c>
      <c r="AR4" s="107" t="s">
        <v>226</v>
      </c>
      <c r="AS4" s="107" t="s">
        <v>227</v>
      </c>
      <c r="AT4" s="107" t="s">
        <v>228</v>
      </c>
      <c r="AU4" s="107" t="s">
        <v>229</v>
      </c>
      <c r="AV4" s="107" t="s">
        <v>230</v>
      </c>
      <c r="AW4" s="107" t="s">
        <v>231</v>
      </c>
      <c r="AX4" s="107" t="s">
        <v>232</v>
      </c>
      <c r="AY4" s="107" t="s">
        <v>233</v>
      </c>
    </row>
    <row r="5" spans="1:51" x14ac:dyDescent="0.25">
      <c r="A5" s="41" t="s">
        <v>8</v>
      </c>
      <c r="B5" s="130">
        <f>Triangulo2!D44</f>
        <v>1.3012915774801588</v>
      </c>
      <c r="C5" s="130">
        <f>Triangulo2!E44</f>
        <v>0.86709506178619189</v>
      </c>
      <c r="D5" s="130">
        <f>Triangulo2!F44</f>
        <v>0.91302390025203217</v>
      </c>
      <c r="E5" s="130">
        <f>Triangulo2!G44</f>
        <v>1.0100380259879793</v>
      </c>
      <c r="F5" s="130">
        <f>Triangulo2!H44</f>
        <v>0.97635252242705584</v>
      </c>
      <c r="G5" s="130">
        <f>Triangulo2!I44</f>
        <v>0.98005414001163405</v>
      </c>
      <c r="H5" s="130">
        <f>Triangulo2!J44</f>
        <v>0.96352694742337153</v>
      </c>
      <c r="I5" s="130">
        <f>Triangulo2!K44</f>
        <v>0.97419870350385274</v>
      </c>
      <c r="J5" s="130">
        <f>Triangulo2!L44</f>
        <v>0.99358889401795147</v>
      </c>
      <c r="K5" s="130">
        <f>Triangulo2!M44</f>
        <v>0.9944931577640419</v>
      </c>
      <c r="L5" s="130">
        <f>Triangulo2!N44</f>
        <v>0.98615404627364034</v>
      </c>
      <c r="M5" s="130">
        <f>Triangulo2!O44</f>
        <v>0.99991924930596321</v>
      </c>
      <c r="N5" s="130">
        <f>Triangulo2!P44</f>
        <v>0.99638560133071463</v>
      </c>
      <c r="O5" s="130">
        <f>Triangulo2!Q44</f>
        <v>0.99928909391069443</v>
      </c>
      <c r="P5" s="130">
        <f>Triangulo2!R44</f>
        <v>0.99969704853444008</v>
      </c>
      <c r="Q5" s="130">
        <f>Triangulo2!S44</f>
        <v>0.99979287172778153</v>
      </c>
      <c r="R5" s="130">
        <f>Triangulo2!T44</f>
        <v>0.99980262861548097</v>
      </c>
      <c r="S5" s="130">
        <f>Triangulo2!U44</f>
        <v>0.99994823996981752</v>
      </c>
      <c r="T5" s="130">
        <f>Triangulo2!V44</f>
        <v>0.99993293203762612</v>
      </c>
      <c r="U5" s="130">
        <f>Triangulo2!W44</f>
        <v>0.99998383381714362</v>
      </c>
      <c r="V5" s="130">
        <f>Triangulo2!X44</f>
        <v>1.000001203884143</v>
      </c>
      <c r="W5" s="130">
        <f>Triangulo2!Y44</f>
        <v>1.0000012038826938</v>
      </c>
      <c r="X5" s="130">
        <f>Triangulo2!Z44</f>
        <v>1.0000001719830349</v>
      </c>
      <c r="Y5" s="131" t="b">
        <f>MIN(B5:X5)&gt;1</f>
        <v>0</v>
      </c>
      <c r="Z5" s="124" t="b" cm="1">
        <f t="array" ref="Z5">MAX(ABS(AC5:AC26))&gt;0.1</f>
        <v>1</v>
      </c>
      <c r="AC5" s="125">
        <f>(B5-B6)/B5</f>
        <v>-7.4196973833234869E-2</v>
      </c>
      <c r="AD5" s="125">
        <f t="shared" ref="AD5:AX20" si="0">(C5-C6)/C5</f>
        <v>-0.12412841163209733</v>
      </c>
      <c r="AE5" s="125">
        <f t="shared" si="0"/>
        <v>-4.539268641189742E-2</v>
      </c>
      <c r="AF5" s="125">
        <f t="shared" si="0"/>
        <v>3.9251195283406017E-2</v>
      </c>
      <c r="AG5" s="125">
        <f t="shared" si="0"/>
        <v>2.0662009198713738E-2</v>
      </c>
      <c r="AH5" s="125">
        <f t="shared" si="0"/>
        <v>1.5469833453242158E-2</v>
      </c>
      <c r="AI5" s="125">
        <f t="shared" si="0"/>
        <v>-9.8131313976319353E-3</v>
      </c>
      <c r="AJ5" s="125">
        <f t="shared" si="0"/>
        <v>-1.2016050800294878E-2</v>
      </c>
      <c r="AK5" s="125">
        <f t="shared" si="0"/>
        <v>1.0480172230481723E-2</v>
      </c>
      <c r="AL5" s="125">
        <f t="shared" si="0"/>
        <v>8.293953584711947E-3</v>
      </c>
      <c r="AM5" s="125">
        <f t="shared" si="0"/>
        <v>-7.1691101519135497E-3</v>
      </c>
      <c r="AN5" s="125">
        <f t="shared" si="0"/>
        <v>3.982181508529129E-3</v>
      </c>
      <c r="AO5" s="125">
        <f t="shared" si="0"/>
        <v>-2.9125766307186614E-3</v>
      </c>
      <c r="AP5" s="125">
        <f t="shared" si="0"/>
        <v>-5.8837058078808641E-4</v>
      </c>
      <c r="AQ5" s="125">
        <f t="shared" si="0"/>
        <v>2.4623427499419253E-4</v>
      </c>
      <c r="AR5" s="125">
        <f t="shared" si="0"/>
        <v>-1.3088277644840492E-4</v>
      </c>
      <c r="AS5" s="125">
        <f t="shared" si="0"/>
        <v>-1.2461886214260197E-4</v>
      </c>
      <c r="AT5" s="125">
        <f t="shared" si="0"/>
        <v>-2.3998907703491235E-5</v>
      </c>
      <c r="AU5" s="125">
        <f t="shared" si="0"/>
        <v>-2.2298275508104678E-5</v>
      </c>
      <c r="AV5" s="125">
        <f t="shared" si="0"/>
        <v>-1.5290976677646274E-5</v>
      </c>
      <c r="AW5" s="125">
        <f t="shared" si="0"/>
        <v>-7.9715293565796441E-7</v>
      </c>
      <c r="AX5" s="125">
        <f t="shared" si="0"/>
        <v>2.0336543169289306E-7</v>
      </c>
      <c r="AY5" s="125"/>
    </row>
    <row r="6" spans="1:51" x14ac:dyDescent="0.25">
      <c r="A6" s="35" t="s">
        <v>9</v>
      </c>
      <c r="B6" s="132">
        <f>Triangulo2!D45</f>
        <v>1.397843474603863</v>
      </c>
      <c r="C6" s="132">
        <f>Triangulo2!E45</f>
        <v>0.97472619453974718</v>
      </c>
      <c r="D6" s="132">
        <f>Triangulo2!F45</f>
        <v>0.95446850784274018</v>
      </c>
      <c r="E6" s="132">
        <f>Triangulo2!G45</f>
        <v>0.97039282618625922</v>
      </c>
      <c r="F6" s="132">
        <f>Triangulo2!H45</f>
        <v>0.95617911762748065</v>
      </c>
      <c r="G6" s="132">
        <f>Triangulo2!I45</f>
        <v>0.9648928656904936</v>
      </c>
      <c r="H6" s="132">
        <f>Triangulo2!J45</f>
        <v>0.97298216396359627</v>
      </c>
      <c r="I6" s="132">
        <f>Triangulo2!K45</f>
        <v>0.98590472461473644</v>
      </c>
      <c r="J6" s="132">
        <f>Triangulo2!L45</f>
        <v>0.98317591128234949</v>
      </c>
      <c r="K6" s="132">
        <f>Triangulo2!M45</f>
        <v>0.98624487767323332</v>
      </c>
      <c r="L6" s="132">
        <f>Triangulo2!N45</f>
        <v>0.99322389325813132</v>
      </c>
      <c r="M6" s="132">
        <f>Triangulo2!O45</f>
        <v>0.99593738936135467</v>
      </c>
      <c r="N6" s="132">
        <f>Triangulo2!P45</f>
        <v>0.99928765074833503</v>
      </c>
      <c r="O6" s="132">
        <f>Triangulo2!Q45</f>
        <v>0.99987704621525386</v>
      </c>
      <c r="P6" s="132">
        <f>Triangulo2!R45</f>
        <v>0.99945088885648037</v>
      </c>
      <c r="Q6" s="132">
        <f>Triangulo2!S45</f>
        <v>0.99992372739470659</v>
      </c>
      <c r="R6" s="132">
        <f>Triangulo2!T45</f>
        <v>0.99992722288142621</v>
      </c>
      <c r="S6" s="132">
        <f>Triangulo2!U45</f>
        <v>0.99997223763533682</v>
      </c>
      <c r="T6" s="132">
        <f>Triangulo2!V45</f>
        <v>0.99995522881763432</v>
      </c>
      <c r="U6" s="132">
        <f>Triangulo2!W45</f>
        <v>0.99999912454662454</v>
      </c>
      <c r="V6" s="132">
        <f>Triangulo2!X45</f>
        <v>1.0000020010380384</v>
      </c>
      <c r="W6" s="132">
        <f>Triangulo2!Y45</f>
        <v>1.0000010005170172</v>
      </c>
      <c r="X6" s="133">
        <f>Triangulo2!Z45</f>
        <v>0</v>
      </c>
      <c r="Y6" s="131" t="b">
        <f>MIN(B6:W6)&gt;1</f>
        <v>0</v>
      </c>
      <c r="Z6" s="124" t="b" cm="1">
        <f t="array" ref="Z6">MAX(ABS(AD5:AD25))&gt;0.1</f>
        <v>1</v>
      </c>
      <c r="AC6" s="125">
        <f t="shared" ref="AC6:AH26" si="1">(B6-B7)/B6</f>
        <v>0.18227942601648206</v>
      </c>
      <c r="AD6" s="125">
        <f t="shared" si="0"/>
        <v>-1.1163754267745868E-3</v>
      </c>
      <c r="AE6" s="125">
        <f t="shared" si="0"/>
        <v>-8.5337718751051825E-2</v>
      </c>
      <c r="AF6" s="125">
        <f t="shared" si="0"/>
        <v>1.4749022144350364E-2</v>
      </c>
      <c r="AG6" s="125">
        <f t="shared" si="0"/>
        <v>-2.8307776287880046E-2</v>
      </c>
      <c r="AH6" s="125">
        <f t="shared" si="0"/>
        <v>-2.3736295632333856E-2</v>
      </c>
      <c r="AI6" s="125">
        <f t="shared" si="0"/>
        <v>2.5589104354061206E-3</v>
      </c>
      <c r="AJ6" s="125">
        <f t="shared" si="0"/>
        <v>3.2139909742951035E-2</v>
      </c>
      <c r="AK6" s="125">
        <f t="shared" si="0"/>
        <v>-2.2649738774169956E-2</v>
      </c>
      <c r="AL6" s="125">
        <f t="shared" si="0"/>
        <v>3.9161590911560851E-3</v>
      </c>
      <c r="AM6" s="125">
        <f t="shared" si="0"/>
        <v>9.7781705107756554E-3</v>
      </c>
      <c r="AN6" s="125">
        <f t="shared" si="0"/>
        <v>6.4110865409742531E-3</v>
      </c>
      <c r="AO6" s="125">
        <f t="shared" si="0"/>
        <v>-1.0338579103398205E-3</v>
      </c>
      <c r="AP6" s="125">
        <f t="shared" si="0"/>
        <v>2.0127609260894587E-3</v>
      </c>
      <c r="AQ6" s="125">
        <f t="shared" si="0"/>
        <v>-3.7932678018765463E-5</v>
      </c>
      <c r="AR6" s="125">
        <f t="shared" si="0"/>
        <v>-2.3218281488842865E-5</v>
      </c>
      <c r="AS6" s="125">
        <f t="shared" si="0"/>
        <v>-3.9034492744997541E-5</v>
      </c>
      <c r="AT6" s="125">
        <f t="shared" si="0"/>
        <v>1.3524386159364816E-4</v>
      </c>
      <c r="AU6" s="125">
        <f t="shared" si="0"/>
        <v>-5.7298114462341412E-5</v>
      </c>
      <c r="AV6" s="125">
        <f t="shared" si="0"/>
        <v>3.9819544105629914E-7</v>
      </c>
      <c r="AW6" s="125">
        <f t="shared" si="0"/>
        <v>2.0010340342342584E-6</v>
      </c>
      <c r="AX6" s="125"/>
      <c r="AY6" s="126"/>
    </row>
    <row r="7" spans="1:51" x14ac:dyDescent="0.25">
      <c r="A7" s="41" t="s">
        <v>11</v>
      </c>
      <c r="B7" s="135">
        <f>Triangulo2!D46</f>
        <v>1.143045368392186</v>
      </c>
      <c r="C7" s="130">
        <f>Triangulo2!E46</f>
        <v>0.97581435491116486</v>
      </c>
      <c r="D7" s="130">
        <f>Triangulo2!F46</f>
        <v>1.03592067292176</v>
      </c>
      <c r="E7" s="130">
        <f>Triangulo2!G46</f>
        <v>0.95608048090411935</v>
      </c>
      <c r="F7" s="130">
        <f>Triangulo2!H46</f>
        <v>0.98324642218042191</v>
      </c>
      <c r="G7" s="130">
        <f>Triangulo2!I46</f>
        <v>0.98779584800405296</v>
      </c>
      <c r="H7" s="130">
        <f>Triangulo2!J46</f>
        <v>0.97049238975076579</v>
      </c>
      <c r="I7" s="130">
        <f>Triangulo2!K46</f>
        <v>0.95421783575046981</v>
      </c>
      <c r="J7" s="130">
        <f>Triangulo2!L46</f>
        <v>1.0054445888419512</v>
      </c>
      <c r="K7" s="130">
        <f>Triangulo2!M46</f>
        <v>0.98238258582942717</v>
      </c>
      <c r="L7" s="130">
        <f>Triangulo2!N46</f>
        <v>0.98351198067447687</v>
      </c>
      <c r="M7" s="130">
        <f>Triangulo2!O46</f>
        <v>0.98955234856876706</v>
      </c>
      <c r="N7" s="130">
        <f>Triangulo2!P46</f>
        <v>1.0003207721907661</v>
      </c>
      <c r="O7" s="130">
        <f>Triangulo2!Q46</f>
        <v>0.99786453276573805</v>
      </c>
      <c r="P7" s="130">
        <f>Triangulo2!R46</f>
        <v>0.99948880070524293</v>
      </c>
      <c r="Q7" s="130">
        <f>Triangulo2!S46</f>
        <v>0.99994694390527661</v>
      </c>
      <c r="R7" s="130">
        <f>Triangulo2!T46</f>
        <v>0.9999662545333533</v>
      </c>
      <c r="S7" s="130">
        <f>Triangulo2!U46</f>
        <v>0.99983699752843258</v>
      </c>
      <c r="T7" s="130">
        <f>Triangulo2!V46</f>
        <v>1.0000125243667923</v>
      </c>
      <c r="U7" s="130">
        <f>Triangulo2!W46</f>
        <v>0.99999872635153209</v>
      </c>
      <c r="V7" s="130">
        <f>Triangulo2!X46</f>
        <v>1</v>
      </c>
      <c r="W7" s="133">
        <f>Triangulo2!Y46</f>
        <v>0</v>
      </c>
      <c r="X7" s="133">
        <f>Triangulo2!Z46</f>
        <v>0</v>
      </c>
      <c r="Y7" s="131" t="b">
        <f>MIN(B7:V7)&gt;1</f>
        <v>0</v>
      </c>
      <c r="Z7" s="124" t="b" cm="1">
        <f t="array" ref="Z7">MAX(ABS(AE5:AE26))&gt;0.1</f>
        <v>1</v>
      </c>
      <c r="AC7" s="125">
        <f t="shared" si="1"/>
        <v>-0.21461288601516551</v>
      </c>
      <c r="AD7" s="125">
        <f t="shared" si="0"/>
        <v>7.1244227562962142E-2</v>
      </c>
      <c r="AE7" s="125">
        <f t="shared" si="0"/>
        <v>8.4788931503446255E-2</v>
      </c>
      <c r="AF7" s="125">
        <f t="shared" si="0"/>
        <v>5.1620397912650509E-2</v>
      </c>
      <c r="AG7" s="125">
        <f t="shared" si="0"/>
        <v>7.1155865858881284E-2</v>
      </c>
      <c r="AH7" s="125">
        <f t="shared" si="0"/>
        <v>5.4950321346987088E-2</v>
      </c>
      <c r="AI7" s="125">
        <f t="shared" si="0"/>
        <v>-3.2495386695543752E-3</v>
      </c>
      <c r="AJ7" s="125">
        <f t="shared" si="0"/>
        <v>-2.9121553139767914E-2</v>
      </c>
      <c r="AK7" s="125">
        <f t="shared" si="0"/>
        <v>1.7347890727688452E-2</v>
      </c>
      <c r="AL7" s="125">
        <f t="shared" si="0"/>
        <v>-4.1518093028446281E-3</v>
      </c>
      <c r="AM7" s="125">
        <f t="shared" si="0"/>
        <v>1.5471666138553357E-3</v>
      </c>
      <c r="AN7" s="125">
        <f t="shared" si="0"/>
        <v>-9.8745331962975733E-3</v>
      </c>
      <c r="AO7" s="125">
        <f t="shared" si="0"/>
        <v>9.6751309487715044E-4</v>
      </c>
      <c r="AP7" s="125">
        <f t="shared" si="0"/>
        <v>-2.338921742141412E-3</v>
      </c>
      <c r="AQ7" s="125">
        <f t="shared" si="0"/>
        <v>3.0016707282692902E-5</v>
      </c>
      <c r="AR7" s="125">
        <f t="shared" si="0"/>
        <v>-2.9876280438551968E-5</v>
      </c>
      <c r="AS7" s="125">
        <f t="shared" si="0"/>
        <v>1.043926088680844E-5</v>
      </c>
      <c r="AT7" s="125">
        <f t="shared" si="0"/>
        <v>-2.47013111014096E-5</v>
      </c>
      <c r="AU7" s="125">
        <f t="shared" si="0"/>
        <v>4.0029045296732905E-6</v>
      </c>
      <c r="AV7" s="125">
        <f t="shared" si="0"/>
        <v>5.067819951360798E-6</v>
      </c>
      <c r="AW7" s="125"/>
      <c r="AX7" s="125"/>
      <c r="AY7" s="126"/>
    </row>
    <row r="8" spans="1:51" x14ac:dyDescent="0.25">
      <c r="A8" s="35" t="s">
        <v>12</v>
      </c>
      <c r="B8" s="132">
        <f>Triangulo2!D47</f>
        <v>1.388357633749101</v>
      </c>
      <c r="C8" s="132">
        <f>Triangulo2!E47</f>
        <v>0.90629321495066872</v>
      </c>
      <c r="D8" s="132">
        <f>Triangulo2!F47</f>
        <v>0.94808606594239297</v>
      </c>
      <c r="E8" s="132">
        <f>Triangulo2!G47</f>
        <v>0.90672722604333045</v>
      </c>
      <c r="F8" s="132">
        <f>Triangulo2!H47</f>
        <v>0.91328267165752686</v>
      </c>
      <c r="G8" s="132">
        <f>Triangulo2!I47</f>
        <v>0.93351614873101063</v>
      </c>
      <c r="H8" s="132">
        <f>Triangulo2!J47</f>
        <v>0.97364604229976914</v>
      </c>
      <c r="I8" s="132">
        <f>Triangulo2!K47</f>
        <v>0.98200614116119145</v>
      </c>
      <c r="J8" s="132">
        <f>Triangulo2!L47</f>
        <v>0.98800224598197539</v>
      </c>
      <c r="K8" s="132">
        <f>Triangulo2!M47</f>
        <v>0.98646125098822635</v>
      </c>
      <c r="L8" s="132">
        <f>Triangulo2!N47</f>
        <v>0.98199032377365059</v>
      </c>
      <c r="M8" s="132">
        <f>Triangulo2!O47</f>
        <v>0.99932371608418358</v>
      </c>
      <c r="N8" s="132">
        <f>Triangulo2!P47</f>
        <v>0.99935294874459391</v>
      </c>
      <c r="O8" s="132">
        <f>Triangulo2!Q47</f>
        <v>1.0001984598171356</v>
      </c>
      <c r="P8" s="132">
        <f>Triangulo2!R47</f>
        <v>0.99945879934247983</v>
      </c>
      <c r="Q8" s="132">
        <f>Triangulo2!S47</f>
        <v>0.9999768186005964</v>
      </c>
      <c r="R8" s="132">
        <f>Triangulo2!T47</f>
        <v>0.99995581562474423</v>
      </c>
      <c r="S8" s="132">
        <f>Triangulo2!U47</f>
        <v>0.99986169481315923</v>
      </c>
      <c r="T8" s="132">
        <f>Triangulo2!V47</f>
        <v>1.0000085214121288</v>
      </c>
      <c r="U8" s="132">
        <f>Triangulo2!W47</f>
        <v>0.99999365853803535</v>
      </c>
      <c r="V8" s="133">
        <f>Triangulo2!X47</f>
        <v>0</v>
      </c>
      <c r="W8" s="133">
        <f>Triangulo2!Y47</f>
        <v>0</v>
      </c>
      <c r="X8" s="133">
        <f>Triangulo2!Z47</f>
        <v>0</v>
      </c>
      <c r="Y8" s="131" t="b">
        <f>MIN(B8:U8)&gt;1</f>
        <v>0</v>
      </c>
      <c r="Z8" s="124" t="b" cm="1">
        <f t="array" ref="Z8">MAX(ABS(AF5:AF26))&gt;0.1</f>
        <v>1</v>
      </c>
      <c r="AC8" s="125">
        <f t="shared" si="1"/>
        <v>0.14755568255883075</v>
      </c>
      <c r="AD8" s="125">
        <f t="shared" si="0"/>
        <v>-9.0535337864213177E-3</v>
      </c>
      <c r="AE8" s="125">
        <f t="shared" si="0"/>
        <v>-5.1380424185004707E-2</v>
      </c>
      <c r="AF8" s="125">
        <f t="shared" si="0"/>
        <v>1.0953819575064217E-3</v>
      </c>
      <c r="AG8" s="125">
        <f t="shared" si="0"/>
        <v>-1.9028284192310046E-2</v>
      </c>
      <c r="AH8" s="125">
        <f t="shared" si="0"/>
        <v>-4.9505674201159082E-2</v>
      </c>
      <c r="AI8" s="125">
        <f t="shared" si="0"/>
        <v>9.4356302037240276E-3</v>
      </c>
      <c r="AJ8" s="125">
        <f t="shared" si="0"/>
        <v>3.170308475790419E-2</v>
      </c>
      <c r="AK8" s="125">
        <f t="shared" si="0"/>
        <v>3.8483492429978013E-2</v>
      </c>
      <c r="AL8" s="125">
        <f t="shared" si="0"/>
        <v>9.2139291706660846E-3</v>
      </c>
      <c r="AM8" s="125">
        <f t="shared" si="0"/>
        <v>-2.1675687972670755E-2</v>
      </c>
      <c r="AN8" s="125">
        <f t="shared" si="0"/>
        <v>-8.6835722843089068E-4</v>
      </c>
      <c r="AO8" s="125">
        <f t="shared" si="0"/>
        <v>3.1527854985202411E-3</v>
      </c>
      <c r="AP8" s="125">
        <f t="shared" si="0"/>
        <v>2.8661595919442914E-3</v>
      </c>
      <c r="AQ8" s="125">
        <f t="shared" si="0"/>
        <v>2.8060457596038393E-4</v>
      </c>
      <c r="AR8" s="125">
        <f t="shared" si="0"/>
        <v>1.7660856404854631E-4</v>
      </c>
      <c r="AS8" s="125">
        <f t="shared" si="0"/>
        <v>2.1785278001203225E-4</v>
      </c>
      <c r="AT8" s="125">
        <f t="shared" si="0"/>
        <v>-9.9683074844590694E-6</v>
      </c>
      <c r="AU8" s="125">
        <f t="shared" si="0"/>
        <v>4.8198223954273585E-5</v>
      </c>
      <c r="AV8" s="125"/>
      <c r="AW8" s="125"/>
      <c r="AX8" s="125"/>
      <c r="AY8" s="126"/>
    </row>
    <row r="9" spans="1:51" x14ac:dyDescent="0.25">
      <c r="A9" s="41" t="s">
        <v>13</v>
      </c>
      <c r="B9" s="135">
        <f>Triangulo2!D48</f>
        <v>1.1834975754654893</v>
      </c>
      <c r="C9" s="130">
        <f>Triangulo2!E48</f>
        <v>0.914498371192629</v>
      </c>
      <c r="D9" s="130">
        <f>Triangulo2!F48</f>
        <v>0.99679913017440547</v>
      </c>
      <c r="E9" s="130">
        <f>Triangulo2!G48</f>
        <v>0.90573401339954274</v>
      </c>
      <c r="F9" s="130">
        <f>Triangulo2!H48</f>
        <v>0.93066087388173846</v>
      </c>
      <c r="G9" s="130">
        <f>Triangulo2!I48</f>
        <v>0.97973049505160881</v>
      </c>
      <c r="H9" s="130">
        <f>Triangulo2!J48</f>
        <v>0.96445907829530908</v>
      </c>
      <c r="I9" s="130">
        <f>Triangulo2!K48</f>
        <v>0.95087351723517577</v>
      </c>
      <c r="J9" s="130">
        <f>Triangulo2!L48</f>
        <v>0.94998046902792677</v>
      </c>
      <c r="K9" s="130">
        <f>Triangulo2!M48</f>
        <v>0.97737206689201417</v>
      </c>
      <c r="L9" s="130">
        <f>Triangulo2!N48</f>
        <v>1.0032756396239502</v>
      </c>
      <c r="M9" s="130">
        <f>Triangulo2!O48</f>
        <v>1.0001914860565877</v>
      </c>
      <c r="N9" s="130">
        <f>Triangulo2!P48</f>
        <v>0.99620220325988851</v>
      </c>
      <c r="O9" s="130">
        <f>Triangulo2!Q48</f>
        <v>0.99733173140768283</v>
      </c>
      <c r="P9" s="130">
        <f>Triangulo2!R48</f>
        <v>0.99917834662990046</v>
      </c>
      <c r="Q9" s="130">
        <f>Triangulo2!S48</f>
        <v>0.99980021413058151</v>
      </c>
      <c r="R9" s="130">
        <f>Triangulo2!T48</f>
        <v>0.99973797247042118</v>
      </c>
      <c r="S9" s="130">
        <f>Triangulo2!U48</f>
        <v>0.99987166174197506</v>
      </c>
      <c r="T9" s="130">
        <f>Triangulo2!V48</f>
        <v>0.99996032277745761</v>
      </c>
      <c r="U9" s="133">
        <f>Triangulo2!W48</f>
        <v>0</v>
      </c>
      <c r="V9" s="133">
        <f>Triangulo2!X48</f>
        <v>0</v>
      </c>
      <c r="W9" s="133">
        <f>Triangulo2!Y48</f>
        <v>0</v>
      </c>
      <c r="X9" s="133">
        <f>Triangulo2!Z48</f>
        <v>0</v>
      </c>
      <c r="Y9" s="131" t="b">
        <f>MIN(B9:T9)&gt;1</f>
        <v>0</v>
      </c>
      <c r="Z9" s="124" t="b" cm="1">
        <f t="array" ref="Z9">MAX(ABS(AG5:AG26))&gt;0.1</f>
        <v>1</v>
      </c>
      <c r="AC9" s="125">
        <f t="shared" si="1"/>
        <v>-0.22672536645155431</v>
      </c>
      <c r="AD9" s="125">
        <f t="shared" si="0"/>
        <v>5.7857624578649951E-2</v>
      </c>
      <c r="AE9" s="125">
        <f t="shared" si="0"/>
        <v>1.061305765462627E-2</v>
      </c>
      <c r="AF9" s="125">
        <f t="shared" si="0"/>
        <v>7.2567799944530678E-2</v>
      </c>
      <c r="AG9" s="125">
        <f t="shared" si="0"/>
        <v>3.696437580440947E-2</v>
      </c>
      <c r="AH9" s="125">
        <f t="shared" si="0"/>
        <v>8.8485289322271996E-2</v>
      </c>
      <c r="AI9" s="125">
        <f t="shared" si="0"/>
        <v>8.7979669468841615E-2</v>
      </c>
      <c r="AJ9" s="125">
        <f t="shared" si="0"/>
        <v>-7.0997505738678982E-2</v>
      </c>
      <c r="AK9" s="125">
        <f t="shared" si="0"/>
        <v>-1.3715155927985652E-2</v>
      </c>
      <c r="AL9" s="125">
        <f t="shared" si="0"/>
        <v>-2.8541778008078264E-2</v>
      </c>
      <c r="AM9" s="125">
        <f t="shared" si="0"/>
        <v>-2.0806862958169308E-3</v>
      </c>
      <c r="AN9" s="125">
        <f t="shared" si="0"/>
        <v>1.4797274401031242E-2</v>
      </c>
      <c r="AO9" s="125">
        <f t="shared" si="0"/>
        <v>-1.1150067241174337E-3</v>
      </c>
      <c r="AP9" s="125">
        <f t="shared" si="0"/>
        <v>-9.5639809090852508E-4</v>
      </c>
      <c r="AQ9" s="125">
        <f t="shared" si="0"/>
        <v>-4.8564442772813527E-4</v>
      </c>
      <c r="AR9" s="125">
        <f t="shared" si="0"/>
        <v>-4.1310557120010608E-4</v>
      </c>
      <c r="AS9" s="125">
        <f t="shared" si="0"/>
        <v>-2.3639404880637318E-4</v>
      </c>
      <c r="AT9" s="125">
        <f t="shared" si="0"/>
        <v>4.1903668320979689E-5</v>
      </c>
      <c r="AU9" s="125"/>
      <c r="AV9" s="125"/>
      <c r="AW9" s="125"/>
      <c r="AX9" s="125"/>
      <c r="AY9" s="126"/>
    </row>
    <row r="10" spans="1:51" x14ac:dyDescent="0.25">
      <c r="A10" s="35" t="s">
        <v>14</v>
      </c>
      <c r="B10" s="132">
        <f>Triangulo2!D49</f>
        <v>1.4518264969574284</v>
      </c>
      <c r="C10" s="132">
        <f>Triangulo2!E49</f>
        <v>0.86158766775437901</v>
      </c>
      <c r="D10" s="132">
        <f>Triangulo2!F49</f>
        <v>0.98622004353578319</v>
      </c>
      <c r="E10" s="132">
        <f>Triangulo2!G49</f>
        <v>0.84000688871220786</v>
      </c>
      <c r="F10" s="132">
        <f>Triangulo2!H49</f>
        <v>0.89625957559311376</v>
      </c>
      <c r="G10" s="132">
        <f>Triangulo2!I49</f>
        <v>0.89303875873911442</v>
      </c>
      <c r="H10" s="132">
        <f>Triangulo2!J49</f>
        <v>0.87960628737066415</v>
      </c>
      <c r="I10" s="132">
        <f>Triangulo2!K49</f>
        <v>1.018383165231838</v>
      </c>
      <c r="J10" s="132">
        <f>Triangulo2!L49</f>
        <v>0.96300959928918572</v>
      </c>
      <c r="K10" s="132">
        <f>Triangulo2!M49</f>
        <v>1.0052680034565427</v>
      </c>
      <c r="L10" s="132">
        <f>Triangulo2!N49</f>
        <v>1.0053631414982427</v>
      </c>
      <c r="M10" s="132">
        <f>Triangulo2!O49</f>
        <v>0.98539137818383316</v>
      </c>
      <c r="N10" s="132">
        <f>Triangulo2!P49</f>
        <v>0.99731297541510389</v>
      </c>
      <c r="O10" s="132">
        <f>Triangulo2!Q49</f>
        <v>0.99828557757160363</v>
      </c>
      <c r="P10" s="132">
        <f>Triangulo2!R49</f>
        <v>0.99966359202624788</v>
      </c>
      <c r="Q10" s="132">
        <f>Triangulo2!S49</f>
        <v>1.0002132371691259</v>
      </c>
      <c r="R10" s="132">
        <f>Triangulo2!T49</f>
        <v>0.99997430457747893</v>
      </c>
      <c r="S10" s="132">
        <f>Triangulo2!U49</f>
        <v>0.99982976345149788</v>
      </c>
      <c r="T10" s="133">
        <f>Triangulo2!V49</f>
        <v>0</v>
      </c>
      <c r="U10" s="133">
        <f>Triangulo2!W49</f>
        <v>0</v>
      </c>
      <c r="V10" s="133">
        <f>Triangulo2!X49</f>
        <v>0</v>
      </c>
      <c r="W10" s="133">
        <f>Triangulo2!Y49</f>
        <v>0</v>
      </c>
      <c r="X10" s="133">
        <f>Triangulo2!Z49</f>
        <v>0</v>
      </c>
      <c r="Y10" s="131" t="b">
        <f>MIN(B10:S10)&gt;1</f>
        <v>0</v>
      </c>
      <c r="Z10" s="124" t="b" cm="1">
        <f t="array" ref="Z10">MAX(ABS(AH5:AH26))&gt;0.1</f>
        <v>1</v>
      </c>
      <c r="AC10" s="125">
        <f t="shared" si="1"/>
        <v>5.6067889387085949E-2</v>
      </c>
      <c r="AD10" s="125">
        <f t="shared" si="0"/>
        <v>-2.3263879032574881E-2</v>
      </c>
      <c r="AE10" s="125">
        <f t="shared" si="0"/>
        <v>9.0078535652812555E-2</v>
      </c>
      <c r="AF10" s="125">
        <f t="shared" si="0"/>
        <v>-2.4660173382238953E-2</v>
      </c>
      <c r="AG10" s="125">
        <f t="shared" si="0"/>
        <v>4.2362819269603558E-2</v>
      </c>
      <c r="AH10" s="125">
        <f t="shared" si="0"/>
        <v>-2.752108694289537E-2</v>
      </c>
      <c r="AI10" s="125">
        <f t="shared" si="0"/>
        <v>-0.11407189237021774</v>
      </c>
      <c r="AJ10" s="125">
        <f t="shared" si="0"/>
        <v>6.0470526731098442E-2</v>
      </c>
      <c r="AK10" s="125">
        <f t="shared" si="0"/>
        <v>1.4491734789903166E-2</v>
      </c>
      <c r="AL10" s="125">
        <f t="shared" si="0"/>
        <v>1.3063725005300756E-2</v>
      </c>
      <c r="AM10" s="125">
        <f t="shared" si="0"/>
        <v>-1.7124119679389177E-3</v>
      </c>
      <c r="AN10" s="125">
        <f t="shared" si="0"/>
        <v>1.1537947845110352E-3</v>
      </c>
      <c r="AO10" s="125">
        <f t="shared" si="0"/>
        <v>2.6241022612436358E-3</v>
      </c>
      <c r="AP10" s="125">
        <f t="shared" si="0"/>
        <v>-1.7518266616897709E-5</v>
      </c>
      <c r="AQ10" s="125">
        <f t="shared" si="0"/>
        <v>-1.6670903253667883E-4</v>
      </c>
      <c r="AR10" s="125">
        <f t="shared" si="0"/>
        <v>8.8462116071535274E-4</v>
      </c>
      <c r="AS10" s="125">
        <f t="shared" si="0"/>
        <v>1.5669347900745711E-4</v>
      </c>
      <c r="AT10" s="125"/>
      <c r="AU10" s="125"/>
      <c r="AV10" s="125"/>
      <c r="AW10" s="125"/>
      <c r="AX10" s="125"/>
      <c r="AY10" s="126"/>
    </row>
    <row r="11" spans="1:51" x14ac:dyDescent="0.25">
      <c r="A11" s="41" t="s">
        <v>15</v>
      </c>
      <c r="B11" s="130">
        <f>Triangulo2!D50</f>
        <v>1.3704256495167788</v>
      </c>
      <c r="C11" s="130">
        <f>Triangulo2!E50</f>
        <v>0.8816315390329752</v>
      </c>
      <c r="D11" s="130">
        <f>Triangulo2!F50</f>
        <v>0.89738278618262679</v>
      </c>
      <c r="E11" s="130">
        <f>Triangulo2!G50</f>
        <v>0.860721604230126</v>
      </c>
      <c r="F11" s="130">
        <f>Triangulo2!H50</f>
        <v>0.85829149317361109</v>
      </c>
      <c r="G11" s="130">
        <f>Triangulo2!I50</f>
        <v>0.91761615606174896</v>
      </c>
      <c r="H11" s="130">
        <f>Triangulo2!J50</f>
        <v>0.97994464111177737</v>
      </c>
      <c r="I11" s="130">
        <f>Triangulo2!K50</f>
        <v>0.95680099881618552</v>
      </c>
      <c r="J11" s="130">
        <f>Triangulo2!L50</f>
        <v>0.94905391957615592</v>
      </c>
      <c r="K11" s="130">
        <f>Triangulo2!M50</f>
        <v>0.99213545870275865</v>
      </c>
      <c r="L11" s="130">
        <f>Triangulo2!N50</f>
        <v>1.0070847373738689</v>
      </c>
      <c r="M11" s="130">
        <f>Triangulo2!O50</f>
        <v>0.98425443875098251</v>
      </c>
      <c r="N11" s="130">
        <f>Triangulo2!P50</f>
        <v>0.99469592418114949</v>
      </c>
      <c r="O11" s="130">
        <f>Triangulo2!Q50</f>
        <v>0.99830306580451134</v>
      </c>
      <c r="P11" s="130">
        <f>Triangulo2!R50</f>
        <v>0.99983024497653672</v>
      </c>
      <c r="Q11" s="130">
        <f>Triangulo2!S50</f>
        <v>0.9993284273742985</v>
      </c>
      <c r="R11" s="130">
        <f>Triangulo2!T50</f>
        <v>0.99981761512477663</v>
      </c>
      <c r="S11" s="133">
        <f>Triangulo2!U50</f>
        <v>0</v>
      </c>
      <c r="T11" s="133">
        <f>Triangulo2!V50</f>
        <v>0</v>
      </c>
      <c r="U11" s="133">
        <f>Triangulo2!W50</f>
        <v>0</v>
      </c>
      <c r="V11" s="133">
        <f>Triangulo2!X50</f>
        <v>0</v>
      </c>
      <c r="W11" s="133">
        <f>Triangulo2!Y50</f>
        <v>0</v>
      </c>
      <c r="X11" s="133">
        <f>Triangulo2!Z50</f>
        <v>0</v>
      </c>
      <c r="Y11" s="131" t="b">
        <f>MIN(B11:R11)&gt;1</f>
        <v>0</v>
      </c>
      <c r="Z11" s="124" t="b" cm="1">
        <f t="array" ref="Z11">MAX(ABS(AI5:AI26))&gt;0.1</f>
        <v>1</v>
      </c>
      <c r="AC11" s="125">
        <f t="shared" si="1"/>
        <v>-1.2892695347296248E-2</v>
      </c>
      <c r="AD11" s="125">
        <f t="shared" si="0"/>
        <v>-0.14627873690768806</v>
      </c>
      <c r="AE11" s="125">
        <f t="shared" si="0"/>
        <v>-1.5560239776112634E-2</v>
      </c>
      <c r="AF11" s="125">
        <f t="shared" si="0"/>
        <v>-8.6664898800739992E-2</v>
      </c>
      <c r="AG11" s="125">
        <f t="shared" si="0"/>
        <v>-0.16619565656598284</v>
      </c>
      <c r="AH11" s="125">
        <f t="shared" si="0"/>
        <v>-3.0346814741994514E-2</v>
      </c>
      <c r="AI11" s="125">
        <f t="shared" si="0"/>
        <v>2.3953936872593475E-2</v>
      </c>
      <c r="AJ11" s="125">
        <f t="shared" si="0"/>
        <v>-2.8443543537536302E-2</v>
      </c>
      <c r="AK11" s="125">
        <f t="shared" si="0"/>
        <v>-2.5077951983205716E-2</v>
      </c>
      <c r="AL11" s="125">
        <f t="shared" si="0"/>
        <v>1.7995632142582114E-2</v>
      </c>
      <c r="AM11" s="125">
        <f t="shared" si="0"/>
        <v>2.0373913716403732E-2</v>
      </c>
      <c r="AN11" s="125">
        <f t="shared" si="0"/>
        <v>-1.4852023443044237E-2</v>
      </c>
      <c r="AO11" s="125">
        <f t="shared" si="0"/>
        <v>-2.8245904154562454E-3</v>
      </c>
      <c r="AP11" s="125">
        <f t="shared" si="0"/>
        <v>-1.4736268381615382E-3</v>
      </c>
      <c r="AQ11" s="125">
        <f t="shared" si="0"/>
        <v>-7.4041297372111451E-5</v>
      </c>
      <c r="AR11" s="125">
        <f t="shared" si="0"/>
        <v>-6.7707408756734308E-4</v>
      </c>
      <c r="AS11" s="125"/>
      <c r="AT11" s="125"/>
      <c r="AU11" s="125"/>
      <c r="AV11" s="125"/>
      <c r="AW11" s="125"/>
      <c r="AX11" s="125"/>
      <c r="AY11" s="126"/>
    </row>
    <row r="12" spans="1:51" x14ac:dyDescent="0.25">
      <c r="A12" s="35" t="s">
        <v>16</v>
      </c>
      <c r="B12" s="132">
        <f>Triangulo2!D51</f>
        <v>1.3880941299121192</v>
      </c>
      <c r="C12" s="132">
        <f>Triangulo2!E51</f>
        <v>1.0105954869806999</v>
      </c>
      <c r="D12" s="132">
        <f>Triangulo2!F51</f>
        <v>0.91134627750658448</v>
      </c>
      <c r="E12" s="132">
        <f>Triangulo2!G51</f>
        <v>0.93531595495634046</v>
      </c>
      <c r="F12" s="132">
        <f>Triangulo2!H51</f>
        <v>1.0009358114065972</v>
      </c>
      <c r="G12" s="132">
        <f>Triangulo2!I51</f>
        <v>0.94546288355401598</v>
      </c>
      <c r="H12" s="132">
        <f>Triangulo2!J51</f>
        <v>0.95647110903994959</v>
      </c>
      <c r="I12" s="132">
        <f>Triangulo2!K51</f>
        <v>0.98401580968277191</v>
      </c>
      <c r="J12" s="132">
        <f>Triangulo2!L51</f>
        <v>0.97285424820075994</v>
      </c>
      <c r="K12" s="132">
        <f>Triangulo2!M51</f>
        <v>0.97428135395233184</v>
      </c>
      <c r="L12" s="132">
        <f>Triangulo2!N51</f>
        <v>0.98656647982950663</v>
      </c>
      <c r="M12" s="132">
        <f>Triangulo2!O51</f>
        <v>0.99887260874923245</v>
      </c>
      <c r="N12" s="132">
        <f>Triangulo2!P51</f>
        <v>0.99750553275488496</v>
      </c>
      <c r="O12" s="132">
        <f>Triangulo2!Q51</f>
        <v>0.99977419199489981</v>
      </c>
      <c r="P12" s="132">
        <f>Triangulo2!R51</f>
        <v>0.99990427370502666</v>
      </c>
      <c r="Q12" s="132">
        <f>Triangulo2!S51</f>
        <v>1.0000050467574431</v>
      </c>
      <c r="R12" s="133">
        <f>Triangulo2!T51</f>
        <v>0</v>
      </c>
      <c r="S12" s="133">
        <f>Triangulo2!U51</f>
        <v>0</v>
      </c>
      <c r="T12" s="133">
        <f>Triangulo2!V51</f>
        <v>0</v>
      </c>
      <c r="U12" s="133">
        <f>Triangulo2!W51</f>
        <v>0</v>
      </c>
      <c r="V12" s="133">
        <f>Triangulo2!X51</f>
        <v>0</v>
      </c>
      <c r="W12" s="133">
        <f>Triangulo2!Y51</f>
        <v>0</v>
      </c>
      <c r="X12" s="133">
        <f>Triangulo2!Z51</f>
        <v>0</v>
      </c>
      <c r="Y12" s="131" t="b">
        <f>MIN(B12:Q12)&gt;1</f>
        <v>0</v>
      </c>
      <c r="Z12" s="124" t="b" cm="1">
        <f t="array" ref="Z12">MAX(ABS(AJ5:AJ26))&gt;0.1</f>
        <v>0</v>
      </c>
      <c r="AC12" s="125">
        <f t="shared" si="1"/>
        <v>-3.9387649489667581E-2</v>
      </c>
      <c r="AD12" s="125">
        <f t="shared" si="0"/>
        <v>0.1362626822730193</v>
      </c>
      <c r="AE12" s="125">
        <f t="shared" si="0"/>
        <v>-3.1811571853599396E-3</v>
      </c>
      <c r="AF12" s="125">
        <f t="shared" si="0"/>
        <v>2.478753650197706E-2</v>
      </c>
      <c r="AG12" s="125">
        <f t="shared" si="0"/>
        <v>3.6740016459085069E-2</v>
      </c>
      <c r="AH12" s="125">
        <f t="shared" si="0"/>
        <v>4.6379991138421608E-3</v>
      </c>
      <c r="AI12" s="125">
        <f t="shared" si="0"/>
        <v>-5.7675873967013278E-2</v>
      </c>
      <c r="AJ12" s="125">
        <f t="shared" si="0"/>
        <v>-2.6393442899839137E-2</v>
      </c>
      <c r="AK12" s="125">
        <f t="shared" si="0"/>
        <v>-3.0979624518400091E-2</v>
      </c>
      <c r="AL12" s="125">
        <f t="shared" si="0"/>
        <v>-2.1009842196838064E-2</v>
      </c>
      <c r="AM12" s="125">
        <f t="shared" si="0"/>
        <v>-1.1075883453431228E-2</v>
      </c>
      <c r="AN12" s="125">
        <f t="shared" si="0"/>
        <v>5.4674093893215241E-3</v>
      </c>
      <c r="AO12" s="125">
        <f t="shared" si="0"/>
        <v>-9.7222345920932218E-4</v>
      </c>
      <c r="AP12" s="125">
        <f t="shared" si="0"/>
        <v>7.79297829927606E-4</v>
      </c>
      <c r="AQ12" s="125">
        <f t="shared" si="0"/>
        <v>2.0648966788580257E-4</v>
      </c>
      <c r="AR12" s="125"/>
      <c r="AS12" s="125"/>
      <c r="AT12" s="125"/>
      <c r="AU12" s="125"/>
      <c r="AV12" s="125"/>
      <c r="AW12" s="125"/>
      <c r="AX12" s="125"/>
      <c r="AY12" s="126"/>
    </row>
    <row r="13" spans="1:51" x14ac:dyDescent="0.25">
      <c r="A13" s="41" t="s">
        <v>17</v>
      </c>
      <c r="B13" s="130">
        <f>Triangulo2!D52</f>
        <v>1.4427678949597629</v>
      </c>
      <c r="C13" s="130">
        <f>Triangulo2!E52</f>
        <v>0.87288903523170158</v>
      </c>
      <c r="D13" s="130">
        <f>Triangulo2!F52</f>
        <v>0.91424541326562558</v>
      </c>
      <c r="E13" s="130">
        <f>Triangulo2!G52</f>
        <v>0.91213177658197864</v>
      </c>
      <c r="F13" s="130">
        <f>Triangulo2!H52</f>
        <v>0.96416141322103111</v>
      </c>
      <c r="G13" s="130">
        <f>Triangulo2!I52</f>
        <v>0.9410778275379218</v>
      </c>
      <c r="H13" s="130">
        <f>Triangulo2!J52</f>
        <v>1.0116364161780271</v>
      </c>
      <c r="I13" s="130">
        <f>Triangulo2!K52</f>
        <v>1.0099873747681731</v>
      </c>
      <c r="J13" s="130">
        <f>Triangulo2!L52</f>
        <v>1.0029929075211499</v>
      </c>
      <c r="K13" s="130">
        <f>Triangulo2!M52</f>
        <v>0.99475085145419206</v>
      </c>
      <c r="L13" s="130">
        <f>Triangulo2!N52</f>
        <v>0.99749357517916015</v>
      </c>
      <c r="M13" s="130">
        <f>Triangulo2!O52</f>
        <v>0.99341136326942081</v>
      </c>
      <c r="N13" s="130">
        <f>Triangulo2!P52</f>
        <v>0.99847533103452035</v>
      </c>
      <c r="O13" s="130">
        <f>Triangulo2!Q52</f>
        <v>0.99899507013666056</v>
      </c>
      <c r="P13" s="130">
        <f>Triangulo2!R52</f>
        <v>0.99969780380363171</v>
      </c>
      <c r="Q13" s="133">
        <f>Triangulo2!S52</f>
        <v>0</v>
      </c>
      <c r="R13" s="133">
        <f>Triangulo2!T52</f>
        <v>0</v>
      </c>
      <c r="S13" s="133">
        <f>Triangulo2!U52</f>
        <v>0</v>
      </c>
      <c r="T13" s="133">
        <f>Triangulo2!V52</f>
        <v>0</v>
      </c>
      <c r="U13" s="133">
        <f>Triangulo2!W52</f>
        <v>0</v>
      </c>
      <c r="V13" s="133">
        <f>Triangulo2!X52</f>
        <v>0</v>
      </c>
      <c r="W13" s="133">
        <f>Triangulo2!Y52</f>
        <v>0</v>
      </c>
      <c r="X13" s="133">
        <f>Triangulo2!Z52</f>
        <v>0</v>
      </c>
      <c r="Y13" s="131" t="b">
        <f>MIN(B13:P13)&gt;1</f>
        <v>0</v>
      </c>
      <c r="Z13" s="124" t="b" cm="1">
        <f t="array" ref="Z13">MAX(ABS(AK5:AK26))&gt;0.1</f>
        <v>0</v>
      </c>
      <c r="AC13" s="125">
        <f t="shared" si="1"/>
        <v>-2.4858597846991473E-2</v>
      </c>
      <c r="AD13" s="125">
        <f t="shared" si="0"/>
        <v>9.7627573226535952E-3</v>
      </c>
      <c r="AE13" s="125">
        <f t="shared" si="0"/>
        <v>-9.3275150646212307E-2</v>
      </c>
      <c r="AF13" s="125">
        <f t="shared" si="0"/>
        <v>-7.3118687467935359E-3</v>
      </c>
      <c r="AG13" s="125">
        <f t="shared" si="0"/>
        <v>4.2747941130420665E-2</v>
      </c>
      <c r="AH13" s="125">
        <f t="shared" si="0"/>
        <v>-1.3980472802646577E-2</v>
      </c>
      <c r="AI13" s="125">
        <f t="shared" si="0"/>
        <v>5.3248041966620752E-2</v>
      </c>
      <c r="AJ13" s="125">
        <f t="shared" si="0"/>
        <v>5.2273708293981973E-2</v>
      </c>
      <c r="AK13" s="125">
        <f t="shared" si="0"/>
        <v>3.1356822088985423E-2</v>
      </c>
      <c r="AL13" s="125">
        <f t="shared" si="0"/>
        <v>3.3895984741515402E-2</v>
      </c>
      <c r="AM13" s="125">
        <f t="shared" si="0"/>
        <v>6.0809242442553665E-3</v>
      </c>
      <c r="AN13" s="125">
        <f t="shared" si="0"/>
        <v>-6.4046513614903914E-3</v>
      </c>
      <c r="AO13" s="125">
        <f t="shared" si="0"/>
        <v>-2.5896661665568165E-3</v>
      </c>
      <c r="AP13" s="125">
        <f t="shared" si="0"/>
        <v>-1.0813480987944787E-3</v>
      </c>
      <c r="AQ13" s="125"/>
      <c r="AR13" s="125"/>
      <c r="AS13" s="125"/>
      <c r="AT13" s="125"/>
      <c r="AU13" s="125"/>
      <c r="AV13" s="125"/>
      <c r="AW13" s="125"/>
      <c r="AX13" s="125"/>
      <c r="AY13" s="126"/>
    </row>
    <row r="14" spans="1:51" x14ac:dyDescent="0.25">
      <c r="A14" s="35" t="s">
        <v>18</v>
      </c>
      <c r="B14" s="132">
        <f>Triangulo2!D53</f>
        <v>1.4786330818471181</v>
      </c>
      <c r="C14" s="132">
        <f>Triangulo2!E53</f>
        <v>0.86436723141112926</v>
      </c>
      <c r="D14" s="132">
        <f>Triangulo2!F53</f>
        <v>0.99952179191558543</v>
      </c>
      <c r="E14" s="132">
        <f>Triangulo2!G53</f>
        <v>0.91880116441212567</v>
      </c>
      <c r="F14" s="132">
        <f>Triangulo2!H53</f>
        <v>0.92294549788843527</v>
      </c>
      <c r="G14" s="132">
        <f>Triangulo2!I53</f>
        <v>0.95423454051098944</v>
      </c>
      <c r="H14" s="132">
        <f>Triangulo2!J53</f>
        <v>0.95776875783441773</v>
      </c>
      <c r="I14" s="132">
        <f>Triangulo2!K53</f>
        <v>0.957191589358937</v>
      </c>
      <c r="J14" s="132">
        <f>Triangulo2!L53</f>
        <v>0.97154223736349499</v>
      </c>
      <c r="K14" s="132">
        <f>Triangulo2!M53</f>
        <v>0.96103279177169132</v>
      </c>
      <c r="L14" s="132">
        <f>Triangulo2!N53</f>
        <v>0.99142789231436423</v>
      </c>
      <c r="M14" s="132">
        <f>Triangulo2!O53</f>
        <v>0.99977381670970433</v>
      </c>
      <c r="N14" s="132">
        <f>Triangulo2!P53</f>
        <v>1.0010610488174421</v>
      </c>
      <c r="O14" s="132">
        <f>Triangulo2!Q53</f>
        <v>1.0000753315564579</v>
      </c>
      <c r="P14" s="133">
        <f>Triangulo2!R53</f>
        <v>0</v>
      </c>
      <c r="Q14" s="133">
        <f>Triangulo2!S53</f>
        <v>0</v>
      </c>
      <c r="R14" s="133">
        <f>Triangulo2!T53</f>
        <v>0</v>
      </c>
      <c r="S14" s="133">
        <f>Triangulo2!U53</f>
        <v>0</v>
      </c>
      <c r="T14" s="133">
        <f>Triangulo2!V53</f>
        <v>0</v>
      </c>
      <c r="U14" s="133">
        <f>Triangulo2!W53</f>
        <v>0</v>
      </c>
      <c r="V14" s="133">
        <f>Triangulo2!X53</f>
        <v>0</v>
      </c>
      <c r="W14" s="133">
        <f>Triangulo2!Y53</f>
        <v>0</v>
      </c>
      <c r="X14" s="133">
        <f>Triangulo2!Z53</f>
        <v>0</v>
      </c>
      <c r="Y14" s="131" t="b">
        <f>MIN(B14:O14)&gt;1</f>
        <v>0</v>
      </c>
      <c r="Z14" s="124" t="b" cm="1">
        <f t="array" ref="Z14">MAX(ABS(AL5:AL26))&gt;0.1</f>
        <v>0</v>
      </c>
      <c r="AC14" s="125">
        <f t="shared" si="1"/>
        <v>0.15477114928834307</v>
      </c>
      <c r="AD14" s="125">
        <f t="shared" si="0"/>
        <v>-9.4633709188109254E-3</v>
      </c>
      <c r="AE14" s="125">
        <f t="shared" si="0"/>
        <v>8.7964507657711605E-2</v>
      </c>
      <c r="AF14" s="125">
        <f t="shared" si="0"/>
        <v>1.6860089721439875E-2</v>
      </c>
      <c r="AG14" s="125">
        <f t="shared" si="0"/>
        <v>1.0748364664005033E-2</v>
      </c>
      <c r="AH14" s="125">
        <f t="shared" si="0"/>
        <v>-5.1242319177432979E-2</v>
      </c>
      <c r="AI14" s="125">
        <f t="shared" si="0"/>
        <v>-1.8746107078519911E-2</v>
      </c>
      <c r="AJ14" s="125">
        <f t="shared" si="0"/>
        <v>3.4841169139886467E-4</v>
      </c>
      <c r="AK14" s="125">
        <f t="shared" si="0"/>
        <v>1.122408988185399E-2</v>
      </c>
      <c r="AL14" s="125">
        <f t="shared" si="0"/>
        <v>-5.30623626894044E-3</v>
      </c>
      <c r="AM14" s="125">
        <f t="shared" si="0"/>
        <v>1.3250601286672489E-2</v>
      </c>
      <c r="AN14" s="125">
        <f t="shared" si="0"/>
        <v>1.9570359865769037E-3</v>
      </c>
      <c r="AO14" s="125">
        <f t="shared" si="0"/>
        <v>6.6873742219136587E-3</v>
      </c>
      <c r="AP14" s="125"/>
      <c r="AQ14" s="125"/>
      <c r="AR14" s="125"/>
      <c r="AS14" s="125"/>
      <c r="AT14" s="125"/>
      <c r="AU14" s="125"/>
      <c r="AV14" s="125"/>
      <c r="AW14" s="125"/>
      <c r="AX14" s="125"/>
      <c r="AY14" s="126"/>
    </row>
    <row r="15" spans="1:51" x14ac:dyDescent="0.25">
      <c r="A15" s="41" t="s">
        <v>19</v>
      </c>
      <c r="B15" s="135">
        <f>Triangulo2!D54</f>
        <v>1.249783340393875</v>
      </c>
      <c r="C15" s="130">
        <f>Triangulo2!E54</f>
        <v>0.87254705913203845</v>
      </c>
      <c r="D15" s="130">
        <f>Triangulo2!F54</f>
        <v>0.91159934959657729</v>
      </c>
      <c r="E15" s="130">
        <f>Triangulo2!G54</f>
        <v>0.9033100943439738</v>
      </c>
      <c r="F15" s="130">
        <f>Triangulo2!H54</f>
        <v>0.91302534311212868</v>
      </c>
      <c r="G15" s="130">
        <f>Triangulo2!I54</f>
        <v>1.0031317314059847</v>
      </c>
      <c r="H15" s="130">
        <f>Triangulo2!J54</f>
        <v>0.97572319352524273</v>
      </c>
      <c r="I15" s="130">
        <f>Triangulo2!K54</f>
        <v>0.95685809261829569</v>
      </c>
      <c r="J15" s="130">
        <f>Triangulo2!L54</f>
        <v>0.9606375599673096</v>
      </c>
      <c r="K15" s="130">
        <f>Triangulo2!M54</f>
        <v>0.96613225882703135</v>
      </c>
      <c r="L15" s="130">
        <f>Triangulo2!N54</f>
        <v>0.97829087660882053</v>
      </c>
      <c r="M15" s="130">
        <f>Triangulo2!O54</f>
        <v>0.9978172233719661</v>
      </c>
      <c r="N15" s="130">
        <f>Triangulo2!P54</f>
        <v>0.99436657896501845</v>
      </c>
      <c r="O15" s="133">
        <f>Triangulo2!Q54</f>
        <v>0</v>
      </c>
      <c r="P15" s="133">
        <f>Triangulo2!R54</f>
        <v>0</v>
      </c>
      <c r="Q15" s="133">
        <f>Triangulo2!S54</f>
        <v>0</v>
      </c>
      <c r="R15" s="133">
        <f>Triangulo2!T54</f>
        <v>0</v>
      </c>
      <c r="S15" s="133">
        <f>Triangulo2!U54</f>
        <v>0</v>
      </c>
      <c r="T15" s="133">
        <f>Triangulo2!V54</f>
        <v>0</v>
      </c>
      <c r="U15" s="133">
        <f>Triangulo2!W54</f>
        <v>0</v>
      </c>
      <c r="V15" s="133">
        <f>Triangulo2!X54</f>
        <v>0</v>
      </c>
      <c r="W15" s="133">
        <f>Triangulo2!Y54</f>
        <v>0</v>
      </c>
      <c r="X15" s="133">
        <f>Triangulo2!Z54</f>
        <v>0</v>
      </c>
      <c r="Y15" s="131" t="b">
        <f>MIN(B15:N15)&gt;1</f>
        <v>0</v>
      </c>
      <c r="Z15" s="124" t="b" cm="1">
        <f t="array" ref="Z15">MAX(ABS(AM5:AM26))&gt;0.1</f>
        <v>0</v>
      </c>
      <c r="AC15" s="125">
        <f t="shared" si="1"/>
        <v>-0.16145049507414758</v>
      </c>
      <c r="AD15" s="125">
        <f t="shared" si="0"/>
        <v>-4.9559774604288544E-2</v>
      </c>
      <c r="AE15" s="125">
        <f t="shared" si="0"/>
        <v>-7.4287870004047241E-2</v>
      </c>
      <c r="AF15" s="125">
        <f t="shared" si="0"/>
        <v>-0.10904895124843536</v>
      </c>
      <c r="AG15" s="125">
        <f t="shared" si="0"/>
        <v>-8.5999188238099836E-2</v>
      </c>
      <c r="AH15" s="125">
        <f t="shared" si="0"/>
        <v>5.8587860735635156E-2</v>
      </c>
      <c r="AI15" s="125">
        <f t="shared" si="0"/>
        <v>6.7173444142603804E-3</v>
      </c>
      <c r="AJ15" s="125">
        <f t="shared" si="0"/>
        <v>-7.0984665814761237E-3</v>
      </c>
      <c r="AK15" s="125">
        <f t="shared" si="0"/>
        <v>-3.4098383395759643E-2</v>
      </c>
      <c r="AL15" s="125">
        <f t="shared" si="0"/>
        <v>-2.9174630537972653E-2</v>
      </c>
      <c r="AM15" s="125">
        <f t="shared" si="0"/>
        <v>-1.6796094916107174E-2</v>
      </c>
      <c r="AN15" s="125">
        <f t="shared" si="0"/>
        <v>2.9189434445961362E-4</v>
      </c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6"/>
    </row>
    <row r="16" spans="1:51" x14ac:dyDescent="0.25">
      <c r="A16" s="35" t="s">
        <v>20</v>
      </c>
      <c r="B16" s="132">
        <f>Triangulo2!D55</f>
        <v>1.451561479435888</v>
      </c>
      <c r="C16" s="132">
        <f>Triangulo2!E55</f>
        <v>0.9157902947142571</v>
      </c>
      <c r="D16" s="132">
        <f>Triangulo2!F55</f>
        <v>0.97932012357518183</v>
      </c>
      <c r="E16" s="132">
        <f>Triangulo2!G55</f>
        <v>1.0018151127843093</v>
      </c>
      <c r="F16" s="132">
        <f>Triangulo2!H55</f>
        <v>0.99154478146058433</v>
      </c>
      <c r="G16" s="132">
        <f>Triangulo2!I55</f>
        <v>0.94436038922687426</v>
      </c>
      <c r="H16" s="132">
        <f>Triangulo2!J55</f>
        <v>0.96916892478135164</v>
      </c>
      <c r="I16" s="132">
        <f>Triangulo2!K55</f>
        <v>0.96365031781196164</v>
      </c>
      <c r="J16" s="132">
        <f>Triangulo2!L55</f>
        <v>0.99339374779144196</v>
      </c>
      <c r="K16" s="132">
        <f>Triangulo2!M55</f>
        <v>0.99431881052912696</v>
      </c>
      <c r="L16" s="132">
        <f>Triangulo2!N55</f>
        <v>0.99472234302790397</v>
      </c>
      <c r="M16" s="132">
        <f>Triangulo2!O55</f>
        <v>0.99752596616765943</v>
      </c>
      <c r="N16" s="133">
        <f>Triangulo2!P55</f>
        <v>0</v>
      </c>
      <c r="O16" s="133">
        <f>Triangulo2!Q55</f>
        <v>0</v>
      </c>
      <c r="P16" s="133">
        <f>Triangulo2!R55</f>
        <v>0</v>
      </c>
      <c r="Q16" s="133">
        <f>Triangulo2!S55</f>
        <v>0</v>
      </c>
      <c r="R16" s="133">
        <f>Triangulo2!T55</f>
        <v>0</v>
      </c>
      <c r="S16" s="133">
        <f>Triangulo2!U55</f>
        <v>0</v>
      </c>
      <c r="T16" s="133">
        <f>Triangulo2!V55</f>
        <v>0</v>
      </c>
      <c r="U16" s="133">
        <f>Triangulo2!W55</f>
        <v>0</v>
      </c>
      <c r="V16" s="133">
        <f>Triangulo2!X55</f>
        <v>0</v>
      </c>
      <c r="W16" s="133">
        <f>Triangulo2!Y55</f>
        <v>0</v>
      </c>
      <c r="X16" s="133">
        <f>Triangulo2!Z55</f>
        <v>0</v>
      </c>
      <c r="Y16" s="131" t="b">
        <f>MIN(B16:M16)&gt;1</f>
        <v>0</v>
      </c>
      <c r="Z16" s="124" t="b" cm="1">
        <f t="array" ref="Z16">MAX(ABS(AN5:AN26))&gt;0.1</f>
        <v>0</v>
      </c>
      <c r="AC16" s="125">
        <f t="shared" si="1"/>
        <v>-2.5991573251105311E-2</v>
      </c>
      <c r="AD16" s="125">
        <f t="shared" si="0"/>
        <v>-5.6029191776028692E-2</v>
      </c>
      <c r="AE16" s="125">
        <f t="shared" si="0"/>
        <v>6.6345051847011916E-3</v>
      </c>
      <c r="AF16" s="125">
        <f t="shared" si="0"/>
        <v>0.10131738717877434</v>
      </c>
      <c r="AG16" s="125">
        <f t="shared" si="0"/>
        <v>-2.621659607178867E-2</v>
      </c>
      <c r="AH16" s="125">
        <f t="shared" si="0"/>
        <v>-2.6790058045895694E-3</v>
      </c>
      <c r="AI16" s="125">
        <f t="shared" si="0"/>
        <v>-3.302473152255482E-2</v>
      </c>
      <c r="AJ16" s="125">
        <f t="shared" si="0"/>
        <v>-1.1669827747460032E-2</v>
      </c>
      <c r="AK16" s="125">
        <f t="shared" si="0"/>
        <v>1.7805245686404847E-2</v>
      </c>
      <c r="AL16" s="125">
        <f t="shared" si="0"/>
        <v>2.413374084579149E-2</v>
      </c>
      <c r="AM16" s="125">
        <f t="shared" si="0"/>
        <v>-5.0209055203618526E-3</v>
      </c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6"/>
    </row>
    <row r="17" spans="1:51" x14ac:dyDescent="0.25">
      <c r="A17" s="41" t="s">
        <v>21</v>
      </c>
      <c r="B17" s="130">
        <f>Triangulo2!D56</f>
        <v>1.4892898459571287</v>
      </c>
      <c r="C17" s="130">
        <f>Triangulo2!E56</f>
        <v>0.96710128476342805</v>
      </c>
      <c r="D17" s="130">
        <f>Triangulo2!F56</f>
        <v>0.97282281913784008</v>
      </c>
      <c r="E17" s="130">
        <f>Triangulo2!G56</f>
        <v>0.900313823120794</v>
      </c>
      <c r="F17" s="130">
        <f>Triangulo2!H56</f>
        <v>1.0175397104832264</v>
      </c>
      <c r="G17" s="130">
        <f>Triangulo2!I56</f>
        <v>0.94689033619123752</v>
      </c>
      <c r="H17" s="130">
        <f>Triangulo2!J56</f>
        <v>1.0011754683222589</v>
      </c>
      <c r="I17" s="130">
        <f>Triangulo2!K56</f>
        <v>0.97489595102961235</v>
      </c>
      <c r="J17" s="130">
        <f>Triangulo2!L56</f>
        <v>0.97570612804867685</v>
      </c>
      <c r="K17" s="130">
        <f>Triangulo2!M56</f>
        <v>0.97032217803772136</v>
      </c>
      <c r="L17" s="130">
        <f>Triangulo2!N56</f>
        <v>0.99971674993124005</v>
      </c>
      <c r="M17" s="133">
        <f>Triangulo2!O56</f>
        <v>0</v>
      </c>
      <c r="N17" s="133">
        <f>Triangulo2!P56</f>
        <v>0</v>
      </c>
      <c r="O17" s="133">
        <f>Triangulo2!Q56</f>
        <v>0</v>
      </c>
      <c r="P17" s="133">
        <f>Triangulo2!R56</f>
        <v>0</v>
      </c>
      <c r="Q17" s="133">
        <f>Triangulo2!S56</f>
        <v>0</v>
      </c>
      <c r="R17" s="133">
        <f>Triangulo2!T56</f>
        <v>0</v>
      </c>
      <c r="S17" s="133">
        <f>Triangulo2!U56</f>
        <v>0</v>
      </c>
      <c r="T17" s="133">
        <f>Triangulo2!V56</f>
        <v>0</v>
      </c>
      <c r="U17" s="133">
        <f>Triangulo2!W56</f>
        <v>0</v>
      </c>
      <c r="V17" s="133">
        <f>Triangulo2!X56</f>
        <v>0</v>
      </c>
      <c r="W17" s="133">
        <f>Triangulo2!Y56</f>
        <v>0</v>
      </c>
      <c r="X17" s="133">
        <f>Triangulo2!Z56</f>
        <v>0</v>
      </c>
      <c r="Y17" s="131" t="b">
        <f>MIN(B17:L17)&gt;1</f>
        <v>0</v>
      </c>
      <c r="Z17" s="124" t="b" cm="1">
        <f t="array" ref="Z17">MAX(ABS(AO5:AO26))&gt;0.1</f>
        <v>0</v>
      </c>
      <c r="AC17" s="125">
        <f t="shared" si="1"/>
        <v>5.777774531834378E-2</v>
      </c>
      <c r="AD17" s="125">
        <f t="shared" si="0"/>
        <v>-3.325262901382197E-2</v>
      </c>
      <c r="AE17" s="125">
        <f t="shared" si="0"/>
        <v>1.4766969624312978E-2</v>
      </c>
      <c r="AF17" s="125">
        <f t="shared" si="0"/>
        <v>-2.0124613127362478E-2</v>
      </c>
      <c r="AG17" s="125">
        <f t="shared" si="0"/>
        <v>0.10503760404547809</v>
      </c>
      <c r="AH17" s="125">
        <f t="shared" si="0"/>
        <v>-5.7861556415104966E-2</v>
      </c>
      <c r="AI17" s="125">
        <f t="shared" si="0"/>
        <v>1.5642999181448455E-2</v>
      </c>
      <c r="AJ17" s="125">
        <f t="shared" si="0"/>
        <v>1.7517739828542284E-2</v>
      </c>
      <c r="AK17" s="125">
        <f t="shared" si="0"/>
        <v>1.3035592191437661E-2</v>
      </c>
      <c r="AL17" s="125">
        <f t="shared" si="0"/>
        <v>-4.4672358488914952E-3</v>
      </c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6"/>
    </row>
    <row r="18" spans="1:51" x14ac:dyDescent="0.25">
      <c r="A18" s="35" t="s">
        <v>22</v>
      </c>
      <c r="B18" s="132">
        <f>Triangulo2!D57</f>
        <v>1.4032420365322222</v>
      </c>
      <c r="C18" s="132">
        <f>Triangulo2!E57</f>
        <v>0.99925994500445692</v>
      </c>
      <c r="D18" s="132">
        <f>Triangulo2!F57</f>
        <v>0.95845717411779308</v>
      </c>
      <c r="E18" s="132">
        <f>Triangulo2!G57</f>
        <v>0.91843229050431663</v>
      </c>
      <c r="F18" s="132">
        <f>Triangulo2!H57</f>
        <v>0.9106597772729389</v>
      </c>
      <c r="G18" s="132">
        <f>Triangulo2!I57</f>
        <v>1.0016788847976845</v>
      </c>
      <c r="H18" s="132">
        <f>Triangulo2!J57</f>
        <v>0.98551408129080753</v>
      </c>
      <c r="I18" s="132">
        <f>Triangulo2!K57</f>
        <v>0.9578179773995763</v>
      </c>
      <c r="J18" s="132">
        <f>Triangulo2!L57</f>
        <v>0.96298722086474764</v>
      </c>
      <c r="K18" s="132">
        <f>Triangulo2!M57</f>
        <v>0.97465683605642595</v>
      </c>
      <c r="L18" s="133">
        <f>Triangulo2!N57</f>
        <v>0</v>
      </c>
      <c r="M18" s="133">
        <f>Triangulo2!O57</f>
        <v>0</v>
      </c>
      <c r="N18" s="133">
        <f>Triangulo2!P57</f>
        <v>0</v>
      </c>
      <c r="O18" s="133">
        <f>Triangulo2!Q57</f>
        <v>0</v>
      </c>
      <c r="P18" s="133">
        <f>Triangulo2!R57</f>
        <v>0</v>
      </c>
      <c r="Q18" s="133">
        <f>Triangulo2!S57</f>
        <v>0</v>
      </c>
      <c r="R18" s="133">
        <f>Triangulo2!T57</f>
        <v>0</v>
      </c>
      <c r="S18" s="133">
        <f>Triangulo2!U57</f>
        <v>0</v>
      </c>
      <c r="T18" s="133">
        <f>Triangulo2!V57</f>
        <v>0</v>
      </c>
      <c r="U18" s="133">
        <f>Triangulo2!W57</f>
        <v>0</v>
      </c>
      <c r="V18" s="133">
        <f>Triangulo2!X57</f>
        <v>0</v>
      </c>
      <c r="W18" s="133">
        <f>Triangulo2!Y57</f>
        <v>0</v>
      </c>
      <c r="X18" s="133">
        <f>Triangulo2!Z57</f>
        <v>0</v>
      </c>
      <c r="Y18" s="131" t="b">
        <f>MIN(B18:K18)&gt;1</f>
        <v>0</v>
      </c>
      <c r="Z18" s="124" t="b" cm="1">
        <f t="array" ref="Z18">MAX(ABS(AP5:AP26))&gt;0.1</f>
        <v>0</v>
      </c>
      <c r="AC18" s="125">
        <f t="shared" si="1"/>
        <v>5.0845110733769867E-3</v>
      </c>
      <c r="AD18" s="125">
        <f t="shared" si="0"/>
        <v>0.22075503019699452</v>
      </c>
      <c r="AE18" s="125">
        <f t="shared" si="0"/>
        <v>6.9827836176228286E-2</v>
      </c>
      <c r="AF18" s="125">
        <f t="shared" si="0"/>
        <v>-0.1098007860294586</v>
      </c>
      <c r="AG18" s="125">
        <f t="shared" si="0"/>
        <v>-4.756729170222368E-2</v>
      </c>
      <c r="AH18" s="125">
        <f t="shared" si="0"/>
        <v>0.13741941944275546</v>
      </c>
      <c r="AI18" s="125">
        <f t="shared" si="0"/>
        <v>5.1003718106173407E-2</v>
      </c>
      <c r="AJ18" s="125">
        <f t="shared" si="0"/>
        <v>-6.0039635968441855E-2</v>
      </c>
      <c r="AK18" s="125">
        <f t="shared" si="0"/>
        <v>2.853570465373027E-2</v>
      </c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6"/>
    </row>
    <row r="19" spans="1:51" x14ac:dyDescent="0.25">
      <c r="A19" s="41" t="s">
        <v>23</v>
      </c>
      <c r="B19" s="130">
        <f>Triangulo2!D58</f>
        <v>1.3961072368588461</v>
      </c>
      <c r="C19" s="130">
        <f>Triangulo2!E58</f>
        <v>0.77866828567035096</v>
      </c>
      <c r="D19" s="130">
        <f>Triangulo2!F58</f>
        <v>0.89153018358156511</v>
      </c>
      <c r="E19" s="130">
        <f>Triangulo2!G58</f>
        <v>1.0192768779165267</v>
      </c>
      <c r="F19" s="130">
        <f>Triangulo2!H58</f>
        <v>0.95397739653996283</v>
      </c>
      <c r="G19" s="130">
        <f>Triangulo2!I58</f>
        <v>0.86402875398071999</v>
      </c>
      <c r="H19" s="130">
        <f>Triangulo2!J58</f>
        <v>0.93524919889898672</v>
      </c>
      <c r="I19" s="130">
        <f>Triangulo2!K58</f>
        <v>1.0153250200866761</v>
      </c>
      <c r="J19" s="130">
        <f>Triangulo2!L58</f>
        <v>0.93550770194483468</v>
      </c>
      <c r="K19" s="133">
        <f>Triangulo2!M58</f>
        <v>0</v>
      </c>
      <c r="L19" s="133">
        <f>Triangulo2!N58</f>
        <v>0</v>
      </c>
      <c r="M19" s="133">
        <f>Triangulo2!O58</f>
        <v>0</v>
      </c>
      <c r="N19" s="133">
        <f>Triangulo2!P58</f>
        <v>0</v>
      </c>
      <c r="O19" s="133">
        <f>Triangulo2!Q58</f>
        <v>0</v>
      </c>
      <c r="P19" s="133">
        <f>Triangulo2!R58</f>
        <v>0</v>
      </c>
      <c r="Q19" s="133">
        <f>Triangulo2!S58</f>
        <v>0</v>
      </c>
      <c r="R19" s="133">
        <f>Triangulo2!T58</f>
        <v>0</v>
      </c>
      <c r="S19" s="133">
        <f>Triangulo2!U58</f>
        <v>0</v>
      </c>
      <c r="T19" s="133">
        <f>Triangulo2!V58</f>
        <v>0</v>
      </c>
      <c r="U19" s="133">
        <f>Triangulo2!W58</f>
        <v>0</v>
      </c>
      <c r="V19" s="133">
        <f>Triangulo2!X58</f>
        <v>0</v>
      </c>
      <c r="W19" s="133">
        <f>Triangulo2!Y58</f>
        <v>0</v>
      </c>
      <c r="X19" s="133">
        <f>Triangulo2!Z58</f>
        <v>0</v>
      </c>
      <c r="Y19" s="131" t="b">
        <f>MIN(B19:J19)&gt;1</f>
        <v>0</v>
      </c>
      <c r="Z19" s="124" t="b" cm="1">
        <f t="array" ref="Z19">MAX(ABS(AQ5:AQ26))&gt;0.1</f>
        <v>0</v>
      </c>
      <c r="AC19" s="125">
        <f t="shared" si="1"/>
        <v>-0.38997831199738892</v>
      </c>
      <c r="AD19" s="125">
        <f t="shared" si="0"/>
        <v>-0.30689086782723607</v>
      </c>
      <c r="AE19" s="125">
        <f t="shared" si="0"/>
        <v>-0.47472049880982292</v>
      </c>
      <c r="AF19" s="125">
        <f t="shared" si="0"/>
        <v>3.2011086448674377E-2</v>
      </c>
      <c r="AG19" s="125">
        <f t="shared" si="0"/>
        <v>-5.4076474174549964E-2</v>
      </c>
      <c r="AH19" s="125">
        <f t="shared" si="0"/>
        <v>-0.13183257959264977</v>
      </c>
      <c r="AI19" s="125">
        <f t="shared" si="0"/>
        <v>-4.4855799364946984E-2</v>
      </c>
      <c r="AJ19" s="125">
        <f t="shared" si="0"/>
        <v>2.6966271711520853E-2</v>
      </c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6"/>
    </row>
    <row r="20" spans="1:51" x14ac:dyDescent="0.25">
      <c r="A20" s="35" t="s">
        <v>24</v>
      </c>
      <c r="B20" s="132">
        <f>Triangulo2!D59</f>
        <v>1.9405587804563977</v>
      </c>
      <c r="C20" s="132">
        <f>Triangulo2!E59</f>
        <v>1.0176344716092711</v>
      </c>
      <c r="D20" s="134">
        <f>Triangulo2!F59</f>
        <v>1.3147578370354187</v>
      </c>
      <c r="E20" s="132">
        <f>Triangulo2!G59</f>
        <v>0.98664871766240581</v>
      </c>
      <c r="F20" s="132">
        <f>Triangulo2!H59</f>
        <v>1.0055651305870605</v>
      </c>
      <c r="G20" s="132">
        <f>Triangulo2!I59</f>
        <v>0.97793589346022125</v>
      </c>
      <c r="H20" s="132">
        <f>Triangulo2!J59</f>
        <v>0.97720054932102707</v>
      </c>
      <c r="I20" s="132">
        <f>Triangulo2!K59</f>
        <v>0.98794548971951346</v>
      </c>
      <c r="J20" s="133">
        <f>Triangulo2!L59</f>
        <v>0</v>
      </c>
      <c r="K20" s="133">
        <f>Triangulo2!M59</f>
        <v>0</v>
      </c>
      <c r="L20" s="133">
        <f>Triangulo2!N59</f>
        <v>0</v>
      </c>
      <c r="M20" s="133">
        <f>Triangulo2!O59</f>
        <v>0</v>
      </c>
      <c r="N20" s="133">
        <f>Triangulo2!P59</f>
        <v>0</v>
      </c>
      <c r="O20" s="133">
        <f>Triangulo2!Q59</f>
        <v>0</v>
      </c>
      <c r="P20" s="133">
        <f>Triangulo2!R59</f>
        <v>0</v>
      </c>
      <c r="Q20" s="133">
        <f>Triangulo2!S59</f>
        <v>0</v>
      </c>
      <c r="R20" s="133">
        <f>Triangulo2!T59</f>
        <v>0</v>
      </c>
      <c r="S20" s="133">
        <f>Triangulo2!U59</f>
        <v>0</v>
      </c>
      <c r="T20" s="133">
        <f>Triangulo2!V59</f>
        <v>0</v>
      </c>
      <c r="U20" s="133">
        <f>Triangulo2!W59</f>
        <v>0</v>
      </c>
      <c r="V20" s="133">
        <f>Triangulo2!X59</f>
        <v>0</v>
      </c>
      <c r="W20" s="133">
        <f>Triangulo2!Y59</f>
        <v>0</v>
      </c>
      <c r="X20" s="133">
        <f>Triangulo2!Z59</f>
        <v>0</v>
      </c>
      <c r="Y20" s="131" t="b">
        <f>MIN(B20:I20)&gt;1</f>
        <v>0</v>
      </c>
      <c r="Z20" s="124" t="b" cm="1">
        <f t="array" ref="Z20">MAX(ABS(AR5:AR26))&gt;0.1</f>
        <v>0</v>
      </c>
      <c r="AC20" s="125">
        <f t="shared" si="1"/>
        <v>0.15543845791920868</v>
      </c>
      <c r="AD20" s="125">
        <f t="shared" si="0"/>
        <v>8.6202736215490558E-2</v>
      </c>
      <c r="AE20" s="125">
        <f t="shared" si="0"/>
        <v>-6.0347589052021623E-2</v>
      </c>
      <c r="AF20" s="125">
        <f t="shared" si="0"/>
        <v>3.8455427516148659E-2</v>
      </c>
      <c r="AG20" s="125">
        <f t="shared" si="0"/>
        <v>9.2977607511109655E-3</v>
      </c>
      <c r="AH20" s="125">
        <f t="shared" si="0"/>
        <v>-4.7452585217236257E-3</v>
      </c>
      <c r="AI20" s="125">
        <f t="shared" si="0"/>
        <v>-9.4493590358998829E-3</v>
      </c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6"/>
    </row>
    <row r="21" spans="1:51" x14ac:dyDescent="0.25">
      <c r="A21" s="41" t="s">
        <v>25</v>
      </c>
      <c r="B21" s="130">
        <f>Triangulo2!D60</f>
        <v>1.638921316120675</v>
      </c>
      <c r="C21" s="130">
        <f>Triangulo2!E60</f>
        <v>0.929911595689347</v>
      </c>
      <c r="D21" s="135">
        <f>Triangulo2!F60</f>
        <v>1.394100302687757</v>
      </c>
      <c r="E21" s="130">
        <f>Triangulo2!G60</f>
        <v>0.94870671941643814</v>
      </c>
      <c r="F21" s="130">
        <f>Triangulo2!H60</f>
        <v>0.9962156265832024</v>
      </c>
      <c r="G21" s="130">
        <f>Triangulo2!I60</f>
        <v>0.98257645209236277</v>
      </c>
      <c r="H21" s="130">
        <f>Triangulo2!J60</f>
        <v>0.98643446816164004</v>
      </c>
      <c r="I21" s="133">
        <f>Triangulo2!K60</f>
        <v>0</v>
      </c>
      <c r="J21" s="133">
        <f>Triangulo2!L60</f>
        <v>0</v>
      </c>
      <c r="K21" s="133">
        <f>Triangulo2!M60</f>
        <v>0</v>
      </c>
      <c r="L21" s="133">
        <f>Triangulo2!N60</f>
        <v>0</v>
      </c>
      <c r="M21" s="133">
        <f>Triangulo2!O60</f>
        <v>0</v>
      </c>
      <c r="N21" s="133">
        <f>Triangulo2!P60</f>
        <v>0</v>
      </c>
      <c r="O21" s="133">
        <f>Triangulo2!Q60</f>
        <v>0</v>
      </c>
      <c r="P21" s="133">
        <f>Triangulo2!R60</f>
        <v>0</v>
      </c>
      <c r="Q21" s="133">
        <f>Triangulo2!S60</f>
        <v>0</v>
      </c>
      <c r="R21" s="133">
        <f>Triangulo2!T60</f>
        <v>0</v>
      </c>
      <c r="S21" s="133">
        <f>Triangulo2!U60</f>
        <v>0</v>
      </c>
      <c r="T21" s="133">
        <f>Triangulo2!V60</f>
        <v>0</v>
      </c>
      <c r="U21" s="133">
        <f>Triangulo2!W60</f>
        <v>0</v>
      </c>
      <c r="V21" s="133">
        <f>Triangulo2!X60</f>
        <v>0</v>
      </c>
      <c r="W21" s="133">
        <f>Triangulo2!Y60</f>
        <v>0</v>
      </c>
      <c r="X21" s="133">
        <f>Triangulo2!Z60</f>
        <v>0</v>
      </c>
      <c r="Y21" s="131" t="b">
        <f>MIN(B21:H21)&gt;1</f>
        <v>0</v>
      </c>
      <c r="Z21" s="124" t="b" cm="1">
        <f t="array" ref="Z21">MAX(ABS(AS5:AS26))&gt;0.1</f>
        <v>0</v>
      </c>
      <c r="AC21" s="125">
        <f t="shared" si="1"/>
        <v>-0.59448485153489494</v>
      </c>
      <c r="AD21" s="125">
        <f t="shared" si="1"/>
        <v>-2.0803564105477131E-2</v>
      </c>
      <c r="AE21" s="125">
        <f t="shared" si="1"/>
        <v>-2.7095072422821442E-2</v>
      </c>
      <c r="AF21" s="125">
        <f t="shared" si="1"/>
        <v>-6.5873214405248737E-2</v>
      </c>
      <c r="AG21" s="125">
        <f t="shared" si="1"/>
        <v>-1.709604328468436E-3</v>
      </c>
      <c r="AH21" s="125">
        <f t="shared" si="1"/>
        <v>7.2326732893987266E-3</v>
      </c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6"/>
    </row>
    <row r="22" spans="1:51" x14ac:dyDescent="0.25">
      <c r="A22" s="35" t="s">
        <v>26</v>
      </c>
      <c r="B22" s="134">
        <f>Triangulo2!D61</f>
        <v>2.6132352114120492</v>
      </c>
      <c r="C22" s="132">
        <f>Triangulo2!E61</f>
        <v>0.94925707118269687</v>
      </c>
      <c r="D22" s="132">
        <f>Triangulo2!F61</f>
        <v>1.431873551353759</v>
      </c>
      <c r="E22" s="132">
        <f>Triangulo2!G61</f>
        <v>1.0112010805522573</v>
      </c>
      <c r="F22" s="132">
        <f>Triangulo2!H61</f>
        <v>0.99791876113049693</v>
      </c>
      <c r="G22" s="132">
        <f>Triangulo2!I61</f>
        <v>0.97546979763252217</v>
      </c>
      <c r="H22" s="133">
        <f>Triangulo2!J61</f>
        <v>0</v>
      </c>
      <c r="I22" s="133">
        <f>Triangulo2!K61</f>
        <v>0</v>
      </c>
      <c r="J22" s="133">
        <f>Triangulo2!L61</f>
        <v>0</v>
      </c>
      <c r="K22" s="133">
        <f>Triangulo2!M61</f>
        <v>0</v>
      </c>
      <c r="L22" s="133">
        <f>Triangulo2!N61</f>
        <v>0</v>
      </c>
      <c r="M22" s="133">
        <f>Triangulo2!O61</f>
        <v>0</v>
      </c>
      <c r="N22" s="133">
        <f>Triangulo2!P61</f>
        <v>0</v>
      </c>
      <c r="O22" s="133">
        <f>Triangulo2!Q61</f>
        <v>0</v>
      </c>
      <c r="P22" s="133">
        <f>Triangulo2!R61</f>
        <v>0</v>
      </c>
      <c r="Q22" s="133">
        <f>Triangulo2!S61</f>
        <v>0</v>
      </c>
      <c r="R22" s="133">
        <f>Triangulo2!T61</f>
        <v>0</v>
      </c>
      <c r="S22" s="133">
        <f>Triangulo2!U61</f>
        <v>0</v>
      </c>
      <c r="T22" s="133">
        <f>Triangulo2!V61</f>
        <v>0</v>
      </c>
      <c r="U22" s="133">
        <f>Triangulo2!W61</f>
        <v>0</v>
      </c>
      <c r="V22" s="133">
        <f>Triangulo2!X61</f>
        <v>0</v>
      </c>
      <c r="W22" s="133">
        <f>Triangulo2!Y61</f>
        <v>0</v>
      </c>
      <c r="X22" s="133">
        <f>Triangulo2!Z61</f>
        <v>0</v>
      </c>
      <c r="Y22" s="131" t="b">
        <f>MIN(B22:G22)&gt;1</f>
        <v>0</v>
      </c>
      <c r="Z22" s="124" t="b" cm="1">
        <f t="array" ref="Z22">MAX(ABS(AT5:AT26))&gt;0.1</f>
        <v>0</v>
      </c>
      <c r="AC22" s="125">
        <f t="shared" si="1"/>
        <v>-0.21020187250402353</v>
      </c>
      <c r="AD22" s="125">
        <f t="shared" si="1"/>
        <v>-4.5351795710688939E-2</v>
      </c>
      <c r="AE22" s="125">
        <f t="shared" si="1"/>
        <v>0.18135582329020175</v>
      </c>
      <c r="AF22" s="125">
        <f t="shared" si="1"/>
        <v>6.0791770084790116E-3</v>
      </c>
      <c r="AG22" s="125">
        <f t="shared" si="1"/>
        <v>-6.4625302852115916E-5</v>
      </c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6"/>
    </row>
    <row r="23" spans="1:51" x14ac:dyDescent="0.25">
      <c r="A23" s="41" t="s">
        <v>27</v>
      </c>
      <c r="B23" s="135">
        <f>Triangulo2!D62</f>
        <v>3.1625421461443097</v>
      </c>
      <c r="C23" s="130">
        <f>Triangulo2!E62</f>
        <v>0.99230758395190144</v>
      </c>
      <c r="D23" s="130">
        <f>Triangulo2!F62</f>
        <v>1.1721949446005331</v>
      </c>
      <c r="E23" s="130">
        <f>Triangulo2!G62</f>
        <v>1.0050538101924149</v>
      </c>
      <c r="F23" s="130">
        <f>Triangulo2!H62</f>
        <v>0.9979832519326568</v>
      </c>
      <c r="G23" s="133">
        <f>Triangulo2!I62</f>
        <v>0</v>
      </c>
      <c r="H23" s="133">
        <f>Triangulo2!J62</f>
        <v>0</v>
      </c>
      <c r="I23" s="133">
        <f>Triangulo2!K62</f>
        <v>0</v>
      </c>
      <c r="J23" s="133">
        <f>Triangulo2!L62</f>
        <v>0</v>
      </c>
      <c r="K23" s="133">
        <f>Triangulo2!M62</f>
        <v>0</v>
      </c>
      <c r="L23" s="133">
        <f>Triangulo2!N62</f>
        <v>0</v>
      </c>
      <c r="M23" s="133">
        <f>Triangulo2!O62</f>
        <v>0</v>
      </c>
      <c r="N23" s="133">
        <f>Triangulo2!P62</f>
        <v>0</v>
      </c>
      <c r="O23" s="133">
        <f>Triangulo2!Q62</f>
        <v>0</v>
      </c>
      <c r="P23" s="133">
        <f>Triangulo2!R62</f>
        <v>0</v>
      </c>
      <c r="Q23" s="133">
        <f>Triangulo2!S62</f>
        <v>0</v>
      </c>
      <c r="R23" s="133">
        <f>Triangulo2!T62</f>
        <v>0</v>
      </c>
      <c r="S23" s="133">
        <f>Triangulo2!U62</f>
        <v>0</v>
      </c>
      <c r="T23" s="133">
        <f>Triangulo2!V62</f>
        <v>0</v>
      </c>
      <c r="U23" s="133">
        <f>Triangulo2!W62</f>
        <v>0</v>
      </c>
      <c r="V23" s="133">
        <f>Triangulo2!X62</f>
        <v>0</v>
      </c>
      <c r="W23" s="133">
        <f>Triangulo2!Y62</f>
        <v>0</v>
      </c>
      <c r="X23" s="133">
        <f>Triangulo2!Z62</f>
        <v>0</v>
      </c>
      <c r="Y23" s="131" t="b">
        <f>MIN(B23:F23)&gt;1</f>
        <v>0</v>
      </c>
      <c r="Z23" s="124" t="b" cm="1">
        <f t="array" ref="Z23">MAX(ABS(AU5:AU26))&gt;0.1</f>
        <v>0</v>
      </c>
      <c r="AC23" s="125">
        <f t="shared" si="1"/>
        <v>0.44445836946992495</v>
      </c>
      <c r="AD23" s="125">
        <f t="shared" si="1"/>
        <v>4.732390643101602E-2</v>
      </c>
      <c r="AE23" s="125">
        <f t="shared" si="1"/>
        <v>-0.10988637043749332</v>
      </c>
      <c r="AF23" s="125">
        <f t="shared" si="1"/>
        <v>1.7661040676824242E-2</v>
      </c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6"/>
    </row>
    <row r="24" spans="1:51" x14ac:dyDescent="0.25">
      <c r="A24" s="35" t="s">
        <v>28</v>
      </c>
      <c r="B24" s="132">
        <f>Triangulo2!D63</f>
        <v>1.7569238204890927</v>
      </c>
      <c r="C24" s="132">
        <f>Triangulo2!E63</f>
        <v>0.94534771269817408</v>
      </c>
      <c r="D24" s="132">
        <f>Triangulo2!F63</f>
        <v>1.3010031925078642</v>
      </c>
      <c r="E24" s="132">
        <f>Triangulo2!G63</f>
        <v>0.98730351396820948</v>
      </c>
      <c r="F24" s="133">
        <f>Triangulo2!H63</f>
        <v>0</v>
      </c>
      <c r="G24" s="133">
        <f>Triangulo2!I63</f>
        <v>0</v>
      </c>
      <c r="H24" s="133">
        <f>Triangulo2!J63</f>
        <v>0</v>
      </c>
      <c r="I24" s="133">
        <f>Triangulo2!K63</f>
        <v>0</v>
      </c>
      <c r="J24" s="133">
        <f>Triangulo2!L63</f>
        <v>0</v>
      </c>
      <c r="K24" s="133">
        <f>Triangulo2!M63</f>
        <v>0</v>
      </c>
      <c r="L24" s="133">
        <f>Triangulo2!N63</f>
        <v>0</v>
      </c>
      <c r="M24" s="133">
        <f>Triangulo2!O63</f>
        <v>0</v>
      </c>
      <c r="N24" s="133">
        <f>Triangulo2!P63</f>
        <v>0</v>
      </c>
      <c r="O24" s="133">
        <f>Triangulo2!Q63</f>
        <v>0</v>
      </c>
      <c r="P24" s="133">
        <f>Triangulo2!R63</f>
        <v>0</v>
      </c>
      <c r="Q24" s="133">
        <f>Triangulo2!S63</f>
        <v>0</v>
      </c>
      <c r="R24" s="133">
        <f>Triangulo2!T63</f>
        <v>0</v>
      </c>
      <c r="S24" s="133">
        <f>Triangulo2!U63</f>
        <v>0</v>
      </c>
      <c r="T24" s="133">
        <f>Triangulo2!V63</f>
        <v>0</v>
      </c>
      <c r="U24" s="133">
        <f>Triangulo2!W63</f>
        <v>0</v>
      </c>
      <c r="V24" s="133">
        <f>Triangulo2!X63</f>
        <v>0</v>
      </c>
      <c r="W24" s="133">
        <f>Triangulo2!Y63</f>
        <v>0</v>
      </c>
      <c r="X24" s="133">
        <f>Triangulo2!Z63</f>
        <v>0</v>
      </c>
      <c r="Y24" s="131" t="b">
        <f>MIN(B24:E24)&gt;1</f>
        <v>0</v>
      </c>
      <c r="Z24" s="124" t="b" cm="1">
        <f t="array" ref="Z24">MAX(ABS(AV5:AV25))&gt;0.1</f>
        <v>0</v>
      </c>
      <c r="AC24" s="125">
        <f>(B24-B25)/B24</f>
        <v>-0.32733795459981352</v>
      </c>
      <c r="AD24" s="125">
        <f t="shared" si="1"/>
        <v>-6.0851593366299833E-2</v>
      </c>
      <c r="AE24" s="125">
        <f t="shared" si="1"/>
        <v>1.5087406181443688E-3</v>
      </c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6"/>
    </row>
    <row r="25" spans="1:51" x14ac:dyDescent="0.25">
      <c r="A25" s="41" t="s">
        <v>29</v>
      </c>
      <c r="B25" s="135">
        <f>Triangulo2!D64</f>
        <v>2.3320316702756823</v>
      </c>
      <c r="C25" s="130">
        <f>Triangulo2!E64</f>
        <v>1.002873627301045</v>
      </c>
      <c r="D25" s="130">
        <f>Triangulo2!F64</f>
        <v>1.2990403161469921</v>
      </c>
      <c r="E25" s="133">
        <f>Triangulo2!G64</f>
        <v>0</v>
      </c>
      <c r="F25" s="133">
        <f>Triangulo2!H64</f>
        <v>0</v>
      </c>
      <c r="G25" s="133">
        <f>Triangulo2!I64</f>
        <v>0</v>
      </c>
      <c r="H25" s="133">
        <f>Triangulo2!J64</f>
        <v>0</v>
      </c>
      <c r="I25" s="133">
        <f>Triangulo2!K64</f>
        <v>0</v>
      </c>
      <c r="J25" s="133">
        <f>Triangulo2!L64</f>
        <v>0</v>
      </c>
      <c r="K25" s="133">
        <f>Triangulo2!M64</f>
        <v>0</v>
      </c>
      <c r="L25" s="133">
        <f>Triangulo2!N64</f>
        <v>0</v>
      </c>
      <c r="M25" s="133">
        <f>Triangulo2!O64</f>
        <v>0</v>
      </c>
      <c r="N25" s="133">
        <f>Triangulo2!P64</f>
        <v>0</v>
      </c>
      <c r="O25" s="133">
        <f>Triangulo2!Q64</f>
        <v>0</v>
      </c>
      <c r="P25" s="133">
        <f>Triangulo2!R64</f>
        <v>0</v>
      </c>
      <c r="Q25" s="133">
        <f>Triangulo2!S64</f>
        <v>0</v>
      </c>
      <c r="R25" s="133">
        <f>Triangulo2!T64</f>
        <v>0</v>
      </c>
      <c r="S25" s="133">
        <f>Triangulo2!U64</f>
        <v>0</v>
      </c>
      <c r="T25" s="133">
        <f>Triangulo2!V64</f>
        <v>0</v>
      </c>
      <c r="U25" s="133">
        <f>Triangulo2!W64</f>
        <v>0</v>
      </c>
      <c r="V25" s="133">
        <f>Triangulo2!X64</f>
        <v>0</v>
      </c>
      <c r="W25" s="133">
        <f>Triangulo2!Y64</f>
        <v>0</v>
      </c>
      <c r="X25" s="133">
        <f>Triangulo2!Z64</f>
        <v>0</v>
      </c>
      <c r="Y25" s="131" t="b">
        <f>MIN(B25:D25)&gt;1</f>
        <v>1</v>
      </c>
      <c r="Z25" s="124" t="b" cm="1">
        <f t="array" ref="Z25">MAX(ABS(AW5:AW24))&gt;0.1</f>
        <v>0</v>
      </c>
      <c r="AC25" s="125">
        <f t="shared" si="1"/>
        <v>0.15085734511362706</v>
      </c>
      <c r="AD25" s="125">
        <f t="shared" si="1"/>
        <v>4.0182935813216157E-2</v>
      </c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6"/>
    </row>
    <row r="26" spans="1:51" x14ac:dyDescent="0.25">
      <c r="A26" s="35" t="s">
        <v>30</v>
      </c>
      <c r="B26" s="134">
        <f>Triangulo2!D65</f>
        <v>1.9802275637769955</v>
      </c>
      <c r="C26" s="132">
        <f>Triangulo2!E65</f>
        <v>0.96257522070643986</v>
      </c>
      <c r="D26" s="133">
        <f>Triangulo2!F65</f>
        <v>0</v>
      </c>
      <c r="E26" s="133">
        <f>Triangulo2!G65</f>
        <v>0</v>
      </c>
      <c r="F26" s="133">
        <f>Triangulo2!H65</f>
        <v>0</v>
      </c>
      <c r="G26" s="133">
        <f>Triangulo2!I65</f>
        <v>0</v>
      </c>
      <c r="H26" s="133">
        <f>Triangulo2!J65</f>
        <v>0</v>
      </c>
      <c r="I26" s="133">
        <f>Triangulo2!K65</f>
        <v>0</v>
      </c>
      <c r="J26" s="133">
        <f>Triangulo2!L65</f>
        <v>0</v>
      </c>
      <c r="K26" s="133">
        <f>Triangulo2!M65</f>
        <v>0</v>
      </c>
      <c r="L26" s="133">
        <f>Triangulo2!N65</f>
        <v>0</v>
      </c>
      <c r="M26" s="133">
        <f>Triangulo2!O65</f>
        <v>0</v>
      </c>
      <c r="N26" s="133">
        <f>Triangulo2!P65</f>
        <v>0</v>
      </c>
      <c r="O26" s="133">
        <f>Triangulo2!Q65</f>
        <v>0</v>
      </c>
      <c r="P26" s="133">
        <f>Triangulo2!R65</f>
        <v>0</v>
      </c>
      <c r="Q26" s="133">
        <f>Triangulo2!S65</f>
        <v>0</v>
      </c>
      <c r="R26" s="133">
        <f>Triangulo2!T65</f>
        <v>0</v>
      </c>
      <c r="S26" s="133">
        <f>Triangulo2!U65</f>
        <v>0</v>
      </c>
      <c r="T26" s="133">
        <f>Triangulo2!V65</f>
        <v>0</v>
      </c>
      <c r="U26" s="133">
        <f>Triangulo2!W65</f>
        <v>0</v>
      </c>
      <c r="V26" s="133">
        <f>Triangulo2!X65</f>
        <v>0</v>
      </c>
      <c r="W26" s="133">
        <f>Triangulo2!Y65</f>
        <v>0</v>
      </c>
      <c r="X26" s="133">
        <f>Triangulo2!Z65</f>
        <v>0</v>
      </c>
      <c r="Y26" s="131" t="b">
        <f>MIN(B26:C26)&gt;1</f>
        <v>0</v>
      </c>
      <c r="Z26" s="124" t="b">
        <f>MAX(ABS(AX5))&gt;0.1</f>
        <v>0</v>
      </c>
      <c r="AC26" s="125">
        <f t="shared" si="1"/>
        <v>4.4462410203001006E-2</v>
      </c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6"/>
    </row>
    <row r="27" spans="1:51" x14ac:dyDescent="0.25">
      <c r="A27" s="41" t="s">
        <v>31</v>
      </c>
      <c r="B27" s="130">
        <f>Triangulo2!D66</f>
        <v>1.8921818735410534</v>
      </c>
      <c r="C27" s="133">
        <f>Triangulo2!E66</f>
        <v>0</v>
      </c>
      <c r="D27" s="133">
        <f>Triangulo2!F66</f>
        <v>0</v>
      </c>
      <c r="E27" s="133">
        <f>Triangulo2!G66</f>
        <v>0</v>
      </c>
      <c r="F27" s="133">
        <f>Triangulo2!H66</f>
        <v>0</v>
      </c>
      <c r="G27" s="133">
        <f>Triangulo2!I66</f>
        <v>0</v>
      </c>
      <c r="H27" s="133">
        <f>Triangulo2!J66</f>
        <v>0</v>
      </c>
      <c r="I27" s="133">
        <f>Triangulo2!K66</f>
        <v>0</v>
      </c>
      <c r="J27" s="133">
        <f>Triangulo2!L66</f>
        <v>0</v>
      </c>
      <c r="K27" s="133">
        <f>Triangulo2!M66</f>
        <v>0</v>
      </c>
      <c r="L27" s="133">
        <f>Triangulo2!N66</f>
        <v>0</v>
      </c>
      <c r="M27" s="133">
        <f>Triangulo2!O66</f>
        <v>0</v>
      </c>
      <c r="N27" s="133">
        <f>Triangulo2!P66</f>
        <v>0</v>
      </c>
      <c r="O27" s="133">
        <f>Triangulo2!Q66</f>
        <v>0</v>
      </c>
      <c r="P27" s="133">
        <f>Triangulo2!R66</f>
        <v>0</v>
      </c>
      <c r="Q27" s="133">
        <f>Triangulo2!S66</f>
        <v>0</v>
      </c>
      <c r="R27" s="133">
        <f>Triangulo2!T66</f>
        <v>0</v>
      </c>
      <c r="S27" s="133">
        <f>Triangulo2!U66</f>
        <v>0</v>
      </c>
      <c r="T27" s="133">
        <f>Triangulo2!V66</f>
        <v>0</v>
      </c>
      <c r="U27" s="133">
        <f>Triangulo2!W66</f>
        <v>0</v>
      </c>
      <c r="V27" s="133">
        <f>Triangulo2!X66</f>
        <v>0</v>
      </c>
      <c r="W27" s="133">
        <f>Triangulo2!Y66</f>
        <v>0</v>
      </c>
      <c r="X27" s="133">
        <f>Triangulo2!Z66</f>
        <v>0</v>
      </c>
      <c r="Y27" s="131" t="b">
        <f>MIN(B27:B27)&gt;1</f>
        <v>1</v>
      </c>
      <c r="Z27" s="124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6"/>
    </row>
    <row r="28" spans="1:51" x14ac:dyDescent="0.25">
      <c r="A28" s="35" t="s">
        <v>32</v>
      </c>
      <c r="B28" s="133"/>
      <c r="C28" s="133">
        <f>Triangulo2!E67</f>
        <v>0</v>
      </c>
      <c r="D28" s="133">
        <f>Triangulo2!F67</f>
        <v>0</v>
      </c>
      <c r="E28" s="133">
        <f>Triangulo2!G67</f>
        <v>0</v>
      </c>
      <c r="F28" s="133">
        <f>Triangulo2!H67</f>
        <v>0</v>
      </c>
      <c r="G28" s="133">
        <f>Triangulo2!I67</f>
        <v>0</v>
      </c>
      <c r="H28" s="133">
        <f>Triangulo2!J67</f>
        <v>0</v>
      </c>
      <c r="I28" s="133">
        <f>Triangulo2!K67</f>
        <v>0</v>
      </c>
      <c r="J28" s="133">
        <f>Triangulo2!L67</f>
        <v>0</v>
      </c>
      <c r="K28" s="133">
        <f>Triangulo2!M67</f>
        <v>0</v>
      </c>
      <c r="L28" s="133">
        <f>Triangulo2!N67</f>
        <v>0</v>
      </c>
      <c r="M28" s="133">
        <f>Triangulo2!O67</f>
        <v>0</v>
      </c>
      <c r="N28" s="133">
        <f>Triangulo2!P67</f>
        <v>0</v>
      </c>
      <c r="O28" s="133">
        <f>Triangulo2!Q67</f>
        <v>0</v>
      </c>
      <c r="P28" s="133">
        <f>Triangulo2!R67</f>
        <v>0</v>
      </c>
      <c r="Q28" s="133">
        <f>Triangulo2!S67</f>
        <v>0</v>
      </c>
      <c r="R28" s="133">
        <f>Triangulo2!T67</f>
        <v>0</v>
      </c>
      <c r="S28" s="133">
        <f>Triangulo2!U67</f>
        <v>0</v>
      </c>
      <c r="T28" s="133">
        <f>Triangulo2!V67</f>
        <v>0</v>
      </c>
      <c r="U28" s="133">
        <f>Triangulo2!W67</f>
        <v>0</v>
      </c>
      <c r="V28" s="133">
        <f>Triangulo2!X67</f>
        <v>0</v>
      </c>
      <c r="W28" s="133">
        <f>Triangulo2!Y67</f>
        <v>0</v>
      </c>
      <c r="X28" s="133">
        <f>Triangulo2!Z67</f>
        <v>0</v>
      </c>
      <c r="Y28" s="133"/>
      <c r="Z28" s="127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6"/>
    </row>
    <row r="29" spans="1:51" x14ac:dyDescent="0.25">
      <c r="B29" s="28">
        <f>'2_CL'!C30</f>
        <v>1.6351302518604958</v>
      </c>
      <c r="C29" s="28">
        <f>'2_CL'!D30</f>
        <v>0.94126040969735247</v>
      </c>
      <c r="D29" s="28">
        <f>'2_CL'!E30</f>
        <v>1.0884436024047071</v>
      </c>
      <c r="E29" s="28">
        <f>'2_CL'!F30</f>
        <v>0.95823901102488696</v>
      </c>
      <c r="F29" s="28">
        <f>'2_CL'!G30</f>
        <v>0.97139056841461313</v>
      </c>
      <c r="G29" s="28">
        <f>'2_CL'!H30</f>
        <v>0.96236031952057677</v>
      </c>
      <c r="H29" s="28">
        <f>'2_CL'!I30</f>
        <v>0.97317658467587143</v>
      </c>
      <c r="I29" s="28">
        <f>'2_CL'!J30</f>
        <v>0.9764806705972261</v>
      </c>
      <c r="J29" s="28">
        <f>'2_CL'!K30</f>
        <v>0.9776444645146497</v>
      </c>
      <c r="K29" s="28">
        <f>'2_CL'!L30</f>
        <v>0.98249571704777516</v>
      </c>
      <c r="L29" s="28">
        <f>'2_CL'!M30</f>
        <v>0.99212380612525675</v>
      </c>
      <c r="M29" s="28">
        <f>'2_CL'!N30</f>
        <v>0.99612305212812824</v>
      </c>
      <c r="N29" s="28">
        <f>'2_CL'!O30</f>
        <v>0.99794679663300012</v>
      </c>
      <c r="O29" s="28">
        <f>'2_CL'!P30</f>
        <v>0.99915402740966297</v>
      </c>
      <c r="P29" s="28">
        <f>'2_CL'!Q30</f>
        <v>0.99958986540494543</v>
      </c>
      <c r="Q29" s="28">
        <f>'2_CL'!R30</f>
        <v>0.99989172901216694</v>
      </c>
      <c r="R29" s="28">
        <f>'2_CL'!S30</f>
        <v>0.99988394267182157</v>
      </c>
      <c r="S29" s="28">
        <f>'2_CL'!T30</f>
        <v>0.99990203299307101</v>
      </c>
      <c r="T29" s="28">
        <f>'2_CL'!U30</f>
        <v>0.99997058234779768</v>
      </c>
      <c r="U29" s="28">
        <f>'2_CL'!V30</f>
        <v>0.99999410204605965</v>
      </c>
      <c r="V29" s="28">
        <f>'2_CL'!W30</f>
        <v>1.0000012418179718</v>
      </c>
      <c r="W29" s="28">
        <f>'2_CL'!X30</f>
        <v>1.000001086139084</v>
      </c>
      <c r="X29" s="28">
        <f>'2_CL'!Y30</f>
        <v>1.0000001719830349</v>
      </c>
    </row>
    <row r="31" spans="1:51" x14ac:dyDescent="0.25">
      <c r="A31" s="148" t="s">
        <v>207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</row>
    <row r="32" spans="1:51" x14ac:dyDescent="0.25">
      <c r="A32" s="107" t="s">
        <v>208</v>
      </c>
      <c r="B32" s="107" t="s">
        <v>209</v>
      </c>
      <c r="C32" s="107" t="s">
        <v>210</v>
      </c>
      <c r="D32" s="107" t="s">
        <v>211</v>
      </c>
      <c r="E32" s="107" t="s">
        <v>212</v>
      </c>
    </row>
    <row r="33" spans="1:28" x14ac:dyDescent="0.25">
      <c r="A33" s="128" t="str" cm="1">
        <f t="array" ref="A33:A55">TRANSPOSE(B4:X4)</f>
        <v>D1/D0</v>
      </c>
      <c r="B33" s="124" cm="1">
        <f t="array" ref="B33:B55">TRANSPOSE(B29:X29)</f>
        <v>1.6351302518604958</v>
      </c>
      <c r="C33" s="124">
        <f t="shared" ref="C33:C45" si="2">B33*0.8</f>
        <v>1.3081042014883968</v>
      </c>
      <c r="D33" s="124">
        <f>B33*1.2</f>
        <v>1.9621563022325947</v>
      </c>
      <c r="E33" s="124" t="str">
        <f t="shared" ref="E33:E45" si="3">IF(F33, "No", "Sí")</f>
        <v>Sí</v>
      </c>
      <c r="F33" s="28" t="b">
        <f>AND(MIN($B$5:$B$27)&gt;=$C$33,MAX($B$5:$B$27)&lt;=$D$33)</f>
        <v>0</v>
      </c>
    </row>
    <row r="34" spans="1:28" x14ac:dyDescent="0.25">
      <c r="A34" s="128" t="str">
        <v>D2/D1</v>
      </c>
      <c r="B34" s="124">
        <v>0.94126040969735247</v>
      </c>
      <c r="C34" s="124">
        <f t="shared" si="2"/>
        <v>0.75300832775788207</v>
      </c>
      <c r="D34" s="124">
        <f t="shared" ref="D34:D45" si="4">B34*1.2</f>
        <v>1.1295124916368229</v>
      </c>
      <c r="E34" s="124" t="str">
        <f t="shared" si="3"/>
        <v>No</v>
      </c>
      <c r="F34" s="28" t="b">
        <f>AND(MIN($C$5:$C$26)&gt;=$C$34,MAX($C$5:$C$26)&lt;=$D$34)</f>
        <v>1</v>
      </c>
    </row>
    <row r="35" spans="1:28" x14ac:dyDescent="0.25">
      <c r="A35" s="128" t="str">
        <v>D3/D2</v>
      </c>
      <c r="B35" s="124">
        <v>1.0884436024047071</v>
      </c>
      <c r="C35" s="124">
        <f t="shared" si="2"/>
        <v>0.87075488192376571</v>
      </c>
      <c r="D35" s="124">
        <f t="shared" si="4"/>
        <v>1.3061323228856485</v>
      </c>
      <c r="E35" s="124" t="str">
        <f t="shared" si="3"/>
        <v>Sí</v>
      </c>
      <c r="F35" s="28" t="b">
        <f>AND(MIN($D$5:$D$25)&gt;=$C$35,MAX($D$5:$D$25)&lt;=$D$35)</f>
        <v>0</v>
      </c>
    </row>
    <row r="36" spans="1:28" x14ac:dyDescent="0.25">
      <c r="A36" s="128" t="str">
        <v>D4/D3</v>
      </c>
      <c r="B36" s="124">
        <v>0.95823901102488696</v>
      </c>
      <c r="C36" s="124">
        <f t="shared" si="2"/>
        <v>0.76659120881990961</v>
      </c>
      <c r="D36" s="124">
        <f t="shared" si="4"/>
        <v>1.1498868132298643</v>
      </c>
      <c r="E36" s="124" t="str">
        <f t="shared" si="3"/>
        <v>No</v>
      </c>
      <c r="F36" s="28" t="b">
        <f>AND(MIN($E$5:$E$24)&gt;=$C$36,MAX($E$5:$E$24)&lt;=$D$36)</f>
        <v>1</v>
      </c>
    </row>
    <row r="37" spans="1:28" x14ac:dyDescent="0.25">
      <c r="A37" s="128" t="str">
        <v>D5/D4</v>
      </c>
      <c r="B37" s="124">
        <v>0.97139056841461313</v>
      </c>
      <c r="C37" s="124">
        <f t="shared" si="2"/>
        <v>0.77711245473169055</v>
      </c>
      <c r="D37" s="124">
        <f t="shared" si="4"/>
        <v>1.1656686820975357</v>
      </c>
      <c r="E37" s="124" t="str">
        <f>IF(F37, "No", "Sí")</f>
        <v>No</v>
      </c>
      <c r="F37" s="28" t="b">
        <f>AND(MIN($F$5:$F$23)&gt;=C37,MAX($F$5:$F$23)&lt;=D37)</f>
        <v>1</v>
      </c>
    </row>
    <row r="38" spans="1:28" x14ac:dyDescent="0.25">
      <c r="A38" s="128" t="str">
        <v>D6/D5</v>
      </c>
      <c r="B38" s="124">
        <v>0.96236031952057677</v>
      </c>
      <c r="C38" s="124">
        <f t="shared" si="2"/>
        <v>0.76988825561646146</v>
      </c>
      <c r="D38" s="124">
        <f t="shared" si="4"/>
        <v>1.1548323834246921</v>
      </c>
      <c r="E38" s="124" t="str">
        <f t="shared" si="3"/>
        <v>No</v>
      </c>
      <c r="F38" s="28" t="b">
        <f>AND(MIN($G$5:$G$22)&gt;=C38,MAX($G$5:$G$22)&lt;=D38)</f>
        <v>1</v>
      </c>
    </row>
    <row r="39" spans="1:28" x14ac:dyDescent="0.25">
      <c r="A39" s="128" t="str">
        <v>D7/D6</v>
      </c>
      <c r="B39" s="124">
        <v>0.97317658467587143</v>
      </c>
      <c r="C39" s="124">
        <f t="shared" si="2"/>
        <v>0.77854126774069721</v>
      </c>
      <c r="D39" s="124">
        <f t="shared" si="4"/>
        <v>1.1678119016110458</v>
      </c>
      <c r="E39" s="124" t="str">
        <f t="shared" si="3"/>
        <v>No</v>
      </c>
      <c r="F39" s="28" t="b">
        <f>AND(MIN($H$5:$H$21)&gt;=C39,MAX($H$5:$H$21)&lt;=D39)</f>
        <v>1</v>
      </c>
    </row>
    <row r="40" spans="1:28" x14ac:dyDescent="0.25">
      <c r="A40" s="128" t="str">
        <v>D8/D7</v>
      </c>
      <c r="B40" s="124">
        <v>0.9764806705972261</v>
      </c>
      <c r="C40" s="124">
        <f t="shared" si="2"/>
        <v>0.78118453647778097</v>
      </c>
      <c r="D40" s="124">
        <f t="shared" si="4"/>
        <v>1.1717768047166712</v>
      </c>
      <c r="E40" s="124" t="str">
        <f t="shared" si="3"/>
        <v>No</v>
      </c>
      <c r="F40" s="28" t="b">
        <f>AND(MIN($I$5:$I$20)&gt;=C40,MAX($I$5:$I$20)&lt;=D40)</f>
        <v>1</v>
      </c>
    </row>
    <row r="41" spans="1:28" x14ac:dyDescent="0.25">
      <c r="A41" s="128" t="str">
        <v>D9/D8</v>
      </c>
      <c r="B41" s="124">
        <v>0.9776444645146497</v>
      </c>
      <c r="C41" s="124">
        <f t="shared" si="2"/>
        <v>0.78211557161171985</v>
      </c>
      <c r="D41" s="124">
        <f t="shared" si="4"/>
        <v>1.1731733574175796</v>
      </c>
      <c r="E41" s="124" t="str">
        <f t="shared" si="3"/>
        <v>No</v>
      </c>
      <c r="F41" s="28" t="b">
        <f>AND(MIN($J$5:$J$19)&gt;=C41,MAX($J$5:$J$19)&lt;=D41)</f>
        <v>1</v>
      </c>
    </row>
    <row r="42" spans="1:28" x14ac:dyDescent="0.25">
      <c r="A42" s="128" t="str">
        <v>D10/D9</v>
      </c>
      <c r="B42" s="124">
        <v>0.98249571704777516</v>
      </c>
      <c r="C42" s="124">
        <f t="shared" si="2"/>
        <v>0.78599657363822018</v>
      </c>
      <c r="D42" s="124">
        <f t="shared" si="4"/>
        <v>1.1789948604573302</v>
      </c>
      <c r="E42" s="124" t="str">
        <f t="shared" si="3"/>
        <v>No</v>
      </c>
      <c r="F42" s="28" t="b">
        <f>AND(MIN($K$5:$K$18)&gt;=C42,MAX($K$5:$K$18)&lt;=D42)</f>
        <v>1</v>
      </c>
    </row>
    <row r="43" spans="1:28" x14ac:dyDescent="0.25">
      <c r="A43" s="128" t="str">
        <v>D11/D10</v>
      </c>
      <c r="B43" s="124">
        <v>0.99212380612525675</v>
      </c>
      <c r="C43" s="124">
        <f t="shared" si="2"/>
        <v>0.79369904490020549</v>
      </c>
      <c r="D43" s="124">
        <f t="shared" si="4"/>
        <v>1.190548567350308</v>
      </c>
      <c r="E43" s="124" t="str">
        <f t="shared" si="3"/>
        <v>No</v>
      </c>
      <c r="F43" s="28" t="b">
        <f>AND(MIN($L$5:$L$17)&gt;=C43,MAX($L$5:$L$17)&lt;=D43)</f>
        <v>1</v>
      </c>
    </row>
    <row r="44" spans="1:28" x14ac:dyDescent="0.25">
      <c r="A44" s="128" t="str">
        <v>D12/D11</v>
      </c>
      <c r="B44" s="124">
        <v>0.99612305212812824</v>
      </c>
      <c r="C44" s="124">
        <f t="shared" si="2"/>
        <v>0.79689844170250268</v>
      </c>
      <c r="D44" s="124">
        <f t="shared" si="4"/>
        <v>1.1953476625537538</v>
      </c>
      <c r="E44" s="124" t="str">
        <f t="shared" si="3"/>
        <v>No</v>
      </c>
      <c r="F44" s="28" t="b">
        <f>AND(MIN($M$5:$M$16)&gt;=C44,MAX($M$5:$M$16)&lt;=D44)</f>
        <v>1</v>
      </c>
    </row>
    <row r="45" spans="1:28" x14ac:dyDescent="0.25">
      <c r="A45" s="128" t="str">
        <v>D13/D12</v>
      </c>
      <c r="B45" s="124">
        <v>0.99794679663300012</v>
      </c>
      <c r="C45" s="124">
        <f t="shared" si="2"/>
        <v>0.79835743730640019</v>
      </c>
      <c r="D45" s="124">
        <f t="shared" si="4"/>
        <v>1.1975361559596001</v>
      </c>
      <c r="E45" s="124" t="str">
        <f t="shared" si="3"/>
        <v>No</v>
      </c>
      <c r="F45" s="28" t="b">
        <f>AND(MIN($N$5:$N$15)&gt;=C45,MAX($N$5:$N$15)&lt;=D45)</f>
        <v>1</v>
      </c>
    </row>
    <row r="46" spans="1:28" x14ac:dyDescent="0.25">
      <c r="A46" s="128" t="str">
        <v>D14/D13</v>
      </c>
      <c r="B46" s="124">
        <v>0.99915402740966297</v>
      </c>
      <c r="C46" s="124">
        <f>B46*0.8</f>
        <v>0.79932322192773042</v>
      </c>
      <c r="D46" s="124">
        <f>B46*1.2</f>
        <v>1.1989848328915955</v>
      </c>
      <c r="E46" s="124" t="str">
        <f>IF(F46, "No", "Sí")</f>
        <v>No</v>
      </c>
      <c r="F46" s="28" t="b">
        <f>AND(MIN($O$5:$O$14)&gt;=C46,MAX($O$5:$O$14)&lt;=D46)</f>
        <v>1</v>
      </c>
    </row>
    <row r="47" spans="1:28" x14ac:dyDescent="0.25">
      <c r="A47" s="128" t="str">
        <v>D15/D14</v>
      </c>
      <c r="B47" s="124">
        <v>0.99958986540494543</v>
      </c>
      <c r="C47" s="124">
        <f t="shared" ref="C47:C55" si="5">B47*0.8</f>
        <v>0.79967189232395641</v>
      </c>
      <c r="D47" s="124">
        <f t="shared" ref="D47:D55" si="6">B47*1.2</f>
        <v>1.1995078384859346</v>
      </c>
      <c r="E47" s="124" t="str">
        <f>IF(F47, "No", "Sí")</f>
        <v>No</v>
      </c>
      <c r="F47" s="28" t="b">
        <f>AND(MIN($P$5:$P$13)&gt;=C47,MAX($P$5:$P$13)&lt;=D47)</f>
        <v>1</v>
      </c>
      <c r="I47" s="129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x14ac:dyDescent="0.25">
      <c r="A48" s="128" t="str">
        <v>D16/D15</v>
      </c>
      <c r="B48" s="124">
        <v>0.99989172901216694</v>
      </c>
      <c r="C48" s="124">
        <f t="shared" si="5"/>
        <v>0.7999133832097336</v>
      </c>
      <c r="D48" s="124">
        <f t="shared" si="6"/>
        <v>1.1998700748146003</v>
      </c>
      <c r="E48" s="124" t="str">
        <f t="shared" ref="E48:E55" si="7">IF(F48, "No", "Sí")</f>
        <v>No</v>
      </c>
      <c r="F48" s="28" t="b">
        <f>AND(MIN($Q$5:$Q$12)&gt;=C48,MAX($Q$5:$Q$12)&lt;=D48)</f>
        <v>1</v>
      </c>
    </row>
    <row r="49" spans="1:37" x14ac:dyDescent="0.25">
      <c r="A49" s="128" t="str">
        <v>D17/D16</v>
      </c>
      <c r="B49" s="124">
        <v>0.99988394267182157</v>
      </c>
      <c r="C49" s="124">
        <f t="shared" si="5"/>
        <v>0.79990715413745728</v>
      </c>
      <c r="D49" s="124">
        <f t="shared" si="6"/>
        <v>1.1998607312061857</v>
      </c>
      <c r="E49" s="124" t="str">
        <f t="shared" si="7"/>
        <v>No</v>
      </c>
      <c r="F49" s="28" t="b">
        <f>AND(MIN($R$5:$R$11)&gt;=C49,MAX($R$5:$R$11)&lt;=D49)</f>
        <v>1</v>
      </c>
    </row>
    <row r="50" spans="1:37" x14ac:dyDescent="0.25">
      <c r="A50" s="128" t="str">
        <v>D18/D17</v>
      </c>
      <c r="B50" s="124">
        <v>0.99990203299307101</v>
      </c>
      <c r="C50" s="124">
        <f t="shared" si="5"/>
        <v>0.79992162639445685</v>
      </c>
      <c r="D50" s="124">
        <f t="shared" si="6"/>
        <v>1.1998824395916852</v>
      </c>
      <c r="E50" s="124" t="str">
        <f t="shared" si="7"/>
        <v>No</v>
      </c>
      <c r="F50" s="28" t="b">
        <f>AND(MIN($S$5:$S$10)&gt;=C50,MAX($S$5:$S$10)&lt;=D50)</f>
        <v>1</v>
      </c>
    </row>
    <row r="51" spans="1:37" x14ac:dyDescent="0.25">
      <c r="A51" s="128" t="str">
        <v>D19/D18</v>
      </c>
      <c r="B51" s="124">
        <v>0.99997058234779768</v>
      </c>
      <c r="C51" s="124">
        <f t="shared" si="5"/>
        <v>0.79997646587823823</v>
      </c>
      <c r="D51" s="124">
        <f t="shared" si="6"/>
        <v>1.1999646988173571</v>
      </c>
      <c r="E51" s="124" t="str">
        <f t="shared" si="7"/>
        <v>No</v>
      </c>
      <c r="F51" s="28" t="b">
        <f>AND(MIN($T$5:$T$9)&gt;=C51,MAX($T$5:$T$9)&lt;=D51)</f>
        <v>1</v>
      </c>
    </row>
    <row r="52" spans="1:37" x14ac:dyDescent="0.25">
      <c r="A52" s="128" t="str">
        <v>D20/D19</v>
      </c>
      <c r="B52" s="124">
        <v>0.99999410204605965</v>
      </c>
      <c r="C52" s="124">
        <f t="shared" si="5"/>
        <v>0.79999528163684774</v>
      </c>
      <c r="D52" s="124">
        <f t="shared" si="6"/>
        <v>1.1999929224552714</v>
      </c>
      <c r="E52" s="124" t="str">
        <f t="shared" si="7"/>
        <v>No</v>
      </c>
      <c r="F52" s="28" t="b">
        <f>AND(MIN($U$5:$U$8)&gt;=C52,MAX($U$5:$U$8)&lt;=D52)</f>
        <v>1</v>
      </c>
    </row>
    <row r="53" spans="1:37" x14ac:dyDescent="0.25">
      <c r="A53" s="128" t="str">
        <v>D21/D20</v>
      </c>
      <c r="B53" s="124">
        <v>1.0000012418179718</v>
      </c>
      <c r="C53" s="124">
        <f t="shared" si="5"/>
        <v>0.80000099345437747</v>
      </c>
      <c r="D53" s="124">
        <f t="shared" si="6"/>
        <v>1.2000014901815661</v>
      </c>
      <c r="E53" s="124" t="str">
        <f t="shared" si="7"/>
        <v>No</v>
      </c>
      <c r="F53" s="28" t="b">
        <f>AND(MIN($V$5:$V$7)&gt;=C53,MAX($V$5:$V$7)&lt;=D53)</f>
        <v>1</v>
      </c>
    </row>
    <row r="54" spans="1:37" x14ac:dyDescent="0.25">
      <c r="A54" s="128" t="str">
        <v>D22/D21</v>
      </c>
      <c r="B54" s="124">
        <v>1.000001086139084</v>
      </c>
      <c r="C54" s="124">
        <f t="shared" si="5"/>
        <v>0.8000008689112672</v>
      </c>
      <c r="D54" s="124">
        <f t="shared" si="6"/>
        <v>1.2000013033669008</v>
      </c>
      <c r="E54" s="124" t="str">
        <f t="shared" si="7"/>
        <v>No</v>
      </c>
      <c r="F54" s="28" t="b">
        <f>AND(MIN($W$5:$W$6)&gt;=C54,MAX($W$5:$W$6)&lt;=D54)</f>
        <v>1</v>
      </c>
    </row>
    <row r="55" spans="1:37" x14ac:dyDescent="0.25">
      <c r="A55" s="128" t="str">
        <v>D23/D22</v>
      </c>
      <c r="B55" s="124">
        <v>1.0000001719830349</v>
      </c>
      <c r="C55" s="124">
        <f t="shared" si="5"/>
        <v>0.80000013758642796</v>
      </c>
      <c r="D55" s="124">
        <f t="shared" si="6"/>
        <v>1.2000002063796418</v>
      </c>
      <c r="E55" s="124" t="str">
        <f t="shared" si="7"/>
        <v>No</v>
      </c>
      <c r="F55" s="28" t="b">
        <f>AND(MIN($X$5:$X$5)&gt;=C55,MAX($X$5:$X$5)&lt;=D55)</f>
        <v>1</v>
      </c>
    </row>
    <row r="56" spans="1:37" ht="21.75" customHeight="1" x14ac:dyDescent="0.25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</row>
    <row r="57" spans="1:37" ht="15" customHeight="1" x14ac:dyDescent="0.25">
      <c r="Z57" s="142"/>
      <c r="AA57" s="142"/>
      <c r="AB57" s="142"/>
      <c r="AC57" s="142"/>
      <c r="AD57" s="142"/>
      <c r="AE57" s="142"/>
    </row>
    <row r="58" spans="1:37" ht="15" customHeight="1" x14ac:dyDescent="0.25">
      <c r="A58" s="171" t="s">
        <v>240</v>
      </c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7" t="s">
        <v>243</v>
      </c>
      <c r="AA58" s="167"/>
      <c r="AB58" s="167"/>
      <c r="AC58" s="167"/>
      <c r="AD58" s="167"/>
      <c r="AE58" s="167"/>
      <c r="AF58" s="167" t="s">
        <v>244</v>
      </c>
      <c r="AG58" s="167"/>
      <c r="AH58" s="167"/>
      <c r="AI58" s="167"/>
      <c r="AJ58" s="167"/>
      <c r="AK58" s="167"/>
    </row>
    <row r="59" spans="1:37" x14ac:dyDescent="0.25">
      <c r="A59" s="173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</row>
    <row r="60" spans="1:37" ht="22.5" x14ac:dyDescent="0.25">
      <c r="A60" s="107" t="s">
        <v>213</v>
      </c>
      <c r="B60" s="30" t="s">
        <v>55</v>
      </c>
      <c r="C60" s="30" t="s">
        <v>56</v>
      </c>
      <c r="D60" s="30" t="s">
        <v>57</v>
      </c>
      <c r="E60" s="30" t="s">
        <v>58</v>
      </c>
      <c r="F60" s="30" t="s">
        <v>59</v>
      </c>
      <c r="G60" s="30" t="s">
        <v>60</v>
      </c>
      <c r="H60" s="30" t="s">
        <v>61</v>
      </c>
      <c r="I60" s="30" t="s">
        <v>62</v>
      </c>
      <c r="J60" s="30" t="s">
        <v>63</v>
      </c>
      <c r="K60" s="30" t="s">
        <v>64</v>
      </c>
      <c r="L60" s="30" t="s">
        <v>65</v>
      </c>
      <c r="M60" s="30" t="s">
        <v>66</v>
      </c>
      <c r="N60" s="30" t="s">
        <v>67</v>
      </c>
      <c r="O60" s="30" t="s">
        <v>68</v>
      </c>
      <c r="P60" s="30" t="s">
        <v>69</v>
      </c>
      <c r="Q60" s="30" t="s">
        <v>70</v>
      </c>
      <c r="R60" s="30" t="s">
        <v>71</v>
      </c>
      <c r="S60" s="30" t="s">
        <v>72</v>
      </c>
      <c r="T60" s="30" t="s">
        <v>73</v>
      </c>
      <c r="U60" s="30" t="s">
        <v>74</v>
      </c>
      <c r="V60" s="30" t="s">
        <v>75</v>
      </c>
      <c r="W60" s="30" t="s">
        <v>76</v>
      </c>
      <c r="X60" s="30" t="s">
        <v>77</v>
      </c>
      <c r="Y60" s="30" t="s">
        <v>78</v>
      </c>
      <c r="Z60" s="31" t="s">
        <v>79</v>
      </c>
      <c r="AA60" s="32" t="s">
        <v>80</v>
      </c>
      <c r="AB60" s="33" t="s">
        <v>239</v>
      </c>
      <c r="AC60" s="139" t="s">
        <v>81</v>
      </c>
      <c r="AD60" s="139" t="s">
        <v>241</v>
      </c>
      <c r="AE60" s="139" t="s">
        <v>242</v>
      </c>
      <c r="AF60" s="31" t="s">
        <v>79</v>
      </c>
      <c r="AG60" s="32" t="s">
        <v>80</v>
      </c>
      <c r="AH60" s="33" t="s">
        <v>239</v>
      </c>
      <c r="AI60" s="139" t="s">
        <v>81</v>
      </c>
      <c r="AJ60" s="139" t="s">
        <v>241</v>
      </c>
      <c r="AK60" s="139" t="s">
        <v>242</v>
      </c>
    </row>
    <row r="61" spans="1:37" x14ac:dyDescent="0.25">
      <c r="A61" s="41" t="s">
        <v>8</v>
      </c>
      <c r="B61" s="42">
        <f>'2_CL'!C4</f>
        <v>6418198</v>
      </c>
      <c r="C61" s="42">
        <f>'2_CL'!D4</f>
        <v>8351947</v>
      </c>
      <c r="D61" s="42">
        <f>'2_CL'!E4</f>
        <v>7241932</v>
      </c>
      <c r="E61" s="42">
        <f>'2_CL'!F4</f>
        <v>6612057</v>
      </c>
      <c r="F61" s="42">
        <f>'2_CL'!G4</f>
        <v>6678429</v>
      </c>
      <c r="G61" s="42">
        <f>'2_CL'!H4</f>
        <v>6520501</v>
      </c>
      <c r="H61" s="42">
        <f>'2_CL'!I4</f>
        <v>6390444</v>
      </c>
      <c r="I61" s="42">
        <f>'2_CL'!J4</f>
        <v>6157365</v>
      </c>
      <c r="J61" s="42">
        <f>'2_CL'!K4</f>
        <v>5998497</v>
      </c>
      <c r="K61" s="42">
        <f>'2_CL'!L4</f>
        <v>5960040</v>
      </c>
      <c r="L61" s="42">
        <f>'2_CL'!M4</f>
        <v>5927219</v>
      </c>
      <c r="M61" s="42">
        <f>'2_CL'!N4</f>
        <v>5845151</v>
      </c>
      <c r="N61" s="42">
        <f>'2_CL'!O4</f>
        <v>5844679</v>
      </c>
      <c r="O61" s="42">
        <f>'2_CL'!P4</f>
        <v>5823554</v>
      </c>
      <c r="P61" s="42">
        <f>'2_CL'!Q4</f>
        <v>5819414</v>
      </c>
      <c r="Q61" s="42">
        <f>'2_CL'!R4</f>
        <v>5817651</v>
      </c>
      <c r="R61" s="42">
        <f>'2_CL'!S4</f>
        <v>5816446</v>
      </c>
      <c r="S61" s="42">
        <f>'2_CL'!T4</f>
        <v>5815298</v>
      </c>
      <c r="T61" s="42">
        <f>'2_CL'!U4</f>
        <v>5814997</v>
      </c>
      <c r="U61" s="42">
        <f>'2_CL'!V4</f>
        <v>5814607</v>
      </c>
      <c r="V61" s="42">
        <f>'2_CL'!W4</f>
        <v>5814513</v>
      </c>
      <c r="W61" s="42">
        <f>'2_CL'!X4</f>
        <v>5814520</v>
      </c>
      <c r="X61" s="42">
        <f>'2_CL'!Y4</f>
        <v>5814527</v>
      </c>
      <c r="Y61" s="37">
        <f>'2_CL'!Z4</f>
        <v>5814528</v>
      </c>
      <c r="Z61" s="43">
        <f>+Y61</f>
        <v>5814528</v>
      </c>
      <c r="AA61" s="39">
        <f>+Y61</f>
        <v>5814528</v>
      </c>
      <c r="AB61" s="138">
        <f>Z61-AA61</f>
        <v>0</v>
      </c>
      <c r="AC61" s="140">
        <f>'2_CL'!AC4</f>
        <v>0</v>
      </c>
      <c r="AD61" s="140">
        <f t="shared" ref="AD61:AD68" si="8">AC61-AB61</f>
        <v>0</v>
      </c>
      <c r="AE61" s="141" t="str">
        <f t="shared" ref="AE61:AE68" si="9">IF(AD61=0,"No hay cambio",IF(AD61&gt;0,"Sobreestimando la reserva","Subestimando la reserva"))</f>
        <v>No hay cambio</v>
      </c>
      <c r="AF61" s="43">
        <f t="shared" ref="AF61:AF68" si="10">Y61</f>
        <v>5814528</v>
      </c>
      <c r="AG61" s="39">
        <f>Y61</f>
        <v>5814528</v>
      </c>
      <c r="AH61" s="138">
        <f>AF61-AG61</f>
        <v>0</v>
      </c>
      <c r="AI61" s="43">
        <f>'2_CL'!Z4-AG61</f>
        <v>0</v>
      </c>
      <c r="AJ61" s="140"/>
      <c r="AK61" s="141"/>
    </row>
    <row r="62" spans="1:37" x14ac:dyDescent="0.25">
      <c r="A62" s="35" t="s">
        <v>9</v>
      </c>
      <c r="B62" s="36">
        <f>'2_CL'!C5</f>
        <v>7475822</v>
      </c>
      <c r="C62" s="36">
        <f>'2_CL'!D5</f>
        <v>10450029</v>
      </c>
      <c r="D62" s="36">
        <f>'2_CL'!E5</f>
        <v>10185917</v>
      </c>
      <c r="E62" s="36">
        <f>'2_CL'!F5</f>
        <v>9722137</v>
      </c>
      <c r="F62" s="36">
        <f>'2_CL'!G5</f>
        <v>9434292</v>
      </c>
      <c r="G62" s="36">
        <f>'2_CL'!H5</f>
        <v>9020873</v>
      </c>
      <c r="H62" s="36">
        <f>'2_CL'!I5</f>
        <v>8704176</v>
      </c>
      <c r="I62" s="36">
        <f>'2_CL'!J5</f>
        <v>8469008</v>
      </c>
      <c r="J62" s="36">
        <f>'2_CL'!K5</f>
        <v>8349635</v>
      </c>
      <c r="K62" s="36">
        <f>'2_CL'!L5</f>
        <v>8209160</v>
      </c>
      <c r="L62" s="36">
        <f>'2_CL'!M5</f>
        <v>8096242</v>
      </c>
      <c r="M62" s="36">
        <f>'2_CL'!N5</f>
        <v>8041381</v>
      </c>
      <c r="N62" s="36">
        <f>'2_CL'!O5</f>
        <v>8008712</v>
      </c>
      <c r="O62" s="36">
        <f>'2_CL'!P5</f>
        <v>8003007</v>
      </c>
      <c r="P62" s="36">
        <f>'2_CL'!Q5</f>
        <v>8002023</v>
      </c>
      <c r="Q62" s="36">
        <f>'2_CL'!R5</f>
        <v>7997629</v>
      </c>
      <c r="R62" s="36">
        <f>'2_CL'!S5</f>
        <v>7997019</v>
      </c>
      <c r="S62" s="36">
        <f>'2_CL'!T5</f>
        <v>7996437</v>
      </c>
      <c r="T62" s="36">
        <f>'2_CL'!U5</f>
        <v>7996215</v>
      </c>
      <c r="U62" s="36">
        <f>'2_CL'!V5</f>
        <v>7995857</v>
      </c>
      <c r="V62" s="36">
        <f>'2_CL'!W5</f>
        <v>7995850</v>
      </c>
      <c r="W62" s="36">
        <f>'2_CL'!X5</f>
        <v>7995866</v>
      </c>
      <c r="X62" s="37">
        <f>'2_CL'!Y5</f>
        <v>7995874</v>
      </c>
      <c r="Y62" s="136">
        <f>Triangulo2!AA111</f>
        <v>7995875.3751546778</v>
      </c>
      <c r="Z62" s="43">
        <f>+Y62</f>
        <v>7995875.3751546778</v>
      </c>
      <c r="AA62" s="39">
        <f>+X62</f>
        <v>7995874</v>
      </c>
      <c r="AB62" s="138">
        <f>Z62-AA62</f>
        <v>1.3751546777784824</v>
      </c>
      <c r="AC62" s="140">
        <f>'2_CL'!AC5</f>
        <v>1.3751546777784824</v>
      </c>
      <c r="AD62" s="140">
        <f t="shared" si="8"/>
        <v>0</v>
      </c>
      <c r="AE62" s="141" t="str">
        <f t="shared" si="9"/>
        <v>No hay cambio</v>
      </c>
      <c r="AF62" s="43">
        <f t="shared" si="10"/>
        <v>7995875.3751546778</v>
      </c>
      <c r="AG62" s="39">
        <f>X62</f>
        <v>7995874</v>
      </c>
      <c r="AH62" s="138">
        <f>AF62-AG62</f>
        <v>1.3751546777784824</v>
      </c>
      <c r="AI62" s="43">
        <f>'2_CL'!Z5-AG62</f>
        <v>1.3751546777784824</v>
      </c>
      <c r="AJ62" s="140">
        <f t="shared" ref="AJ62:AJ68" si="11">AI62-AH62</f>
        <v>0</v>
      </c>
      <c r="AK62" s="141" t="str">
        <f t="shared" ref="AK62:AK68" si="12">IF(AJ62=0,"No hay cambio",IF(AJ62&gt;0,"Sobreestimando la reserva","Subestimando la reserva"))</f>
        <v>No hay cambio</v>
      </c>
    </row>
    <row r="63" spans="1:37" x14ac:dyDescent="0.25">
      <c r="A63" s="41" t="s">
        <v>11</v>
      </c>
      <c r="B63" s="42">
        <f>'2_CL'!C6</f>
        <v>4944676</v>
      </c>
      <c r="C63" s="42">
        <f>'2_CL'!D6</f>
        <v>5651989</v>
      </c>
      <c r="D63" s="42">
        <f>'2_CL'!E6</f>
        <v>5515292</v>
      </c>
      <c r="E63" s="42">
        <f>'2_CL'!F6</f>
        <v>5713405</v>
      </c>
      <c r="F63" s="42">
        <f>'2_CL'!G6</f>
        <v>5462475</v>
      </c>
      <c r="G63" s="42">
        <f>'2_CL'!H6</f>
        <v>5370959</v>
      </c>
      <c r="H63" s="42">
        <f>'2_CL'!I6</f>
        <v>5305411</v>
      </c>
      <c r="I63" s="42">
        <f>'2_CL'!J6</f>
        <v>5148861</v>
      </c>
      <c r="J63" s="42">
        <f>'2_CL'!K6</f>
        <v>4913135</v>
      </c>
      <c r="K63" s="42">
        <f>'2_CL'!L6</f>
        <v>4939885</v>
      </c>
      <c r="L63" s="42">
        <f>'2_CL'!M6</f>
        <v>4852857</v>
      </c>
      <c r="M63" s="42">
        <f>'2_CL'!N6</f>
        <v>4772843</v>
      </c>
      <c r="N63" s="42">
        <f>'2_CL'!O6</f>
        <v>4722978</v>
      </c>
      <c r="O63" s="42">
        <f>'2_CL'!P6</f>
        <v>4724493</v>
      </c>
      <c r="P63" s="42">
        <f>'2_CL'!Q6</f>
        <v>4714404</v>
      </c>
      <c r="Q63" s="42">
        <f>'2_CL'!R6</f>
        <v>4711994</v>
      </c>
      <c r="R63" s="42">
        <f>'2_CL'!S6</f>
        <v>4711744</v>
      </c>
      <c r="S63" s="42">
        <f>'2_CL'!T6</f>
        <v>4711585</v>
      </c>
      <c r="T63" s="42">
        <f>'2_CL'!U6</f>
        <v>4710817</v>
      </c>
      <c r="U63" s="42">
        <f>'2_CL'!V6</f>
        <v>4710876</v>
      </c>
      <c r="V63" s="42">
        <f>'2_CL'!W6</f>
        <v>4710870</v>
      </c>
      <c r="W63" s="37">
        <f>'2_CL'!X6</f>
        <v>4710870</v>
      </c>
      <c r="X63" s="136">
        <f>Triangulo2!Z112</f>
        <v>4710874.7133056009</v>
      </c>
      <c r="Y63" s="136">
        <f>Triangulo2!AA112</f>
        <v>4710875.5234961314</v>
      </c>
      <c r="Z63" s="43">
        <f t="shared" ref="Z63" si="13">+Y63</f>
        <v>4710875.5234961314</v>
      </c>
      <c r="AA63" s="39">
        <f>+W63</f>
        <v>4710870</v>
      </c>
      <c r="AB63" s="138">
        <f t="shared" ref="AB63:AB83" si="14">Z63-AA63</f>
        <v>5.5234961314126849</v>
      </c>
      <c r="AC63" s="140">
        <f>'2_CL'!AC6</f>
        <v>5.926850626245141</v>
      </c>
      <c r="AD63" s="140">
        <f t="shared" si="8"/>
        <v>0.40335449483245611</v>
      </c>
      <c r="AE63" s="141" t="str">
        <f t="shared" si="9"/>
        <v>Sobreestimando la reserva</v>
      </c>
      <c r="AF63" s="43">
        <f t="shared" si="10"/>
        <v>4710875.5234961314</v>
      </c>
      <c r="AG63" s="39">
        <f>W63</f>
        <v>4710870</v>
      </c>
      <c r="AH63" s="138">
        <f t="shared" ref="AH63:AH74" si="15">AF63-AG63</f>
        <v>5.5234961314126849</v>
      </c>
      <c r="AI63" s="43">
        <f>'2_CL'!Z6-'2_Validacion_BT'!AG63</f>
        <v>5.926850626245141</v>
      </c>
      <c r="AJ63" s="140">
        <f t="shared" si="11"/>
        <v>0.40335449483245611</v>
      </c>
      <c r="AK63" s="141" t="str">
        <f>IF(AJ63=0,"No hay cambio",IF(AJ63&gt;0,"Sobreestimando la reserva","Subestimando la reserva"))</f>
        <v>Sobreestimando la reserva</v>
      </c>
    </row>
    <row r="64" spans="1:37" x14ac:dyDescent="0.25">
      <c r="A64" s="35" t="s">
        <v>12</v>
      </c>
      <c r="B64" s="36">
        <f>'2_CL'!C7</f>
        <v>5990844</v>
      </c>
      <c r="C64" s="36">
        <f>'2_CL'!D7</f>
        <v>8317434</v>
      </c>
      <c r="D64" s="36">
        <f>'2_CL'!E7</f>
        <v>7538034</v>
      </c>
      <c r="E64" s="36">
        <f>'2_CL'!F7</f>
        <v>7146705</v>
      </c>
      <c r="F64" s="36">
        <f>'2_CL'!G7</f>
        <v>6480112</v>
      </c>
      <c r="G64" s="36">
        <f>'2_CL'!H7</f>
        <v>5918174</v>
      </c>
      <c r="H64" s="36">
        <f>'2_CL'!I7</f>
        <v>5524711</v>
      </c>
      <c r="I64" s="36">
        <f>'2_CL'!J7</f>
        <v>5379113</v>
      </c>
      <c r="J64" s="36">
        <f>'2_CL'!K7</f>
        <v>5282322</v>
      </c>
      <c r="K64" s="36">
        <f>'2_CL'!L7</f>
        <v>5218946</v>
      </c>
      <c r="L64" s="36">
        <f>'2_CL'!M7</f>
        <v>5148288</v>
      </c>
      <c r="M64" s="36">
        <f>'2_CL'!N7</f>
        <v>5055569</v>
      </c>
      <c r="N64" s="36">
        <f>'2_CL'!O7</f>
        <v>5052150</v>
      </c>
      <c r="O64" s="36">
        <f>'2_CL'!P7</f>
        <v>5048881</v>
      </c>
      <c r="P64" s="36">
        <f>'2_CL'!Q7</f>
        <v>5049883</v>
      </c>
      <c r="Q64" s="36">
        <f>'2_CL'!R7</f>
        <v>5047150</v>
      </c>
      <c r="R64" s="36">
        <f>'2_CL'!S7</f>
        <v>5047033</v>
      </c>
      <c r="S64" s="36">
        <f>'2_CL'!T7</f>
        <v>5046810</v>
      </c>
      <c r="T64" s="36">
        <f>'2_CL'!U7</f>
        <v>5046112</v>
      </c>
      <c r="U64" s="36">
        <f>'2_CL'!V7</f>
        <v>5046155</v>
      </c>
      <c r="V64" s="37">
        <f>'2_CL'!W7</f>
        <v>5046123</v>
      </c>
      <c r="W64" s="136">
        <f>Triangulo2!Y113</f>
        <v>5046129.0749474633</v>
      </c>
      <c r="X64" s="136">
        <f>Triangulo2!Z113</f>
        <v>5046134.1236854736</v>
      </c>
      <c r="Y64" s="136">
        <f>Triangulo2!AA113</f>
        <v>5046134.9915349344</v>
      </c>
      <c r="Z64" s="43">
        <f t="shared" ref="Z64:Z74" si="16">+Y64</f>
        <v>5046134.9915349344</v>
      </c>
      <c r="AA64" s="39">
        <f>+V64</f>
        <v>5046123</v>
      </c>
      <c r="AB64" s="138">
        <f t="shared" si="14"/>
        <v>11.99153493437916</v>
      </c>
      <c r="AC64" s="140">
        <f>'2_CL'!AC7</f>
        <v>12.615014017559588</v>
      </c>
      <c r="AD64" s="140">
        <f t="shared" si="8"/>
        <v>0.62347908318042755</v>
      </c>
      <c r="AE64" s="141" t="str">
        <f t="shared" si="9"/>
        <v>Sobreestimando la reserva</v>
      </c>
      <c r="AF64" s="43">
        <f t="shared" si="10"/>
        <v>5046134.9915349344</v>
      </c>
      <c r="AG64" s="39">
        <f>V64</f>
        <v>5046123</v>
      </c>
      <c r="AH64" s="138">
        <f t="shared" si="15"/>
        <v>11.99153493437916</v>
      </c>
      <c r="AI64" s="43">
        <f>'2_CL'!Z7-'2_Validacion_BT'!AG64</f>
        <v>12.615014017559588</v>
      </c>
      <c r="AJ64" s="140">
        <f t="shared" si="11"/>
        <v>0.62347908318042755</v>
      </c>
      <c r="AK64" s="141" t="str">
        <f t="shared" si="12"/>
        <v>Sobreestimando la reserva</v>
      </c>
    </row>
    <row r="65" spans="1:37" x14ac:dyDescent="0.25">
      <c r="A65" s="41" t="s">
        <v>13</v>
      </c>
      <c r="B65" s="42">
        <f>'2_CL'!C8</f>
        <v>6106533</v>
      </c>
      <c r="C65" s="42">
        <f>'2_CL'!D8</f>
        <v>7227067</v>
      </c>
      <c r="D65" s="42">
        <f>'2_CL'!E8</f>
        <v>6609141</v>
      </c>
      <c r="E65" s="42">
        <f>'2_CL'!F8</f>
        <v>6587986</v>
      </c>
      <c r="F65" s="42">
        <f>'2_CL'!G8</f>
        <v>5966963</v>
      </c>
      <c r="G65" s="42">
        <f>'2_CL'!H8</f>
        <v>5553219</v>
      </c>
      <c r="H65" s="42">
        <f>'2_CL'!I8</f>
        <v>5440658</v>
      </c>
      <c r="I65" s="42">
        <f>'2_CL'!J8</f>
        <v>5247292</v>
      </c>
      <c r="J65" s="42">
        <f>'2_CL'!K8</f>
        <v>4989511</v>
      </c>
      <c r="K65" s="42">
        <f>'2_CL'!L8</f>
        <v>4739938</v>
      </c>
      <c r="L65" s="42">
        <f>'2_CL'!M8</f>
        <v>4632683</v>
      </c>
      <c r="M65" s="42">
        <f>'2_CL'!N8</f>
        <v>4647858</v>
      </c>
      <c r="N65" s="42">
        <f>'2_CL'!O8</f>
        <v>4648748</v>
      </c>
      <c r="O65" s="42">
        <f>'2_CL'!P8</f>
        <v>4631093</v>
      </c>
      <c r="P65" s="42">
        <f>'2_CL'!Q8</f>
        <v>4618736</v>
      </c>
      <c r="Q65" s="42">
        <f>'2_CL'!R8</f>
        <v>4614941</v>
      </c>
      <c r="R65" s="42">
        <f>'2_CL'!S8</f>
        <v>4614019</v>
      </c>
      <c r="S65" s="42">
        <f>'2_CL'!T8</f>
        <v>4612810</v>
      </c>
      <c r="T65" s="42">
        <f>'2_CL'!U8</f>
        <v>4612218</v>
      </c>
      <c r="U65" s="37">
        <f>'2_CL'!V8</f>
        <v>4612035</v>
      </c>
      <c r="V65" s="136">
        <f>Triangulo2!X114</f>
        <v>4611960.4409988504</v>
      </c>
      <c r="W65" s="136">
        <f>Triangulo2!Y114</f>
        <v>4611969.6697071241</v>
      </c>
      <c r="X65" s="136">
        <f>Triangulo2!Z114</f>
        <v>4611975.2219775934</v>
      </c>
      <c r="Y65" s="136">
        <f>Triangulo2!AA114</f>
        <v>4611976.0151590891</v>
      </c>
      <c r="Z65" s="43">
        <f t="shared" si="16"/>
        <v>4611976.0151590891</v>
      </c>
      <c r="AA65" s="39">
        <f>+U65</f>
        <v>4612035</v>
      </c>
      <c r="AB65" s="138">
        <f t="shared" si="14"/>
        <v>-58.984840910881758</v>
      </c>
      <c r="AC65" s="140">
        <f>'2_CL'!AC8</f>
        <v>-15.671818740665913</v>
      </c>
      <c r="AD65" s="140">
        <f t="shared" si="8"/>
        <v>43.313022170215845</v>
      </c>
      <c r="AE65" s="141" t="str">
        <f t="shared" si="9"/>
        <v>Sobreestimando la reserva</v>
      </c>
      <c r="AF65" s="43">
        <f t="shared" si="10"/>
        <v>4611976.0151590891</v>
      </c>
      <c r="AG65" s="39">
        <f>U65</f>
        <v>4612035</v>
      </c>
      <c r="AH65" s="138">
        <f t="shared" si="15"/>
        <v>-58.984840910881758</v>
      </c>
      <c r="AI65" s="43">
        <f>'2_CL'!Y8-'2_Validacion_BT'!AG65</f>
        <v>-16.465007685124874</v>
      </c>
      <c r="AJ65" s="140">
        <f t="shared" si="11"/>
        <v>42.519833225756884</v>
      </c>
      <c r="AK65" s="141" t="str">
        <f t="shared" si="12"/>
        <v>Sobreestimando la reserva</v>
      </c>
    </row>
    <row r="66" spans="1:37" x14ac:dyDescent="0.25">
      <c r="A66" s="35" t="s">
        <v>14</v>
      </c>
      <c r="B66" s="36">
        <f>'2_CL'!C9</f>
        <v>3511339</v>
      </c>
      <c r="C66" s="36">
        <f>'2_CL'!D9</f>
        <v>5097855</v>
      </c>
      <c r="D66" s="36">
        <f>'2_CL'!E9</f>
        <v>4392249</v>
      </c>
      <c r="E66" s="36">
        <f>'2_CL'!F9</f>
        <v>4331724</v>
      </c>
      <c r="F66" s="36">
        <f>'2_CL'!G9</f>
        <v>3638678</v>
      </c>
      <c r="G66" s="36">
        <f>'2_CL'!H9</f>
        <v>3261200</v>
      </c>
      <c r="H66" s="36">
        <f>'2_CL'!I9</f>
        <v>2912378</v>
      </c>
      <c r="I66" s="36">
        <f>'2_CL'!J9</f>
        <v>2561746</v>
      </c>
      <c r="J66" s="36">
        <f>'2_CL'!K9</f>
        <v>2608839</v>
      </c>
      <c r="K66" s="36">
        <f>'2_CL'!L9</f>
        <v>2512337</v>
      </c>
      <c r="L66" s="36">
        <f>'2_CL'!M9</f>
        <v>2525572</v>
      </c>
      <c r="M66" s="36">
        <f>'2_CL'!N9</f>
        <v>2539117</v>
      </c>
      <c r="N66" s="36">
        <f>'2_CL'!O9</f>
        <v>2502024</v>
      </c>
      <c r="O66" s="36">
        <f>'2_CL'!P9</f>
        <v>2495301</v>
      </c>
      <c r="P66" s="36">
        <f>'2_CL'!Q9</f>
        <v>2491023</v>
      </c>
      <c r="Q66" s="36">
        <f>'2_CL'!R9</f>
        <v>2490185</v>
      </c>
      <c r="R66" s="36">
        <f>'2_CL'!S9</f>
        <v>2490716</v>
      </c>
      <c r="S66" s="36">
        <f>'2_CL'!T9</f>
        <v>2490652</v>
      </c>
      <c r="T66" s="37">
        <f>'2_CL'!U9</f>
        <v>2490228</v>
      </c>
      <c r="U66" s="136">
        <f>Triangulo2!W115</f>
        <v>2490129.1946694627</v>
      </c>
      <c r="V66" s="136">
        <f>Triangulo2!X115</f>
        <v>2490126.0231202291</v>
      </c>
      <c r="W66" s="136">
        <f>Triangulo2!Y115</f>
        <v>2490129.0209434624</v>
      </c>
      <c r="X66" s="136">
        <f>Triangulo2!Z115</f>
        <v>2490132.0187666961</v>
      </c>
      <c r="Y66" s="136">
        <f>Triangulo2!AA115</f>
        <v>2490132.447027158</v>
      </c>
      <c r="Z66" s="43">
        <f t="shared" si="16"/>
        <v>2490132.447027158</v>
      </c>
      <c r="AA66" s="39">
        <f>+T66</f>
        <v>2490228</v>
      </c>
      <c r="AB66" s="138">
        <f t="shared" si="14"/>
        <v>-95.552972842007875</v>
      </c>
      <c r="AC66" s="140">
        <f>'2_CL'!AC9</f>
        <v>-81.718273874372244</v>
      </c>
      <c r="AD66" s="140">
        <f t="shared" si="8"/>
        <v>13.834698967635632</v>
      </c>
      <c r="AE66" s="141" t="str">
        <f t="shared" si="9"/>
        <v>Sobreestimando la reserva</v>
      </c>
      <c r="AF66" s="43">
        <f t="shared" si="10"/>
        <v>2490132.447027158</v>
      </c>
      <c r="AG66" s="39">
        <f>T66</f>
        <v>2490228</v>
      </c>
      <c r="AH66" s="138">
        <f t="shared" si="15"/>
        <v>-95.552972842007875</v>
      </c>
      <c r="AI66" s="43">
        <f>'2_CL'!Z9-'2_Validacion_BT'!AG66</f>
        <v>-81.718273874372244</v>
      </c>
      <c r="AJ66" s="140">
        <f t="shared" si="11"/>
        <v>13.834698967635632</v>
      </c>
      <c r="AK66" s="141" t="str">
        <f t="shared" si="12"/>
        <v>Sobreestimando la reserva</v>
      </c>
    </row>
    <row r="67" spans="1:37" x14ac:dyDescent="0.25">
      <c r="A67" s="41" t="s">
        <v>15</v>
      </c>
      <c r="B67" s="42">
        <f>'2_CL'!C10</f>
        <v>4141271</v>
      </c>
      <c r="C67" s="42">
        <f>'2_CL'!D10</f>
        <v>5675304</v>
      </c>
      <c r="D67" s="42">
        <f>'2_CL'!E10</f>
        <v>5003527</v>
      </c>
      <c r="E67" s="42">
        <f>'2_CL'!F10</f>
        <v>4490079</v>
      </c>
      <c r="F67" s="42">
        <f>'2_CL'!G10</f>
        <v>3864708</v>
      </c>
      <c r="G67" s="42">
        <f>'2_CL'!H10</f>
        <v>3317046</v>
      </c>
      <c r="H67" s="42">
        <f>'2_CL'!I10</f>
        <v>3043775</v>
      </c>
      <c r="I67" s="42">
        <f>'2_CL'!J10</f>
        <v>2982731</v>
      </c>
      <c r="J67" s="42">
        <f>'2_CL'!K10</f>
        <v>2853880</v>
      </c>
      <c r="K67" s="42">
        <f>'2_CL'!L10</f>
        <v>2708486</v>
      </c>
      <c r="L67" s="42">
        <f>'2_CL'!M10</f>
        <v>2687185</v>
      </c>
      <c r="M67" s="42">
        <f>'2_CL'!N10</f>
        <v>2706223</v>
      </c>
      <c r="N67" s="42">
        <f>'2_CL'!O10</f>
        <v>2663612</v>
      </c>
      <c r="O67" s="42">
        <f>'2_CL'!P10</f>
        <v>2649484</v>
      </c>
      <c r="P67" s="42">
        <f>'2_CL'!Q10</f>
        <v>2644988</v>
      </c>
      <c r="Q67" s="42">
        <f>'2_CL'!R10</f>
        <v>2644539</v>
      </c>
      <c r="R67" s="42">
        <f>'2_CL'!S10</f>
        <v>2642763</v>
      </c>
      <c r="S67" s="37">
        <f>'2_CL'!T10</f>
        <v>2642281</v>
      </c>
      <c r="T67" s="136">
        <f>Triangulo2!V116</f>
        <v>2642144.2354556895</v>
      </c>
      <c r="U67" s="136">
        <f>Triangulo2!W116</f>
        <v>2642025.9435342876</v>
      </c>
      <c r="V67" s="136">
        <f>Triangulo2!X116</f>
        <v>2642009.1892272569</v>
      </c>
      <c r="W67" s="136">
        <f>Triangulo2!Y116</f>
        <v>2642009.1892272569</v>
      </c>
      <c r="X67" s="136">
        <f>Triangulo2!Z116</f>
        <v>2642012.3698963965</v>
      </c>
      <c r="Y67" s="136">
        <f>Triangulo2!AA116</f>
        <v>2642012.8242777023</v>
      </c>
      <c r="Z67" s="43">
        <f t="shared" si="16"/>
        <v>2642012.8242777023</v>
      </c>
      <c r="AA67" s="39">
        <f>+S67</f>
        <v>2642281</v>
      </c>
      <c r="AB67" s="138">
        <f t="shared" si="14"/>
        <v>-268.17572229774669</v>
      </c>
      <c r="AC67" s="140">
        <f>'2_CL'!AC10</f>
        <v>-345.55584763502702</v>
      </c>
      <c r="AD67" s="140">
        <f t="shared" si="8"/>
        <v>-77.380125337280333</v>
      </c>
      <c r="AE67" s="141" t="str">
        <f t="shared" si="9"/>
        <v>Subestimando la reserva</v>
      </c>
      <c r="AF67" s="43">
        <f t="shared" si="10"/>
        <v>2642012.8242777023</v>
      </c>
      <c r="AG67" s="39">
        <f>S67</f>
        <v>2642281</v>
      </c>
      <c r="AH67" s="138">
        <f t="shared" si="15"/>
        <v>-268.17572229774669</v>
      </c>
      <c r="AI67" s="43">
        <f>'2_CL'!Z10-'2_Validacion_BT'!AG67</f>
        <v>-345.55584763502702</v>
      </c>
      <c r="AJ67" s="140">
        <f t="shared" si="11"/>
        <v>-77.380125337280333</v>
      </c>
      <c r="AK67" s="141" t="str">
        <f t="shared" si="12"/>
        <v>Subestimando la reserva</v>
      </c>
    </row>
    <row r="68" spans="1:37" x14ac:dyDescent="0.25">
      <c r="A68" s="35" t="s">
        <v>16</v>
      </c>
      <c r="B68" s="36">
        <f>'2_CL'!C11</f>
        <v>6591656</v>
      </c>
      <c r="C68" s="36">
        <f>'2_CL'!D11</f>
        <v>9149839</v>
      </c>
      <c r="D68" s="36">
        <f>'2_CL'!E11</f>
        <v>9246786</v>
      </c>
      <c r="E68" s="36">
        <f>'2_CL'!F11</f>
        <v>8427024</v>
      </c>
      <c r="F68" s="36">
        <f>'2_CL'!G11</f>
        <v>7881930</v>
      </c>
      <c r="G68" s="36">
        <f>'2_CL'!H11</f>
        <v>7889306</v>
      </c>
      <c r="H68" s="36">
        <f>'2_CL'!I11</f>
        <v>7459046</v>
      </c>
      <c r="I68" s="36">
        <f>'2_CL'!J11</f>
        <v>7134362</v>
      </c>
      <c r="J68" s="36">
        <f>'2_CL'!K11</f>
        <v>7020325</v>
      </c>
      <c r="K68" s="36">
        <f>'2_CL'!L11</f>
        <v>6829753</v>
      </c>
      <c r="L68" s="36">
        <f>'2_CL'!M11</f>
        <v>6654101</v>
      </c>
      <c r="M68" s="36">
        <f>'2_CL'!N11</f>
        <v>6564713</v>
      </c>
      <c r="N68" s="36">
        <f>'2_CL'!O11</f>
        <v>6557312</v>
      </c>
      <c r="O68" s="36">
        <f>'2_CL'!P11</f>
        <v>6540955</v>
      </c>
      <c r="P68" s="36">
        <f>'2_CL'!Q11</f>
        <v>6539478</v>
      </c>
      <c r="Q68" s="36">
        <f>'2_CL'!R11</f>
        <v>6538852</v>
      </c>
      <c r="R68" s="37">
        <f>'2_CL'!S11</f>
        <v>6538885</v>
      </c>
      <c r="S68" s="136">
        <f>Triangulo2!U117</f>
        <v>6538596.0834514061</v>
      </c>
      <c r="T68" s="136">
        <f>Triangulo2!V117</f>
        <v>6537756.9314201269</v>
      </c>
      <c r="U68" s="136">
        <f>Triangulo2!W117</f>
        <v>6537497.5313834306</v>
      </c>
      <c r="V68" s="136">
        <f>Triangulo2!X117</f>
        <v>6537391.8450029148</v>
      </c>
      <c r="W68" s="136">
        <f>Triangulo2!Y117</f>
        <v>6537399.7152652936</v>
      </c>
      <c r="X68" s="136">
        <f>Triangulo2!Z117</f>
        <v>6537406.2560449569</v>
      </c>
      <c r="Y68" s="136">
        <f>Triangulo2!AA117</f>
        <v>6537407.3803679254</v>
      </c>
      <c r="Z68" s="43">
        <f t="shared" si="16"/>
        <v>6537407.3803679254</v>
      </c>
      <c r="AA68" s="39">
        <f>+R68</f>
        <v>6538885</v>
      </c>
      <c r="AB68" s="138">
        <f t="shared" si="14"/>
        <v>-1477.6196320746094</v>
      </c>
      <c r="AC68" s="140">
        <f>'2_CL'!AC11</f>
        <v>-1613.9375442489982</v>
      </c>
      <c r="AD68" s="140">
        <f t="shared" si="8"/>
        <v>-136.31791217438877</v>
      </c>
      <c r="AE68" s="141" t="str">
        <f t="shared" si="9"/>
        <v>Subestimando la reserva</v>
      </c>
      <c r="AF68" s="43">
        <f t="shared" si="10"/>
        <v>6537407.3803679254</v>
      </c>
      <c r="AG68" s="39">
        <f>R68</f>
        <v>6538885</v>
      </c>
      <c r="AH68" s="138">
        <f t="shared" si="15"/>
        <v>-1477.6196320746094</v>
      </c>
      <c r="AI68" s="43">
        <f>'2_CL'!Z11-'2_Validacion_BT'!AG68</f>
        <v>-1613.9375442489982</v>
      </c>
      <c r="AJ68" s="140">
        <f t="shared" si="11"/>
        <v>-136.31791217438877</v>
      </c>
      <c r="AK68" s="141" t="str">
        <f t="shared" si="12"/>
        <v>Subestimando la reserva</v>
      </c>
    </row>
    <row r="69" spans="1:37" x14ac:dyDescent="0.25">
      <c r="A69" s="41" t="s">
        <v>17</v>
      </c>
      <c r="B69" s="42">
        <f>'2_CL'!C12</f>
        <v>6289704</v>
      </c>
      <c r="C69" s="42">
        <f>'2_CL'!D12</f>
        <v>9074583</v>
      </c>
      <c r="D69" s="42">
        <f>'2_CL'!E12</f>
        <v>7921104</v>
      </c>
      <c r="E69" s="42">
        <f>'2_CL'!F12</f>
        <v>7241833</v>
      </c>
      <c r="F69" s="42">
        <f>'2_CL'!G12</f>
        <v>6605506</v>
      </c>
      <c r="G69" s="42">
        <f>'2_CL'!H12</f>
        <v>6368774</v>
      </c>
      <c r="H69" s="42">
        <f>'2_CL'!I12</f>
        <v>5993512</v>
      </c>
      <c r="I69" s="42">
        <f>'2_CL'!J12</f>
        <v>6063255</v>
      </c>
      <c r="J69" s="42">
        <f>'2_CL'!K12</f>
        <v>6123811</v>
      </c>
      <c r="K69" s="42">
        <f>'2_CL'!L12</f>
        <v>6142139</v>
      </c>
      <c r="L69" s="42">
        <f>'2_CL'!M12</f>
        <v>6109898</v>
      </c>
      <c r="M69" s="42">
        <f>'2_CL'!N12</f>
        <v>6094584</v>
      </c>
      <c r="N69" s="42">
        <f>'2_CL'!O12</f>
        <v>6054429</v>
      </c>
      <c r="O69" s="42">
        <f>'2_CL'!P12</f>
        <v>6045198</v>
      </c>
      <c r="P69" s="42">
        <f>'2_CL'!Q12</f>
        <v>6039123</v>
      </c>
      <c r="Q69" s="37">
        <f>'2_CL'!R12</f>
        <v>6037298</v>
      </c>
      <c r="R69" s="136">
        <f>Triangulo2!T118</f>
        <v>6038585.3763346896</v>
      </c>
      <c r="S69" s="136">
        <f>Triangulo2!U118</f>
        <v>6038381.6014532791</v>
      </c>
      <c r="T69" s="136">
        <f>Triangulo2!V118</f>
        <v>6038069.0546393348</v>
      </c>
      <c r="U69" s="136">
        <f>Triangulo2!W118</f>
        <v>6037664.0936511671</v>
      </c>
      <c r="V69" s="136">
        <f>Triangulo2!X118</f>
        <v>6037566.4876694037</v>
      </c>
      <c r="W69" s="136">
        <f>Triangulo2!Y118</f>
        <v>6037566.4876694037</v>
      </c>
      <c r="X69" s="136">
        <f>Triangulo2!Z118</f>
        <v>6037573.7561912108</v>
      </c>
      <c r="Y69" s="50">
        <f>X69*X87</f>
        <v>6037574.7945514694</v>
      </c>
      <c r="Z69" s="43">
        <f t="shared" si="16"/>
        <v>6037574.7945514694</v>
      </c>
      <c r="AA69" s="39">
        <f>+Q69</f>
        <v>6037298</v>
      </c>
      <c r="AB69" s="138">
        <f t="shared" si="14"/>
        <v>276.79455146938562</v>
      </c>
      <c r="AC69" s="140">
        <f>'2_CL'!AC12</f>
        <v>-2143.6379576781765</v>
      </c>
      <c r="AD69" s="140">
        <f t="shared" ref="AD69:AD84" si="17">AC69-AB69</f>
        <v>-2420.4325091475621</v>
      </c>
      <c r="AE69" s="141" t="str">
        <f>IF(AD69=0,"No hay cambio",IF(AD69&gt;0,"Sobreestimando la reserva","Subestimando la reserva"))</f>
        <v>Subestimando la reserva</v>
      </c>
      <c r="AF69" s="43">
        <f>X69</f>
        <v>6037573.7561912108</v>
      </c>
      <c r="AG69" s="39">
        <f>Q69</f>
        <v>6037298</v>
      </c>
      <c r="AH69" s="138">
        <f t="shared" si="15"/>
        <v>275.75619121082127</v>
      </c>
      <c r="AI69" s="43">
        <f>'2_CL'!Y12-'2_Validacion_BT'!AG69</f>
        <v>-2144.6759016634896</v>
      </c>
      <c r="AJ69" s="140">
        <f>AI69-AH69</f>
        <v>-2420.4320928743109</v>
      </c>
      <c r="AK69" s="141" t="str">
        <f>IF(AJ69=0,"No hay cambio",IF(AJ69&gt;0,"Sobreestimando la reserva","Subestimando la reserva"))</f>
        <v>Subestimando la reserva</v>
      </c>
    </row>
    <row r="70" spans="1:37" x14ac:dyDescent="0.25">
      <c r="A70" s="35" t="s">
        <v>18</v>
      </c>
      <c r="B70" s="36">
        <f>'2_CL'!C13</f>
        <v>4959185</v>
      </c>
      <c r="C70" s="36">
        <f>'2_CL'!D13</f>
        <v>7332815</v>
      </c>
      <c r="D70" s="36">
        <f>'2_CL'!E13</f>
        <v>6338245</v>
      </c>
      <c r="E70" s="36">
        <f>'2_CL'!F13</f>
        <v>6335214</v>
      </c>
      <c r="F70" s="36">
        <f>'2_CL'!G13</f>
        <v>5820802</v>
      </c>
      <c r="G70" s="36">
        <f>'2_CL'!H13</f>
        <v>5372283</v>
      </c>
      <c r="H70" s="36">
        <f>'2_CL'!I13</f>
        <v>5126418</v>
      </c>
      <c r="I70" s="36">
        <f>'2_CL'!J13</f>
        <v>4909923</v>
      </c>
      <c r="J70" s="36">
        <f>'2_CL'!K13</f>
        <v>4699737</v>
      </c>
      <c r="K70" s="36">
        <f>'2_CL'!L13</f>
        <v>4565993</v>
      </c>
      <c r="L70" s="36">
        <f>'2_CL'!M13</f>
        <v>4388069</v>
      </c>
      <c r="M70" s="36">
        <f>'2_CL'!N13</f>
        <v>4350454</v>
      </c>
      <c r="N70" s="36">
        <f>'2_CL'!O13</f>
        <v>4349470</v>
      </c>
      <c r="O70" s="36">
        <f>'2_CL'!P13</f>
        <v>4354085</v>
      </c>
      <c r="P70" s="37">
        <f>'2_CL'!Q13</f>
        <v>4354413</v>
      </c>
      <c r="Q70" s="136">
        <f>Triangulo2!S119</f>
        <v>4352948.1407457897</v>
      </c>
      <c r="R70" s="136">
        <f>Triangulo2!T119</f>
        <v>4352078.4832169572</v>
      </c>
      <c r="S70" s="136">
        <f>Triangulo2!U119</f>
        <v>4351886.1893481119</v>
      </c>
      <c r="T70" s="136">
        <f>Triangulo2!V119</f>
        <v>4351284.300915584</v>
      </c>
      <c r="U70" s="136">
        <f>Triangulo2!W119</f>
        <v>4351338.7979961867</v>
      </c>
      <c r="V70" s="136">
        <f>Triangulo2!X119</f>
        <v>4351311.2041467037</v>
      </c>
      <c r="W70" s="136">
        <f>Triangulo2!Y119</f>
        <v>4351311.2041467037</v>
      </c>
      <c r="X70" s="50">
        <f>W70*W87</f>
        <v>4351315.9741840921</v>
      </c>
      <c r="Y70" s="50">
        <f>X70*X87</f>
        <v>4351316.7225366198</v>
      </c>
      <c r="Z70" s="43">
        <f t="shared" si="16"/>
        <v>4351316.7225366198</v>
      </c>
      <c r="AA70" s="39">
        <f>+P70</f>
        <v>4354413</v>
      </c>
      <c r="AB70" s="138">
        <f t="shared" si="14"/>
        <v>-3096.2774633802474</v>
      </c>
      <c r="AC70" s="140">
        <f>'2_CL'!AC13</f>
        <v>-3331.3643750632182</v>
      </c>
      <c r="AD70" s="140">
        <f t="shared" si="17"/>
        <v>-235.08691168297082</v>
      </c>
      <c r="AE70" s="141" t="str">
        <f t="shared" ref="AE70:AE84" si="18">IF(AD70=0,"No hay cambio",IF(AD70&gt;0,"Sobreestimando la reserva","Subestimando la reserva"))</f>
        <v>Subestimando la reserva</v>
      </c>
      <c r="AF70" s="43">
        <f>W70</f>
        <v>4351311.2041467037</v>
      </c>
      <c r="AG70" s="39">
        <f>P70</f>
        <v>4354413</v>
      </c>
      <c r="AH70" s="138">
        <f t="shared" si="15"/>
        <v>-3101.7958532962948</v>
      </c>
      <c r="AI70" s="43">
        <f>'2_CL'!X13-'2_Validacion_BT'!AG70</f>
        <v>-3336.8385610356927</v>
      </c>
      <c r="AJ70" s="140">
        <f>AI70-AH70</f>
        <v>-235.04270773939788</v>
      </c>
      <c r="AK70" s="141" t="str">
        <f t="shared" ref="AK70:AK84" si="19">IF(AJ70=0,"No hay cambio",IF(AJ70&gt;0,"Sobreestimando la reserva","Subestimando la reserva"))</f>
        <v>Subestimando la reserva</v>
      </c>
    </row>
    <row r="71" spans="1:37" x14ac:dyDescent="0.25">
      <c r="A71" s="41" t="s">
        <v>19</v>
      </c>
      <c r="B71" s="42">
        <f>'2_CL'!C14</f>
        <v>6194048</v>
      </c>
      <c r="C71" s="42">
        <f>'2_CL'!D14</f>
        <v>7741218</v>
      </c>
      <c r="D71" s="42">
        <f>'2_CL'!E14</f>
        <v>6754577</v>
      </c>
      <c r="E71" s="42">
        <f>'2_CL'!F14</f>
        <v>6157468</v>
      </c>
      <c r="F71" s="42">
        <f>'2_CL'!G14</f>
        <v>5562103</v>
      </c>
      <c r="G71" s="42">
        <f>'2_CL'!H14</f>
        <v>5078341</v>
      </c>
      <c r="H71" s="42">
        <f>'2_CL'!I14</f>
        <v>5094245</v>
      </c>
      <c r="I71" s="42">
        <f>'2_CL'!J14</f>
        <v>4970573</v>
      </c>
      <c r="J71" s="42">
        <f>'2_CL'!K14</f>
        <v>4756133</v>
      </c>
      <c r="K71" s="42">
        <f>'2_CL'!L14</f>
        <v>4568920</v>
      </c>
      <c r="L71" s="42">
        <f>'2_CL'!M14</f>
        <v>4414181</v>
      </c>
      <c r="M71" s="42">
        <f>'2_CL'!N14</f>
        <v>4318353</v>
      </c>
      <c r="N71" s="42">
        <f>'2_CL'!O14</f>
        <v>4308927</v>
      </c>
      <c r="O71" s="37">
        <f>'2_CL'!P14</f>
        <v>4284653</v>
      </c>
      <c r="P71" s="136">
        <f>Triangulo2!R120</f>
        <v>4284126.1856973264</v>
      </c>
      <c r="Q71" s="136">
        <f>Triangulo2!S120</f>
        <v>4283398.933756154</v>
      </c>
      <c r="R71" s="136">
        <f>Triangulo2!T120</f>
        <v>4282543.1711761076</v>
      </c>
      <c r="S71" s="136">
        <f>Triangulo2!U120</f>
        <v>4282398.6547583621</v>
      </c>
      <c r="T71" s="136">
        <f>Triangulo2!V120</f>
        <v>4281806.3768122895</v>
      </c>
      <c r="U71" s="136">
        <f>Triangulo2!W120</f>
        <v>4281860.0037258863</v>
      </c>
      <c r="V71" s="136">
        <f>Triangulo2!X120</f>
        <v>4281832.8504735343</v>
      </c>
      <c r="W71" s="50">
        <f>V71*V87</f>
        <v>4281837.0414513983</v>
      </c>
      <c r="X71" s="50">
        <f t="shared" ref="X71:Y71" si="20">W71*W87</f>
        <v>4281841.7353291325</v>
      </c>
      <c r="Y71" s="50">
        <f t="shared" si="20"/>
        <v>4281842.4717332693</v>
      </c>
      <c r="Z71" s="43">
        <f t="shared" si="16"/>
        <v>4281842.4717332693</v>
      </c>
      <c r="AA71" s="39">
        <f>+O71</f>
        <v>4284653</v>
      </c>
      <c r="AB71" s="138">
        <f t="shared" si="14"/>
        <v>-2810.5282667307183</v>
      </c>
      <c r="AC71" s="140">
        <f>'2_CL'!AC14</f>
        <v>-6899.9200591864064</v>
      </c>
      <c r="AD71" s="140">
        <f t="shared" si="17"/>
        <v>-4089.3917924556881</v>
      </c>
      <c r="AE71" s="141" t="str">
        <f t="shared" si="18"/>
        <v>Subestimando la reserva</v>
      </c>
      <c r="AF71" s="43">
        <f>V71</f>
        <v>4281832.8504735343</v>
      </c>
      <c r="AG71" s="39">
        <f>O71</f>
        <v>4284653</v>
      </c>
      <c r="AH71" s="138">
        <f t="shared" si="15"/>
        <v>-2820.1495264656842</v>
      </c>
      <c r="AI71" s="43">
        <f>'2_CL'!W14-'2_Validacion_BT'!AG71</f>
        <v>-6910.6141663566232</v>
      </c>
      <c r="AJ71" s="140">
        <f t="shared" ref="AJ71:AJ84" si="21">AI71-AH71</f>
        <v>-4090.464639890939</v>
      </c>
      <c r="AK71" s="141" t="str">
        <f t="shared" si="19"/>
        <v>Subestimando la reserva</v>
      </c>
    </row>
    <row r="72" spans="1:37" x14ac:dyDescent="0.25">
      <c r="A72" s="35" t="s">
        <v>20</v>
      </c>
      <c r="B72" s="36">
        <f>'2_CL'!C15</f>
        <v>6500694</v>
      </c>
      <c r="C72" s="36">
        <f>'2_CL'!D15</f>
        <v>9436157</v>
      </c>
      <c r="D72" s="36">
        <f>'2_CL'!E15</f>
        <v>8641541</v>
      </c>
      <c r="E72" s="36">
        <f>'2_CL'!F15</f>
        <v>8462835</v>
      </c>
      <c r="F72" s="36">
        <f>'2_CL'!G15</f>
        <v>8478196</v>
      </c>
      <c r="G72" s="36">
        <f>'2_CL'!H15</f>
        <v>8406511</v>
      </c>
      <c r="H72" s="36">
        <f>'2_CL'!I15</f>
        <v>7938776</v>
      </c>
      <c r="I72" s="36">
        <f>'2_CL'!J15</f>
        <v>7694015</v>
      </c>
      <c r="J72" s="36">
        <f>'2_CL'!K15</f>
        <v>7414340</v>
      </c>
      <c r="K72" s="36">
        <f>'2_CL'!L15</f>
        <v>7365359</v>
      </c>
      <c r="L72" s="36">
        <f>'2_CL'!M15</f>
        <v>7323515</v>
      </c>
      <c r="M72" s="36">
        <f>'2_CL'!N15</f>
        <v>7284864</v>
      </c>
      <c r="N72" s="37">
        <f>'2_CL'!O15</f>
        <v>7266841</v>
      </c>
      <c r="O72" s="136">
        <f>Triangulo2!Q121</f>
        <v>7262138.9814081136</v>
      </c>
      <c r="P72" s="136">
        <f>Triangulo2!R121</f>
        <v>7246630.9215626605</v>
      </c>
      <c r="Q72" s="136">
        <f>Triangulo2!S121</f>
        <v>7244435.5441046013</v>
      </c>
      <c r="R72" s="136">
        <f>Triangulo2!T121</f>
        <v>7242935.0166871529</v>
      </c>
      <c r="S72" s="136">
        <f>Triangulo2!U121</f>
        <v>7241505.4685749281</v>
      </c>
      <c r="T72" s="136">
        <f>Triangulo2!V121</f>
        <v>7240272.6996779991</v>
      </c>
      <c r="U72" s="136">
        <f>Triangulo2!W121</f>
        <v>7239985.4257668266</v>
      </c>
      <c r="V72" s="50">
        <f>U72*U87</f>
        <v>7239920.1538308375</v>
      </c>
      <c r="W72" s="50">
        <f t="shared" ref="W72:Y72" si="22">V72*V87</f>
        <v>7239927.2401291961</v>
      </c>
      <c r="X72" s="50">
        <f t="shared" si="22"/>
        <v>7239935.1767538134</v>
      </c>
      <c r="Y72" s="50">
        <f t="shared" si="22"/>
        <v>7239936.4218998374</v>
      </c>
      <c r="Z72" s="43">
        <f t="shared" si="16"/>
        <v>7239936.4218998374</v>
      </c>
      <c r="AA72" s="39">
        <f>+N72</f>
        <v>7266841</v>
      </c>
      <c r="AB72" s="138">
        <f t="shared" si="14"/>
        <v>-26904.578100162558</v>
      </c>
      <c r="AC72" s="140">
        <f>'2_CL'!AC15</f>
        <v>-26598.651411228813</v>
      </c>
      <c r="AD72" s="140">
        <f t="shared" si="17"/>
        <v>305.92668893374503</v>
      </c>
      <c r="AE72" s="141" t="str">
        <f t="shared" si="18"/>
        <v>Sobreestimando la reserva</v>
      </c>
      <c r="AF72" s="43">
        <f>U72</f>
        <v>7239985.4257668266</v>
      </c>
      <c r="AG72" s="39">
        <f>N72</f>
        <v>7266841</v>
      </c>
      <c r="AH72" s="138">
        <f t="shared" si="15"/>
        <v>-26855.574233173393</v>
      </c>
      <c r="AI72" s="43">
        <f>'2_CL'!V15-'2_Validacion_BT'!AG72</f>
        <v>-26574.048789762892</v>
      </c>
      <c r="AJ72" s="140">
        <f t="shared" si="21"/>
        <v>281.52544341050088</v>
      </c>
      <c r="AK72" s="141" t="str">
        <f t="shared" si="19"/>
        <v>Sobreestimando la reserva</v>
      </c>
    </row>
    <row r="73" spans="1:37" x14ac:dyDescent="0.25">
      <c r="A73" s="41" t="s">
        <v>21</v>
      </c>
      <c r="B73" s="42">
        <f>'2_CL'!C16</f>
        <v>5205434</v>
      </c>
      <c r="C73" s="42">
        <f>'2_CL'!D16</f>
        <v>7752400</v>
      </c>
      <c r="D73" s="42">
        <f>'2_CL'!E16</f>
        <v>7497356</v>
      </c>
      <c r="E73" s="42">
        <f>'2_CL'!F16</f>
        <v>7293599</v>
      </c>
      <c r="F73" s="42">
        <f>'2_CL'!G16</f>
        <v>6566528</v>
      </c>
      <c r="G73" s="42">
        <f>'2_CL'!H16</f>
        <v>6681703</v>
      </c>
      <c r="H73" s="42">
        <f>'2_CL'!I16</f>
        <v>6326840</v>
      </c>
      <c r="I73" s="42">
        <f>'2_CL'!J16</f>
        <v>6334277</v>
      </c>
      <c r="J73" s="42">
        <f>'2_CL'!K16</f>
        <v>6175261</v>
      </c>
      <c r="K73" s="42">
        <f>'2_CL'!L16</f>
        <v>6025240</v>
      </c>
      <c r="L73" s="42">
        <f>'2_CL'!M16</f>
        <v>5846424</v>
      </c>
      <c r="M73" s="37">
        <f>'2_CL'!N16</f>
        <v>5844768</v>
      </c>
      <c r="N73" s="136">
        <f>Triangulo2!P122</f>
        <v>5844296.0309275156</v>
      </c>
      <c r="O73" s="136">
        <f>Triangulo2!Q122</f>
        <v>5828592.2638110025</v>
      </c>
      <c r="P73" s="136">
        <f>Triangulo2!R122</f>
        <v>5822734.9373838697</v>
      </c>
      <c r="Q73" s="136">
        <f>Triangulo2!S122</f>
        <v>5820776.1229218887</v>
      </c>
      <c r="R73" s="136">
        <f>Triangulo2!T122</f>
        <v>5822017.3287444562</v>
      </c>
      <c r="S73" s="136">
        <f>Triangulo2!U122</f>
        <v>5820868.2291235877</v>
      </c>
      <c r="T73" s="136">
        <f>Triangulo2!V122</f>
        <v>5820063.172855583</v>
      </c>
      <c r="U73" s="50">
        <f>T73*T87</f>
        <v>5819885.1078123813</v>
      </c>
      <c r="V73" s="50">
        <f t="shared" ref="V73:Y73" si="23">U73*U87</f>
        <v>5819832.6387608731</v>
      </c>
      <c r="W73" s="50">
        <f t="shared" si="23"/>
        <v>5819838.3351041479</v>
      </c>
      <c r="X73" s="50">
        <f t="shared" si="23"/>
        <v>5819844.7149848659</v>
      </c>
      <c r="Y73" s="50">
        <f t="shared" si="23"/>
        <v>5819845.7158994228</v>
      </c>
      <c r="Z73" s="43">
        <f t="shared" si="16"/>
        <v>5819845.7158994228</v>
      </c>
      <c r="AA73" s="39">
        <f>+M73</f>
        <v>5844768</v>
      </c>
      <c r="AB73" s="138">
        <f t="shared" si="14"/>
        <v>-24922.284100577235</v>
      </c>
      <c r="AC73" s="140">
        <f>'2_CL'!AC16</f>
        <v>-43970.389721929096</v>
      </c>
      <c r="AD73" s="140">
        <f t="shared" si="17"/>
        <v>-19048.10562135186</v>
      </c>
      <c r="AE73" s="141" t="str">
        <f t="shared" si="18"/>
        <v>Subestimando la reserva</v>
      </c>
      <c r="AF73" s="43">
        <f>T73</f>
        <v>5820063.172855583</v>
      </c>
      <c r="AG73" s="39">
        <f>M73</f>
        <v>5844768</v>
      </c>
      <c r="AH73" s="138">
        <f t="shared" si="15"/>
        <v>-24704.82714441698</v>
      </c>
      <c r="AI73" s="43">
        <f>'2_CL'!U16-'2_Validacion_BT'!AG73</f>
        <v>-43780.026942326687</v>
      </c>
      <c r="AJ73" s="140">
        <f t="shared" si="21"/>
        <v>-19075.199797909707</v>
      </c>
      <c r="AK73" s="141" t="str">
        <f t="shared" si="19"/>
        <v>Subestimando la reserva</v>
      </c>
    </row>
    <row r="74" spans="1:37" x14ac:dyDescent="0.25">
      <c r="A74" s="35" t="s">
        <v>22</v>
      </c>
      <c r="B74" s="36">
        <f>'2_CL'!C17</f>
        <v>5184519</v>
      </c>
      <c r="C74" s="36">
        <f>'2_CL'!D17</f>
        <v>7275135</v>
      </c>
      <c r="D74" s="36">
        <f>'2_CL'!E17</f>
        <v>7269751</v>
      </c>
      <c r="E74" s="36">
        <f>'2_CL'!F17</f>
        <v>6967745</v>
      </c>
      <c r="F74" s="36">
        <f>'2_CL'!G17</f>
        <v>6399402</v>
      </c>
      <c r="G74" s="36">
        <f>'2_CL'!H17</f>
        <v>5827678</v>
      </c>
      <c r="H74" s="36">
        <f>'2_CL'!I17</f>
        <v>5837462</v>
      </c>
      <c r="I74" s="36">
        <f>'2_CL'!J17</f>
        <v>5752901</v>
      </c>
      <c r="J74" s="36">
        <f>'2_CL'!K17</f>
        <v>5510232</v>
      </c>
      <c r="K74" s="36">
        <f>'2_CL'!L17</f>
        <v>5306283</v>
      </c>
      <c r="L74" s="37">
        <f>'2_CL'!M17</f>
        <v>5171805</v>
      </c>
      <c r="M74" s="136">
        <f>Triangulo2!O123</f>
        <v>5144509.9872834291</v>
      </c>
      <c r="N74" s="136">
        <f>Triangulo2!P123</f>
        <v>5090761.9401517948</v>
      </c>
      <c r="O74" s="136">
        <f>Triangulo2!Q123</f>
        <v>5092394.9150120057</v>
      </c>
      <c r="P74" s="136">
        <f>Triangulo2!R123</f>
        <v>5083664.3989554578</v>
      </c>
      <c r="Q74" s="136">
        <f>Triangulo2!S123</f>
        <v>5082128.1349104811</v>
      </c>
      <c r="R74" s="136">
        <f>Triangulo2!T123</f>
        <v>5082010.3240683656</v>
      </c>
      <c r="S74" s="136">
        <f>Triangulo2!U123</f>
        <v>5081785.7786171529</v>
      </c>
      <c r="T74" s="50">
        <f>S74*S87</f>
        <v>5081219.9696581289</v>
      </c>
      <c r="U74" s="50">
        <f t="shared" ref="U74:Y74" si="24">T74*T87</f>
        <v>5081064.5095494427</v>
      </c>
      <c r="V74" s="50">
        <f t="shared" si="24"/>
        <v>5081018.7013194645</v>
      </c>
      <c r="W74" s="50">
        <f t="shared" si="24"/>
        <v>5081023.6745254835</v>
      </c>
      <c r="X74" s="50">
        <f t="shared" si="24"/>
        <v>5081029.2444954906</v>
      </c>
      <c r="Y74" s="50">
        <f t="shared" si="24"/>
        <v>5081030.1183463205</v>
      </c>
      <c r="Z74" s="43">
        <f t="shared" si="16"/>
        <v>5081030.1183463205</v>
      </c>
      <c r="AA74" s="39">
        <f>+L74</f>
        <v>5171805</v>
      </c>
      <c r="AB74" s="138">
        <f t="shared" si="14"/>
        <v>-90774.881653679535</v>
      </c>
      <c r="AC74" s="140">
        <f>'2_CL'!AC17</f>
        <v>-79335.360579818487</v>
      </c>
      <c r="AD74" s="140">
        <f t="shared" si="17"/>
        <v>11439.521073861048</v>
      </c>
      <c r="AE74" s="141" t="str">
        <f t="shared" si="18"/>
        <v>Sobreestimando la reserva</v>
      </c>
      <c r="AF74" s="43">
        <f>S74</f>
        <v>5081785.7786171529</v>
      </c>
      <c r="AG74" s="39">
        <f>L74</f>
        <v>5171805</v>
      </c>
      <c r="AH74" s="138">
        <f t="shared" si="15"/>
        <v>-90019.221382847056</v>
      </c>
      <c r="AI74" s="43">
        <f>'2_CL'!T17-AG74</f>
        <v>-78669.283493528143</v>
      </c>
      <c r="AJ74" s="140">
        <f t="shared" si="21"/>
        <v>11349.937889318913</v>
      </c>
      <c r="AK74" s="141" t="str">
        <f t="shared" si="19"/>
        <v>Sobreestimando la reserva</v>
      </c>
    </row>
    <row r="75" spans="1:37" x14ac:dyDescent="0.25">
      <c r="A75" s="41" t="s">
        <v>23</v>
      </c>
      <c r="B75" s="42">
        <f>'2_CL'!C18</f>
        <v>3419011</v>
      </c>
      <c r="C75" s="42">
        <f>'2_CL'!D18</f>
        <v>4773306</v>
      </c>
      <c r="D75" s="42">
        <f>'2_CL'!E18</f>
        <v>3716822</v>
      </c>
      <c r="E75" s="42">
        <f>'2_CL'!F18</f>
        <v>3313659</v>
      </c>
      <c r="F75" s="42">
        <f>'2_CL'!G18</f>
        <v>3377536</v>
      </c>
      <c r="G75" s="42">
        <f>'2_CL'!H18</f>
        <v>3222093</v>
      </c>
      <c r="H75" s="42">
        <f>'2_CL'!I18</f>
        <v>2783981</v>
      </c>
      <c r="I75" s="42">
        <f>'2_CL'!J18</f>
        <v>2603716</v>
      </c>
      <c r="J75" s="42">
        <f>'2_CL'!K18</f>
        <v>2643618</v>
      </c>
      <c r="K75" s="37">
        <f>'2_CL'!L18</f>
        <v>2473125</v>
      </c>
      <c r="L75" s="136">
        <f>Triangulo2!N124</f>
        <v>2486153.4310484622</v>
      </c>
      <c r="M75" s="136">
        <f>Triangulo2!O124</f>
        <v>2479922.0743804662</v>
      </c>
      <c r="N75" s="136">
        <f>Triangulo2!P124</f>
        <v>2440874.3094655182</v>
      </c>
      <c r="O75" s="136">
        <f>Triangulo2!Q124</f>
        <v>2434785.6284511136</v>
      </c>
      <c r="P75" s="136">
        <f>Triangulo2!R124</f>
        <v>2432338.8396622534</v>
      </c>
      <c r="Q75" s="136">
        <f>Triangulo2!S124</f>
        <v>2431601.9590460393</v>
      </c>
      <c r="R75" s="136">
        <f>Triangulo2!T124</f>
        <v>2432120.4669642271</v>
      </c>
      <c r="S75" s="50">
        <f>R75*R87</f>
        <v>2431869.4974546237</v>
      </c>
      <c r="T75" s="50">
        <f t="shared" ref="T75:Y75" si="25">S75*S87</f>
        <v>2431598.7317024292</v>
      </c>
      <c r="U75" s="50">
        <f t="shared" si="25"/>
        <v>2431524.336851317</v>
      </c>
      <c r="V75" s="50">
        <f t="shared" si="25"/>
        <v>2431502.4154949137</v>
      </c>
      <c r="W75" s="50">
        <f t="shared" si="25"/>
        <v>2431504.7954039751</v>
      </c>
      <c r="X75" s="50">
        <f t="shared" si="25"/>
        <v>2431507.4608922014</v>
      </c>
      <c r="Y75" s="50">
        <f t="shared" si="25"/>
        <v>2431507.879070234</v>
      </c>
      <c r="Z75" s="43">
        <f t="shared" ref="Z75:Z84" si="26">+Y75</f>
        <v>2431507.879070234</v>
      </c>
      <c r="AA75" s="39">
        <f>+K75</f>
        <v>2473125</v>
      </c>
      <c r="AB75" s="138">
        <f>Z75-AA75</f>
        <v>-41617.120929765981</v>
      </c>
      <c r="AC75" s="140">
        <f>'2_CL'!AC18</f>
        <v>-80563.884190600831</v>
      </c>
      <c r="AD75" s="140">
        <f t="shared" si="17"/>
        <v>-38946.76326083485</v>
      </c>
      <c r="AE75" s="141" t="str">
        <f t="shared" si="18"/>
        <v>Subestimando la reserva</v>
      </c>
      <c r="AF75" s="43">
        <f>R75</f>
        <v>2432120.4669642271</v>
      </c>
      <c r="AG75" s="39">
        <f>K75</f>
        <v>2473125</v>
      </c>
      <c r="AH75" s="138">
        <f>AF75-AG75</f>
        <v>-41004.533035772853</v>
      </c>
      <c r="AI75" s="43">
        <f>'2_CL'!S18-'2_Validacion_BT'!AG75</f>
        <v>-79973.202822974883</v>
      </c>
      <c r="AJ75" s="140">
        <f t="shared" si="21"/>
        <v>-38968.66978720203</v>
      </c>
      <c r="AK75" s="141" t="str">
        <f t="shared" si="19"/>
        <v>Subestimando la reserva</v>
      </c>
    </row>
    <row r="76" spans="1:37" x14ac:dyDescent="0.25">
      <c r="A76" s="35" t="s">
        <v>24</v>
      </c>
      <c r="B76" s="36">
        <f>'2_CL'!C19</f>
        <v>5498188</v>
      </c>
      <c r="C76" s="36">
        <f>'2_CL'!D19</f>
        <v>10669557</v>
      </c>
      <c r="D76" s="36">
        <f>'2_CL'!E19</f>
        <v>10857709</v>
      </c>
      <c r="E76" s="36">
        <f>'2_CL'!F19</f>
        <v>14275258</v>
      </c>
      <c r="F76" s="36">
        <f>'2_CL'!G19</f>
        <v>14084665</v>
      </c>
      <c r="G76" s="36">
        <f>'2_CL'!H19</f>
        <v>14163048</v>
      </c>
      <c r="H76" s="36">
        <f>'2_CL'!I19</f>
        <v>13850553</v>
      </c>
      <c r="I76" s="36">
        <f>'2_CL'!J19</f>
        <v>13534768</v>
      </c>
      <c r="J76" s="37">
        <f>'2_CL'!K19</f>
        <v>13371613</v>
      </c>
      <c r="K76" s="136">
        <f>Triangulo2!M125</f>
        <v>12509246.948925676</v>
      </c>
      <c r="L76" s="136">
        <f>Triangulo2!N125</f>
        <v>12021796.518287554</v>
      </c>
      <c r="M76" s="136">
        <f>Triangulo2!O125</f>
        <v>11940335.541850613</v>
      </c>
      <c r="N76" s="136">
        <f>Triangulo2!P125</f>
        <v>11752328.257242585</v>
      </c>
      <c r="O76" s="136">
        <f>Triangulo2!Q125</f>
        <v>11723012.459351053</v>
      </c>
      <c r="P76" s="136">
        <f>Triangulo2!R125</f>
        <v>11702914.263862371</v>
      </c>
      <c r="Q76" s="136">
        <f>Triangulo2!S125</f>
        <v>11698977.310187871</v>
      </c>
      <c r="R76" s="50">
        <f>Q76*Q87</f>
        <v>11698258.903444897</v>
      </c>
      <c r="S76" s="50">
        <f t="shared" ref="S76:Y76" si="27">R76*R87</f>
        <v>11697051.764925202</v>
      </c>
      <c r="T76" s="50">
        <f t="shared" si="27"/>
        <v>11695749.408436542</v>
      </c>
      <c r="U76" s="50">
        <f t="shared" si="27"/>
        <v>11695391.576560523</v>
      </c>
      <c r="V76" s="50">
        <f t="shared" si="27"/>
        <v>11695286.137004301</v>
      </c>
      <c r="W76" s="50">
        <f t="shared" si="27"/>
        <v>11695297.584131507</v>
      </c>
      <c r="X76" s="50">
        <f t="shared" si="27"/>
        <v>11695310.404866252</v>
      </c>
      <c r="Y76" s="50">
        <f t="shared" si="27"/>
        <v>11695312.41626123</v>
      </c>
      <c r="Z76" s="43">
        <f t="shared" si="26"/>
        <v>11695312.41626123</v>
      </c>
      <c r="AA76" s="39">
        <f>+J76</f>
        <v>13371613</v>
      </c>
      <c r="AB76" s="138">
        <f t="shared" si="14"/>
        <v>-1676300.5837387703</v>
      </c>
      <c r="AC76" s="140">
        <f>'2_CL'!AC19</f>
        <v>-724781.94354595616</v>
      </c>
      <c r="AD76" s="140">
        <f t="shared" si="17"/>
        <v>951518.64019281417</v>
      </c>
      <c r="AE76" s="141" t="str">
        <f t="shared" si="18"/>
        <v>Sobreestimando la reserva</v>
      </c>
      <c r="AF76" s="43">
        <f>Q76</f>
        <v>11698977.310187871</v>
      </c>
      <c r="AG76" s="39">
        <f>+J76</f>
        <v>13371613</v>
      </c>
      <c r="AH76" s="138">
        <f t="shared" ref="AH76:AH83" si="28">AF76-AG76</f>
        <v>-1672635.6898121294</v>
      </c>
      <c r="AI76" s="43">
        <f>'2_CL'!R19-'2_Validacion_BT'!AG76</f>
        <v>-720289.89156672917</v>
      </c>
      <c r="AJ76" s="140">
        <f t="shared" si="21"/>
        <v>952345.79824540019</v>
      </c>
      <c r="AK76" s="141" t="str">
        <f t="shared" si="19"/>
        <v>Sobreestimando la reserva</v>
      </c>
    </row>
    <row r="77" spans="1:37" x14ac:dyDescent="0.25">
      <c r="A77" s="41" t="s">
        <v>25</v>
      </c>
      <c r="B77" s="42">
        <f>'2_CL'!C20</f>
        <v>6382667</v>
      </c>
      <c r="C77" s="42">
        <f>'2_CL'!D20</f>
        <v>10460689</v>
      </c>
      <c r="D77" s="42">
        <f>'2_CL'!E20</f>
        <v>9727516</v>
      </c>
      <c r="E77" s="42">
        <f>'2_CL'!F20</f>
        <v>13561133</v>
      </c>
      <c r="F77" s="42">
        <f>'2_CL'!G20</f>
        <v>12865538</v>
      </c>
      <c r="G77" s="42">
        <f>'2_CL'!H20</f>
        <v>12816850</v>
      </c>
      <c r="H77" s="42">
        <f>'2_CL'!I20</f>
        <v>12593535</v>
      </c>
      <c r="I77" s="37">
        <f>'2_CL'!J20</f>
        <v>12422697</v>
      </c>
      <c r="J77" s="136">
        <f>Triangulo2!L126</f>
        <v>12224130.246898742</v>
      </c>
      <c r="K77" s="136">
        <f>Triangulo2!M126</f>
        <v>11742958.653103394</v>
      </c>
      <c r="L77" s="136">
        <f>Triangulo2!N126</f>
        <v>11581432.820351794</v>
      </c>
      <c r="M77" s="136">
        <f>Triangulo2!O126</f>
        <v>11619369.420600256</v>
      </c>
      <c r="N77" s="136">
        <f>Triangulo2!P126</f>
        <v>11542813.61644952</v>
      </c>
      <c r="O77" s="136">
        <f>Triangulo2!Q126</f>
        <v>11501093.286274416</v>
      </c>
      <c r="P77" s="136">
        <f>Triangulo2!R126</f>
        <v>11503375.79114487</v>
      </c>
      <c r="Q77" s="50">
        <f>P77*P87</f>
        <v>11499218.034665599</v>
      </c>
      <c r="R77" s="50">
        <f t="shared" ref="R77:Y77" si="29">Q77*Q87</f>
        <v>11498511.894670967</v>
      </c>
      <c r="S77" s="50">
        <f t="shared" si="29"/>
        <v>11497325.367962865</v>
      </c>
      <c r="T77" s="50">
        <f t="shared" si="29"/>
        <v>11496045.249126416</v>
      </c>
      <c r="U77" s="50">
        <f t="shared" si="29"/>
        <v>11495693.527206372</v>
      </c>
      <c r="V77" s="50">
        <f t="shared" si="29"/>
        <v>11495589.888023704</v>
      </c>
      <c r="W77" s="50">
        <f t="shared" si="29"/>
        <v>11495601.139691958</v>
      </c>
      <c r="X77" s="50">
        <f t="shared" si="29"/>
        <v>11495613.741513493</v>
      </c>
      <c r="Y77" s="50">
        <f t="shared" si="29"/>
        <v>11495615.718564032</v>
      </c>
      <c r="Z77" s="43">
        <f t="shared" si="26"/>
        <v>11495615.718564032</v>
      </c>
      <c r="AA77" s="39">
        <f>+I77</f>
        <v>12422697</v>
      </c>
      <c r="AB77" s="138">
        <f t="shared" si="14"/>
        <v>-927081.28143596835</v>
      </c>
      <c r="AC77" s="140">
        <f>'2_CL'!AC20</f>
        <v>-949684.63453150913</v>
      </c>
      <c r="AD77" s="140">
        <f t="shared" si="17"/>
        <v>-22603.353095540777</v>
      </c>
      <c r="AE77" s="141" t="str">
        <f t="shared" si="18"/>
        <v>Subestimando la reserva</v>
      </c>
      <c r="AF77" s="43">
        <f>P77</f>
        <v>11503375.79114487</v>
      </c>
      <c r="AG77" s="39">
        <f>+I77</f>
        <v>12422697</v>
      </c>
      <c r="AH77" s="138">
        <f t="shared" si="28"/>
        <v>-919321.20885512978</v>
      </c>
      <c r="AI77" s="43">
        <f>'2_CL'!Q20-'2_Validacion_BT'!AG77</f>
        <v>-940900.43145978451</v>
      </c>
      <c r="AJ77" s="140">
        <f t="shared" si="21"/>
        <v>-21579.222604654729</v>
      </c>
      <c r="AK77" s="141" t="str">
        <f t="shared" si="19"/>
        <v>Subestimando la reserva</v>
      </c>
    </row>
    <row r="78" spans="1:37" x14ac:dyDescent="0.25">
      <c r="A78" s="35" t="s">
        <v>26</v>
      </c>
      <c r="B78" s="36">
        <f>'2_CL'!C21</f>
        <v>3022770</v>
      </c>
      <c r="C78" s="36">
        <f>'2_CL'!D21</f>
        <v>7899209</v>
      </c>
      <c r="D78" s="36">
        <f>'2_CL'!E21</f>
        <v>7498380</v>
      </c>
      <c r="E78" s="36">
        <f>'2_CL'!F21</f>
        <v>10736732</v>
      </c>
      <c r="F78" s="36">
        <f>'2_CL'!G21</f>
        <v>10856995</v>
      </c>
      <c r="G78" s="36">
        <f>'2_CL'!H21</f>
        <v>10834399</v>
      </c>
      <c r="H78" s="37">
        <f>'2_CL'!I21</f>
        <v>10568629</v>
      </c>
      <c r="I78" s="136">
        <f>Triangulo2!K127</f>
        <v>10581052.088599207</v>
      </c>
      <c r="J78" s="136">
        <f>Triangulo2!L127</f>
        <v>10096628.623946123</v>
      </c>
      <c r="K78" s="136">
        <f>Triangulo2!M127</f>
        <v>9975491.7573046703</v>
      </c>
      <c r="L78" s="136">
        <f>Triangulo2!N127</f>
        <v>9718935.6156471204</v>
      </c>
      <c r="M78" s="136">
        <f>Triangulo2!O127</f>
        <v>9653079.0704981461</v>
      </c>
      <c r="N78" s="136">
        <f>Triangulo2!P127</f>
        <v>9650895.7053124961</v>
      </c>
      <c r="O78" s="136">
        <f>Triangulo2!Q127</f>
        <v>9644651.081130581</v>
      </c>
      <c r="P78" s="50">
        <f>O78*O87</f>
        <v>9635495.460838275</v>
      </c>
      <c r="Q78" s="50">
        <f t="shared" ref="Q78:Y78" si="30">P78*P87</f>
        <v>9632012.8271826711</v>
      </c>
      <c r="R78" s="50">
        <f t="shared" si="30"/>
        <v>9631421.3478781134</v>
      </c>
      <c r="S78" s="50">
        <f t="shared" si="30"/>
        <v>9630427.4854747932</v>
      </c>
      <c r="T78" s="50">
        <f t="shared" si="30"/>
        <v>9629355.2281251345</v>
      </c>
      <c r="U78" s="50">
        <f t="shared" si="30"/>
        <v>9629060.6176537741</v>
      </c>
      <c r="V78" s="50">
        <f t="shared" si="30"/>
        <v>9628973.8070607539</v>
      </c>
      <c r="W78" s="50">
        <f t="shared" si="30"/>
        <v>9628983.2317201197</v>
      </c>
      <c r="X78" s="50">
        <f t="shared" si="30"/>
        <v>9628993.7872993164</v>
      </c>
      <c r="Y78" s="50">
        <f t="shared" si="30"/>
        <v>9628995.4433228914</v>
      </c>
      <c r="Z78" s="43">
        <f t="shared" si="26"/>
        <v>9628995.4433228914</v>
      </c>
      <c r="AA78" s="39">
        <f>+H78</f>
        <v>10568629</v>
      </c>
      <c r="AB78" s="138">
        <f t="shared" si="14"/>
        <v>-939633.55667710863</v>
      </c>
      <c r="AC78" s="140">
        <f>'2_CL'!AC21</f>
        <v>-1069760.5577581134</v>
      </c>
      <c r="AD78" s="140">
        <f t="shared" si="17"/>
        <v>-130127.00108100474</v>
      </c>
      <c r="AE78" s="141" t="str">
        <f t="shared" si="18"/>
        <v>Subestimando la reserva</v>
      </c>
      <c r="AF78" s="43">
        <f>O78</f>
        <v>9644651.081130581</v>
      </c>
      <c r="AG78" s="39">
        <f>+H78</f>
        <v>10568629</v>
      </c>
      <c r="AH78" s="138">
        <f t="shared" si="28"/>
        <v>-923977.91886941902</v>
      </c>
      <c r="AI78" s="43">
        <f>'2_CL'!P21-'2_Validacion_BT'!AG78</f>
        <v>-1054439.0953736808</v>
      </c>
      <c r="AJ78" s="140">
        <f t="shared" si="21"/>
        <v>-130461.17650426179</v>
      </c>
      <c r="AK78" s="141" t="str">
        <f t="shared" si="19"/>
        <v>Subestimando la reserva</v>
      </c>
    </row>
    <row r="79" spans="1:37" x14ac:dyDescent="0.25">
      <c r="A79" s="41" t="s">
        <v>27</v>
      </c>
      <c r="B79" s="42">
        <f>'2_CL'!C22</f>
        <v>6936281</v>
      </c>
      <c r="C79" s="42">
        <f>'2_CL'!D22</f>
        <v>21936281</v>
      </c>
      <c r="D79" s="42">
        <f>'2_CL'!E22</f>
        <v>21767538</v>
      </c>
      <c r="E79" s="42">
        <f>'2_CL'!F22</f>
        <v>25515798</v>
      </c>
      <c r="F79" s="42">
        <f>'2_CL'!G22</f>
        <v>25644750</v>
      </c>
      <c r="G79" s="37">
        <f>'2_CL'!H22</f>
        <v>25593031</v>
      </c>
      <c r="H79" s="136">
        <f>Triangulo2!J128</f>
        <v>23891507.733473364</v>
      </c>
      <c r="I79" s="136">
        <f>Triangulo2!K128</f>
        <v>23246010.894867908</v>
      </c>
      <c r="J79" s="136">
        <f>Triangulo2!L128</f>
        <v>22874442.232607983</v>
      </c>
      <c r="K79" s="136">
        <f>Triangulo2!M128</f>
        <v>22600000.301401637</v>
      </c>
      <c r="L79" s="136">
        <f>Triangulo2!N128</f>
        <v>21834589.340684753</v>
      </c>
      <c r="M79" s="136">
        <f>Triangulo2!O128</f>
        <v>21828404.691752657</v>
      </c>
      <c r="N79" s="136">
        <f>Triangulo2!P128</f>
        <v>21826642.032924082</v>
      </c>
      <c r="O79" s="50">
        <f>N79*N87</f>
        <v>21783416.90238082</v>
      </c>
      <c r="P79" s="50">
        <f t="shared" ref="P79:Y79" si="31">O79*O87</f>
        <v>21762738.010822225</v>
      </c>
      <c r="Q79" s="50">
        <f t="shared" si="31"/>
        <v>21754872.131569561</v>
      </c>
      <c r="R79" s="50">
        <f t="shared" si="31"/>
        <v>21753536.215923477</v>
      </c>
      <c r="S79" s="50">
        <f t="shared" si="31"/>
        <v>21751291.47747799</v>
      </c>
      <c r="T79" s="50">
        <f t="shared" si="31"/>
        <v>21748869.676141914</v>
      </c>
      <c r="U79" s="50">
        <f t="shared" si="31"/>
        <v>21748204.268687829</v>
      </c>
      <c r="V79" s="50">
        <f t="shared" si="31"/>
        <v>21748008.19821069</v>
      </c>
      <c r="W79" s="50">
        <f t="shared" si="31"/>
        <v>21748029.484754123</v>
      </c>
      <c r="X79" s="50">
        <f t="shared" si="31"/>
        <v>21748053.325594019</v>
      </c>
      <c r="Y79" s="50">
        <f t="shared" si="31"/>
        <v>21748057.065890234</v>
      </c>
      <c r="Z79" s="43">
        <f>+Y79</f>
        <v>21748057.065890234</v>
      </c>
      <c r="AA79" s="39">
        <f>+G79</f>
        <v>25593031</v>
      </c>
      <c r="AB79" s="138">
        <f t="shared" si="14"/>
        <v>-3844973.934109766</v>
      </c>
      <c r="AC79" s="140">
        <f>'2_CL'!AC22</f>
        <v>-3456342.6733150929</v>
      </c>
      <c r="AD79" s="140">
        <f t="shared" si="17"/>
        <v>388631.26079467312</v>
      </c>
      <c r="AE79" s="141" t="str">
        <f t="shared" si="18"/>
        <v>Sobreestimando la reserva</v>
      </c>
      <c r="AF79" s="43">
        <f>N79</f>
        <v>21826642.032924082</v>
      </c>
      <c r="AG79" s="39">
        <f>+G79</f>
        <v>25593031</v>
      </c>
      <c r="AH79" s="138">
        <f t="shared" si="28"/>
        <v>-3766388.9670759179</v>
      </c>
      <c r="AI79" s="43">
        <f>'2_CL'!O22-'2_Validacion_BT'!AG79</f>
        <v>-3375018.5921791419</v>
      </c>
      <c r="AJ79" s="140">
        <f t="shared" si="21"/>
        <v>391370.37489677593</v>
      </c>
      <c r="AK79" s="141" t="str">
        <f t="shared" si="19"/>
        <v>Sobreestimando la reserva</v>
      </c>
    </row>
    <row r="80" spans="1:37" x14ac:dyDescent="0.25">
      <c r="A80" s="35" t="s">
        <v>28</v>
      </c>
      <c r="B80" s="36">
        <f>'2_CL'!C23</f>
        <v>6691248</v>
      </c>
      <c r="C80" s="36">
        <f>'2_CL'!D23</f>
        <v>11756013</v>
      </c>
      <c r="D80" s="36">
        <f>'2_CL'!E23</f>
        <v>11113520</v>
      </c>
      <c r="E80" s="36">
        <f>'2_CL'!F23</f>
        <v>14458725</v>
      </c>
      <c r="F80" s="37">
        <f>'2_CL'!G23</f>
        <v>14275150</v>
      </c>
      <c r="G80" s="136">
        <f>Triangulo2!I129</f>
        <v>14354593.073899878</v>
      </c>
      <c r="H80" s="136">
        <f>Triangulo2!J129</f>
        <v>12402781.167541984</v>
      </c>
      <c r="I80" s="136">
        <f>Triangulo2!K129</f>
        <v>12036804.734843614</v>
      </c>
      <c r="J80" s="136">
        <f>Triangulo2!L129</f>
        <v>11521528.254948137</v>
      </c>
      <c r="K80" s="136">
        <f>Triangulo2!M129</f>
        <v>11193651.338659037</v>
      </c>
      <c r="L80" s="136">
        <f>Triangulo2!N129</f>
        <v>10757465.996110424</v>
      </c>
      <c r="M80" s="136">
        <f>Triangulo2!O129</f>
        <v>10684572.258248758</v>
      </c>
      <c r="N80" s="50">
        <f>M80*M87</f>
        <v>10635289.190123027</v>
      </c>
      <c r="O80" s="50">
        <f t="shared" ref="O80:Y80" si="32">N80*N87</f>
        <v>10614227.23460486</v>
      </c>
      <c r="P80" s="50">
        <f t="shared" si="32"/>
        <v>10604151.200392859</v>
      </c>
      <c r="Q80" s="50">
        <f t="shared" si="32"/>
        <v>10600318.457799632</v>
      </c>
      <c r="R80" s="50">
        <f t="shared" si="32"/>
        <v>10599667.517118594</v>
      </c>
      <c r="S80" s="50">
        <f t="shared" si="32"/>
        <v>10598573.741791729</v>
      </c>
      <c r="T80" s="50">
        <f t="shared" si="32"/>
        <v>10597393.690479606</v>
      </c>
      <c r="U80" s="50">
        <f t="shared" si="32"/>
        <v>10597069.462836491</v>
      </c>
      <c r="V80" s="50">
        <f t="shared" si="32"/>
        <v>10596973.925180132</v>
      </c>
      <c r="W80" s="50">
        <f t="shared" si="32"/>
        <v>10596984.297299897</v>
      </c>
      <c r="X80" s="50">
        <f t="shared" si="32"/>
        <v>10596995.914030792</v>
      </c>
      <c r="Y80" s="50">
        <f t="shared" si="32"/>
        <v>10596997.736534311</v>
      </c>
      <c r="Z80" s="43">
        <f t="shared" si="26"/>
        <v>10596997.736534311</v>
      </c>
      <c r="AA80" s="39">
        <f>+F80</f>
        <v>14275150</v>
      </c>
      <c r="AB80" s="138">
        <f t="shared" si="14"/>
        <v>-3678152.2634656895</v>
      </c>
      <c r="AC80" s="140">
        <f>'2_CL'!AC23</f>
        <v>-2281110.0632403623</v>
      </c>
      <c r="AD80" s="140">
        <f t="shared" si="17"/>
        <v>1397042.2002253272</v>
      </c>
      <c r="AE80" s="141" t="str">
        <f t="shared" si="18"/>
        <v>Sobreestimando la reserva</v>
      </c>
      <c r="AF80" s="43">
        <f>M80</f>
        <v>10684572.258248758</v>
      </c>
      <c r="AG80" s="39">
        <f>+F80</f>
        <v>14275150</v>
      </c>
      <c r="AH80" s="138">
        <f t="shared" si="28"/>
        <v>-3590577.7417512424</v>
      </c>
      <c r="AI80" s="43">
        <f>'2_CL'!N23-'2_Validacion_BT'!AG80</f>
        <v>-2190194.5295859408</v>
      </c>
      <c r="AJ80" s="140">
        <f t="shared" si="21"/>
        <v>1400383.2121653017</v>
      </c>
      <c r="AK80" s="141" t="str">
        <f t="shared" si="19"/>
        <v>Sobreestimando la reserva</v>
      </c>
    </row>
    <row r="81" spans="1:37" x14ac:dyDescent="0.25">
      <c r="A81" s="41" t="s">
        <v>29</v>
      </c>
      <c r="B81" s="42">
        <f>'2_CL'!C24</f>
        <v>4191817</v>
      </c>
      <c r="C81" s="42">
        <f>'2_CL'!D24</f>
        <v>9775450</v>
      </c>
      <c r="D81" s="42">
        <f>'2_CL'!E24</f>
        <v>9803541</v>
      </c>
      <c r="E81" s="37">
        <f>'2_CL'!F24</f>
        <v>12735195</v>
      </c>
      <c r="F81" s="136">
        <f>Triangulo2!H130</f>
        <v>10961457.47058348</v>
      </c>
      <c r="G81" s="136">
        <f>Triangulo2!I130</f>
        <v>10971715.327517381</v>
      </c>
      <c r="H81" s="136">
        <f>Triangulo2!J130</f>
        <v>10837814.846004097</v>
      </c>
      <c r="I81" s="136">
        <f>Triangulo2!K130</f>
        <v>10574707.312378405</v>
      </c>
      <c r="J81" s="136">
        <f>Triangulo2!L130</f>
        <v>10301866.153651753</v>
      </c>
      <c r="K81" s="136">
        <f>Triangulo2!M130</f>
        <v>9777026.4520721342</v>
      </c>
      <c r="L81" s="136">
        <f>Triangulo2!N130</f>
        <v>9725705.387888914</v>
      </c>
      <c r="M81" s="50">
        <f>L81*L87</f>
        <v>9673557.4533433355</v>
      </c>
      <c r="N81" s="50">
        <f t="shared" ref="N81:Y81" si="33">M81*M87</f>
        <v>9628937.7362907194</v>
      </c>
      <c r="O81" s="50">
        <f t="shared" si="33"/>
        <v>9609868.7429926991</v>
      </c>
      <c r="P81" s="50">
        <f t="shared" si="33"/>
        <v>9600746.1414045636</v>
      </c>
      <c r="Q81" s="50">
        <f t="shared" si="33"/>
        <v>9597276.0674714837</v>
      </c>
      <c r="R81" s="50">
        <f t="shared" si="33"/>
        <v>9596686.7212698255</v>
      </c>
      <c r="S81" s="50">
        <f t="shared" si="33"/>
        <v>9595696.4431183245</v>
      </c>
      <c r="T81" s="50">
        <f t="shared" si="33"/>
        <v>9594628.0527429488</v>
      </c>
      <c r="U81" s="50">
        <f t="shared" si="33"/>
        <v>9594334.5047507752</v>
      </c>
      <c r="V81" s="50">
        <f t="shared" si="33"/>
        <v>9594248.007230293</v>
      </c>
      <c r="W81" s="50">
        <f t="shared" si="33"/>
        <v>9594257.3979006968</v>
      </c>
      <c r="X81" s="50">
        <f t="shared" si="33"/>
        <v>9594267.9154123962</v>
      </c>
      <c r="Y81" s="50">
        <f t="shared" si="33"/>
        <v>9594269.5654637106</v>
      </c>
      <c r="Z81" s="43">
        <f t="shared" si="26"/>
        <v>9594269.5654637106</v>
      </c>
      <c r="AA81" s="39">
        <f>+E81</f>
        <v>12735195</v>
      </c>
      <c r="AB81" s="138">
        <f t="shared" si="14"/>
        <v>-3140925.4345362894</v>
      </c>
      <c r="AC81" s="140">
        <f>'2_CL'!AC24</f>
        <v>-2481881.0143102854</v>
      </c>
      <c r="AD81" s="140">
        <f t="shared" si="17"/>
        <v>659044.42022600397</v>
      </c>
      <c r="AE81" s="141" t="str">
        <f t="shared" si="18"/>
        <v>Sobreestimando la reserva</v>
      </c>
      <c r="AF81" s="43">
        <f>L81</f>
        <v>9725705.387888914</v>
      </c>
      <c r="AG81" s="39">
        <f>+E81</f>
        <v>12735195</v>
      </c>
      <c r="AH81" s="138">
        <f t="shared" si="28"/>
        <v>-3009489.612111086</v>
      </c>
      <c r="AI81" s="43">
        <f>'2_CL'!M24-'2_Validacion_BT'!AG81</f>
        <v>-2322145.086599309</v>
      </c>
      <c r="AJ81" s="140">
        <f t="shared" si="21"/>
        <v>687344.52551177703</v>
      </c>
      <c r="AK81" s="141" t="str">
        <f t="shared" si="19"/>
        <v>Sobreestimando la reserva</v>
      </c>
    </row>
    <row r="82" spans="1:37" x14ac:dyDescent="0.25">
      <c r="A82" s="35" t="s">
        <v>30</v>
      </c>
      <c r="B82" s="36">
        <f>'2_CL'!C25</f>
        <v>5916671</v>
      </c>
      <c r="C82" s="36">
        <f>'2_CL'!D25</f>
        <v>11716355</v>
      </c>
      <c r="D82" s="37">
        <f>'2_CL'!E25</f>
        <v>11277873</v>
      </c>
      <c r="E82" s="136">
        <f>Triangulo2!G131</f>
        <v>15722486.162974082</v>
      </c>
      <c r="F82" s="136">
        <f>Triangulo2!H131</f>
        <v>13206996.684580598</v>
      </c>
      <c r="G82" s="136">
        <f>Triangulo2!I131</f>
        <v>13438643.582781073</v>
      </c>
      <c r="H82" s="136">
        <f>Triangulo2!J131</f>
        <v>12823617.884306055</v>
      </c>
      <c r="I82" s="136">
        <f>Triangulo2!K131</f>
        <v>12445223.565790841</v>
      </c>
      <c r="J82" s="136">
        <f>Triangulo2!L131</f>
        <v>11992843.644415259</v>
      </c>
      <c r="K82" s="136">
        <f>Triangulo2!M131</f>
        <v>11381855.267596291</v>
      </c>
      <c r="L82" s="50">
        <f>K82*K87</f>
        <v>11128388.272393527</v>
      </c>
      <c r="M82" s="50">
        <f t="shared" ref="M82:Y82" si="34">L82*L87</f>
        <v>11068719.339387473</v>
      </c>
      <c r="N82" s="50">
        <f t="shared" si="34"/>
        <v>11017664.375643231</v>
      </c>
      <c r="O82" s="50">
        <f t="shared" si="34"/>
        <v>10995845.17046267</v>
      </c>
      <c r="P82" s="50">
        <f t="shared" si="34"/>
        <v>10985406.868203016</v>
      </c>
      <c r="Q82" s="50">
        <f t="shared" si="34"/>
        <v>10981436.3253456</v>
      </c>
      <c r="R82" s="50">
        <f t="shared" si="34"/>
        <v>10980761.981110673</v>
      </c>
      <c r="S82" s="50">
        <f t="shared" si="34"/>
        <v>10979628.880802978</v>
      </c>
      <c r="T82" s="50">
        <f t="shared" si="34"/>
        <v>10978406.40259194</v>
      </c>
      <c r="U82" s="50">
        <f t="shared" si="34"/>
        <v>10978070.517851122</v>
      </c>
      <c r="V82" s="50">
        <f t="shared" si="34"/>
        <v>10977971.545287782</v>
      </c>
      <c r="W82" s="50">
        <f t="shared" si="34"/>
        <v>10977982.29032089</v>
      </c>
      <c r="X82" s="50">
        <f t="shared" si="34"/>
        <v>10977994.324713172</v>
      </c>
      <c r="Y82" s="50">
        <f t="shared" si="34"/>
        <v>10977996.212741954</v>
      </c>
      <c r="Z82" s="43">
        <f t="shared" si="26"/>
        <v>10977996.212741954</v>
      </c>
      <c r="AA82" s="39">
        <f>+D82</f>
        <v>11277873</v>
      </c>
      <c r="AB82" s="138">
        <f t="shared" si="14"/>
        <v>-299876.78725804575</v>
      </c>
      <c r="AC82" s="140">
        <f>'2_CL'!AC25</f>
        <v>-1394804.8884851448</v>
      </c>
      <c r="AD82" s="140">
        <f t="shared" si="17"/>
        <v>-1094928.1012270991</v>
      </c>
      <c r="AE82" s="141" t="str">
        <f t="shared" si="18"/>
        <v>Subestimando la reserva</v>
      </c>
      <c r="AF82" s="43">
        <f>K82</f>
        <v>11381855.267596291</v>
      </c>
      <c r="AG82" s="39">
        <f>+D82</f>
        <v>11277873</v>
      </c>
      <c r="AH82" s="138">
        <f t="shared" si="28"/>
        <v>103982.26759629138</v>
      </c>
      <c r="AI82" s="43">
        <f>'2_CL'!L25-'2_Validacion_BT'!AG82</f>
        <v>-1062015.7490467764</v>
      </c>
      <c r="AJ82" s="140">
        <f t="shared" si="21"/>
        <v>-1165998.0166430678</v>
      </c>
      <c r="AK82" s="141" t="str">
        <f t="shared" si="19"/>
        <v>Subestimando la reserva</v>
      </c>
    </row>
    <row r="83" spans="1:37" x14ac:dyDescent="0.25">
      <c r="A83" s="41" t="s">
        <v>31</v>
      </c>
      <c r="B83" s="42">
        <f>'2_CL'!C26</f>
        <v>4926500</v>
      </c>
      <c r="C83" s="37">
        <f>'2_CL'!D26</f>
        <v>9321834</v>
      </c>
      <c r="D83" s="136">
        <f>Triangulo2!F132</f>
        <v>8133738.8424170464</v>
      </c>
      <c r="E83" s="136">
        <f>Triangulo2!G132</f>
        <v>7763397.5761043355</v>
      </c>
      <c r="F83" s="136">
        <f>Triangulo2!H132</f>
        <v>7841326.762728286</v>
      </c>
      <c r="G83" s="136">
        <f>Triangulo2!I132</f>
        <v>7848664.7657557027</v>
      </c>
      <c r="H83" s="136">
        <f>Triangulo2!J132</f>
        <v>7386204.3868308086</v>
      </c>
      <c r="I83" s="136">
        <f>Triangulo2!K132</f>
        <v>7186645.1277760481</v>
      </c>
      <c r="J83" s="136">
        <f>Triangulo2!L132</f>
        <v>6833590.5297694504</v>
      </c>
      <c r="K83" s="50">
        <f>J83*J87</f>
        <v>6635553.8574834494</v>
      </c>
      <c r="L83" s="50">
        <f t="shared" ref="L83:Y83" si="35">K83*K87</f>
        <v>6487784.1083327346</v>
      </c>
      <c r="M83" s="50">
        <f t="shared" si="35"/>
        <v>6452997.4756378476</v>
      </c>
      <c r="N83" s="50">
        <f t="shared" si="35"/>
        <v>6423232.7357380819</v>
      </c>
      <c r="O83" s="50">
        <f t="shared" si="35"/>
        <v>6410512.2690216154</v>
      </c>
      <c r="P83" s="50">
        <f t="shared" si="35"/>
        <v>6404426.8009501826</v>
      </c>
      <c r="Q83" s="50">
        <f t="shared" si="35"/>
        <v>6402111.9981035115</v>
      </c>
      <c r="R83" s="50">
        <f t="shared" si="35"/>
        <v>6401718.8594293557</v>
      </c>
      <c r="S83" s="50">
        <f t="shared" si="35"/>
        <v>6401058.2686960464</v>
      </c>
      <c r="T83" s="50">
        <f t="shared" si="35"/>
        <v>6400345.5711772125</v>
      </c>
      <c r="U83" s="50">
        <f t="shared" si="35"/>
        <v>6400149.7523730537</v>
      </c>
      <c r="V83" s="50">
        <f t="shared" si="35"/>
        <v>6400092.0519578746</v>
      </c>
      <c r="W83" s="50">
        <f t="shared" si="35"/>
        <v>6400098.3162482036</v>
      </c>
      <c r="X83" s="50">
        <f t="shared" si="35"/>
        <v>6400105.3322272552</v>
      </c>
      <c r="Y83" s="50">
        <f t="shared" si="35"/>
        <v>6400106.4329367941</v>
      </c>
      <c r="Z83" s="43">
        <f t="shared" si="26"/>
        <v>6400106.4329367941</v>
      </c>
      <c r="AA83" s="39">
        <f>+C83</f>
        <v>9321834</v>
      </c>
      <c r="AB83" s="138">
        <f t="shared" si="14"/>
        <v>-2921727.5670632059</v>
      </c>
      <c r="AC83" s="140">
        <f>'2_CL'!AC26</f>
        <v>-1632729.8086488377</v>
      </c>
      <c r="AD83" s="140">
        <f t="shared" si="17"/>
        <v>1288997.7584143681</v>
      </c>
      <c r="AE83" s="141" t="str">
        <f t="shared" si="18"/>
        <v>Sobreestimando la reserva</v>
      </c>
      <c r="AF83" s="43">
        <f>J83</f>
        <v>6833590.5297694504</v>
      </c>
      <c r="AG83" s="39">
        <f>+C83</f>
        <v>9321834</v>
      </c>
      <c r="AH83" s="138">
        <f t="shared" si="28"/>
        <v>-2488243.4702305496</v>
      </c>
      <c r="AI83" s="43">
        <f>'2_CL'!K26-'2_Validacion_BT'!AG83</f>
        <v>-1192072.0774703342</v>
      </c>
      <c r="AJ83" s="140">
        <f t="shared" si="21"/>
        <v>1296171.3927602153</v>
      </c>
      <c r="AK83" s="141" t="str">
        <f t="shared" si="19"/>
        <v>Sobreestimando la reserva</v>
      </c>
    </row>
    <row r="84" spans="1:37" x14ac:dyDescent="0.25">
      <c r="A84" s="35" t="s">
        <v>32</v>
      </c>
      <c r="B84" s="49">
        <f>'2_CL'!C27</f>
        <v>5149958</v>
      </c>
      <c r="C84" s="136">
        <f>Triangulo2!E133</f>
        <v>7430194.0627911901</v>
      </c>
      <c r="D84" s="136">
        <f>Triangulo2!F133</f>
        <v>6483193.9782687854</v>
      </c>
      <c r="E84" s="136">
        <f>Triangulo2!G133</f>
        <v>5919311.0521294549</v>
      </c>
      <c r="F84" s="136">
        <f>Triangulo2!H133</f>
        <v>5659337.7573409975</v>
      </c>
      <c r="G84" s="136">
        <f>Triangulo2!I133</f>
        <v>5168575.1068367027</v>
      </c>
      <c r="H84" s="136">
        <f>Triangulo2!J133</f>
        <v>5065483.4314163839</v>
      </c>
      <c r="I84" s="136">
        <f>Triangulo2!K133</f>
        <v>4909309.1307235686</v>
      </c>
      <c r="J84" s="50">
        <f>I84*I87</f>
        <v>4778675.9414458508</v>
      </c>
      <c r="K84" s="50">
        <f>J84*J87</f>
        <v>4640190.4589964012</v>
      </c>
      <c r="L84" s="50">
        <f t="shared" ref="L84:Y84" si="36">K84*K87</f>
        <v>4536856.2392968442</v>
      </c>
      <c r="M84" s="50">
        <f t="shared" si="36"/>
        <v>4512530.221514714</v>
      </c>
      <c r="N84" s="50">
        <f t="shared" si="36"/>
        <v>4491715.9737422178</v>
      </c>
      <c r="O84" s="50">
        <f t="shared" si="36"/>
        <v>4482820.65173</v>
      </c>
      <c r="P84" s="50">
        <f t="shared" si="36"/>
        <v>4478565.131921093</v>
      </c>
      <c r="Q84" s="50">
        <f t="shared" si="36"/>
        <v>4476946.4085538695</v>
      </c>
      <c r="R84" s="50">
        <f t="shared" si="36"/>
        <v>4476671.4897808386</v>
      </c>
      <c r="S84" s="50">
        <f t="shared" si="36"/>
        <v>4476209.5438929992</v>
      </c>
      <c r="T84" s="50">
        <f t="shared" si="36"/>
        <v>4475711.160141157</v>
      </c>
      <c r="U84" s="50">
        <f t="shared" si="36"/>
        <v>4475574.2255963897</v>
      </c>
      <c r="V84" s="50">
        <f t="shared" si="36"/>
        <v>4475533.8761513028</v>
      </c>
      <c r="W84" s="50">
        <f t="shared" si="36"/>
        <v>4475538.2567201061</v>
      </c>
      <c r="X84" s="50">
        <f t="shared" si="36"/>
        <v>4475543.1629389022</v>
      </c>
      <c r="Y84" s="50">
        <f t="shared" si="36"/>
        <v>4475543.932656398</v>
      </c>
      <c r="Z84" s="43">
        <f t="shared" si="26"/>
        <v>4475543.932656398</v>
      </c>
      <c r="AA84" s="39">
        <f>+B84</f>
        <v>5149958</v>
      </c>
      <c r="AB84" s="138">
        <f>Z84-AA84</f>
        <v>-674414.06734360196</v>
      </c>
      <c r="AC84" s="140">
        <f>'2_CL'!AC27</f>
        <v>1795972.3118921947</v>
      </c>
      <c r="AD84" s="140">
        <f t="shared" si="17"/>
        <v>2470386.3792357966</v>
      </c>
      <c r="AE84" s="141" t="str">
        <f t="shared" si="18"/>
        <v>Sobreestimando la reserva</v>
      </c>
      <c r="AF84" s="43">
        <f>I84</f>
        <v>4909309.1307235686</v>
      </c>
      <c r="AG84" s="39">
        <f>+B84</f>
        <v>5149958</v>
      </c>
      <c r="AH84" s="138">
        <f>AF84-AG84</f>
        <v>-240648.86927643139</v>
      </c>
      <c r="AI84" s="43">
        <f>'2_CL'!J27-'2_Validacion_BT'!AG84</f>
        <v>2370925.3477299884</v>
      </c>
      <c r="AJ84" s="140">
        <f t="shared" si="21"/>
        <v>2611574.2170064198</v>
      </c>
      <c r="AK84" s="141" t="str">
        <f t="shared" si="19"/>
        <v>Sobreestimando la reserva</v>
      </c>
    </row>
    <row r="85" spans="1:37" ht="15" customHeight="1" x14ac:dyDescent="0.25">
      <c r="A85" s="44" t="s">
        <v>235</v>
      </c>
      <c r="B85" s="53"/>
      <c r="C85" s="53"/>
      <c r="D85" s="53"/>
      <c r="E85" s="53"/>
      <c r="F85" s="53"/>
      <c r="G85" s="53"/>
      <c r="H85" s="53"/>
      <c r="I85" s="53">
        <f>SUM(J61:J83)</f>
        <v>178555918.68623745</v>
      </c>
      <c r="J85" s="53">
        <f>SUM(K61:K82)</f>
        <v>166745834.71906286</v>
      </c>
      <c r="K85" s="53">
        <f>SUM(L61:L81)</f>
        <v>151904118.11001903</v>
      </c>
      <c r="L85" s="53">
        <f>SUM(M61:M80)</f>
        <v>141416071.04461432</v>
      </c>
      <c r="M85" s="53">
        <f>SUM(N61:N79)</f>
        <v>130128493.8924735</v>
      </c>
      <c r="N85" s="53">
        <f>SUM(O61:O78)</f>
        <v>108087372.61543827</v>
      </c>
      <c r="O85" s="53">
        <f>SUM(P61:P77)</f>
        <v>98349270.338268816</v>
      </c>
      <c r="P85" s="53">
        <f>SUM(Q61:Q76)</f>
        <v>86814505.145672828</v>
      </c>
      <c r="Q85" s="53">
        <f>SUM(R61:R75)</f>
        <v>75110915.167191967</v>
      </c>
      <c r="R85" s="53">
        <f>SUM(S61:S74)</f>
        <v>72671295.005326837</v>
      </c>
      <c r="S85" s="53">
        <f>SUM(T61:T73)</f>
        <v>67581983.771776602</v>
      </c>
      <c r="T85" s="53">
        <f>SUM(U61:U72)</f>
        <v>61760030.990727246</v>
      </c>
      <c r="U85" s="53">
        <f>SUM(V61:V71)</f>
        <v>54519554.040638894</v>
      </c>
      <c r="V85" s="53">
        <f>SUM(W61:W70)</f>
        <v>50237770.361906707</v>
      </c>
      <c r="W85" s="53">
        <f>SUM(X61:X69)</f>
        <v>45886509.459867924</v>
      </c>
      <c r="X85" s="53">
        <f>SUM(Y61:Y68)</f>
        <v>39848942.557017617</v>
      </c>
      <c r="Y85" s="53"/>
      <c r="Z85" s="43"/>
      <c r="AA85" s="39"/>
      <c r="AB85" s="38"/>
    </row>
    <row r="86" spans="1:37" ht="15" customHeight="1" x14ac:dyDescent="0.25">
      <c r="A86" s="46" t="s">
        <v>236</v>
      </c>
      <c r="B86" s="51"/>
      <c r="C86" s="51"/>
      <c r="D86" s="51"/>
      <c r="E86" s="51"/>
      <c r="F86" s="51"/>
      <c r="G86" s="51"/>
      <c r="H86" s="51"/>
      <c r="I86" s="51">
        <f>SUM(I61:I83)</f>
        <v>183437046.72425601</v>
      </c>
      <c r="J86" s="51">
        <f>SUM(J61:J82)</f>
        <v>171722328.156468</v>
      </c>
      <c r="K86" s="51">
        <f>SUM(K61:K81)</f>
        <v>155363979.45146656</v>
      </c>
      <c r="L86" s="51">
        <f>SUM(L61:L80)</f>
        <v>142178412.72213012</v>
      </c>
      <c r="M86" s="51">
        <f>SUM(M61:M79)</f>
        <v>130731498.78636555</v>
      </c>
      <c r="N86" s="51">
        <f>SUM(N61:N78)</f>
        <v>108301851.85954942</v>
      </c>
      <c r="O86" s="51">
        <f>SUM(O61:O77)</f>
        <v>98442721.534307688</v>
      </c>
      <c r="P86" s="51">
        <f>SUM(P61:P76)</f>
        <v>86845894.547123954</v>
      </c>
      <c r="Q86" s="51">
        <f>SUM(Q61:Q75)</f>
        <v>75115527.835484952</v>
      </c>
      <c r="R86" s="51">
        <f>SUM(R61:R74)</f>
        <v>72678794.700227737</v>
      </c>
      <c r="S86" s="51">
        <f>SUM(S61:S73)</f>
        <v>67589509.226709679</v>
      </c>
      <c r="T86" s="51">
        <f>SUM(T61:T72)</f>
        <v>61761920.598921016</v>
      </c>
      <c r="U86" s="51">
        <f>SUM(U61:U71)</f>
        <v>54520045.56496042</v>
      </c>
      <c r="V86" s="51">
        <f>SUM(V61:V70)</f>
        <v>50237721.190165356</v>
      </c>
      <c r="W86" s="51">
        <f>SUM(W61:W69)</f>
        <v>45886459.157760002</v>
      </c>
      <c r="X86" s="51">
        <f>SUM(X61:X68)</f>
        <v>39848935.703676715</v>
      </c>
      <c r="Y86" s="51"/>
      <c r="Z86" s="43"/>
      <c r="AA86" s="39"/>
      <c r="AB86" s="38"/>
    </row>
    <row r="87" spans="1:37" ht="15" customHeight="1" x14ac:dyDescent="0.25">
      <c r="A87" s="46" t="s">
        <v>237</v>
      </c>
      <c r="B87" s="52"/>
      <c r="C87" s="52"/>
      <c r="D87" s="52"/>
      <c r="E87" s="52"/>
      <c r="F87" s="52"/>
      <c r="G87" s="52"/>
      <c r="H87" s="52"/>
      <c r="I87" s="52">
        <f t="shared" ref="I87:X87" si="37">I85/I86</f>
        <v>0.97339071836805191</v>
      </c>
      <c r="J87" s="52">
        <f>J85/J86</f>
        <v>0.97102011432741164</v>
      </c>
      <c r="K87" s="52">
        <f t="shared" si="37"/>
        <v>0.97773060812639434</v>
      </c>
      <c r="L87" s="52">
        <f t="shared" si="37"/>
        <v>0.99463813343446372</v>
      </c>
      <c r="M87" s="52">
        <f t="shared" si="37"/>
        <v>0.99538745520788796</v>
      </c>
      <c r="N87" s="52">
        <f t="shared" si="37"/>
        <v>0.99801961609678391</v>
      </c>
      <c r="O87" s="52">
        <f t="shared" si="37"/>
        <v>0.99905070487099135</v>
      </c>
      <c r="P87" s="52">
        <f t="shared" si="37"/>
        <v>0.99963856205736823</v>
      </c>
      <c r="Q87" s="52">
        <f t="shared" si="37"/>
        <v>0.99993859234667049</v>
      </c>
      <c r="R87" s="52">
        <f t="shared" si="37"/>
        <v>0.9998968104117324</v>
      </c>
      <c r="S87" s="52">
        <f t="shared" si="37"/>
        <v>0.99988865942334582</v>
      </c>
      <c r="T87" s="52">
        <f t="shared" si="37"/>
        <v>0.99996940496384434</v>
      </c>
      <c r="U87" s="52">
        <f t="shared" si="37"/>
        <v>0.99999098452107971</v>
      </c>
      <c r="V87" s="52">
        <f t="shared" si="37"/>
        <v>1.000000978781286</v>
      </c>
      <c r="W87" s="52">
        <f t="shared" si="37"/>
        <v>1.0000010962298866</v>
      </c>
      <c r="X87" s="52">
        <f t="shared" si="37"/>
        <v>1.0000001719830349</v>
      </c>
      <c r="Y87" s="52">
        <v>1</v>
      </c>
      <c r="Z87" s="43"/>
      <c r="AA87" s="39"/>
      <c r="AB87" s="38"/>
    </row>
    <row r="88" spans="1:37" x14ac:dyDescent="0.25">
      <c r="A88" s="46" t="s">
        <v>238</v>
      </c>
      <c r="B88" s="52">
        <f>'2_CL'!C30</f>
        <v>1.6351302518604958</v>
      </c>
      <c r="C88" s="52">
        <f>'2_CL'!D30</f>
        <v>0.94126040969735247</v>
      </c>
      <c r="D88" s="52">
        <f>'2_CL'!E30</f>
        <v>1.0884436024047071</v>
      </c>
      <c r="E88" s="52">
        <f>'2_CL'!F30</f>
        <v>0.95823901102488696</v>
      </c>
      <c r="F88" s="52">
        <f>'2_CL'!G30</f>
        <v>0.97139056841461313</v>
      </c>
      <c r="G88" s="52">
        <f>'2_CL'!H30</f>
        <v>0.96236031952057677</v>
      </c>
      <c r="H88" s="52">
        <f>'2_CL'!I30</f>
        <v>0.97317658467587143</v>
      </c>
      <c r="I88" s="52">
        <f>'2_CL'!J30</f>
        <v>0.9764806705972261</v>
      </c>
      <c r="J88" s="52">
        <f>'2_CL'!K30</f>
        <v>0.9776444645146497</v>
      </c>
      <c r="K88" s="52">
        <f>'2_CL'!L30</f>
        <v>0.98249571704777516</v>
      </c>
      <c r="L88" s="52">
        <f>'2_CL'!M30</f>
        <v>0.99212380612525675</v>
      </c>
      <c r="M88" s="52">
        <f>'2_CL'!N30</f>
        <v>0.99612305212812824</v>
      </c>
      <c r="N88" s="52">
        <f>'2_CL'!O30</f>
        <v>0.99794679663300012</v>
      </c>
      <c r="O88" s="52">
        <f>'2_CL'!P30</f>
        <v>0.99915402740966297</v>
      </c>
      <c r="P88" s="52">
        <f>'2_CL'!Q30</f>
        <v>0.99958986540494543</v>
      </c>
      <c r="Q88" s="52">
        <f>'2_CL'!R30</f>
        <v>0.99989172901216694</v>
      </c>
      <c r="R88" s="52">
        <f>'2_CL'!S30</f>
        <v>0.99988394267182157</v>
      </c>
      <c r="S88" s="52">
        <f>'2_CL'!T30</f>
        <v>0.99990203299307101</v>
      </c>
      <c r="T88" s="52">
        <f>'2_CL'!U30</f>
        <v>0.99997058234779768</v>
      </c>
      <c r="U88" s="52">
        <f>'2_CL'!V30</f>
        <v>0.99999410204605965</v>
      </c>
      <c r="V88" s="52">
        <f>'2_CL'!W30</f>
        <v>1.0000012418179718</v>
      </c>
      <c r="W88" s="52">
        <f>'2_CL'!X30</f>
        <v>1.000001086139084</v>
      </c>
      <c r="X88" s="52">
        <f>'2_CL'!Y30</f>
        <v>1.0000001719830349</v>
      </c>
      <c r="Y88" s="52">
        <f>'2_CL'!Z30</f>
        <v>1</v>
      </c>
    </row>
    <row r="89" spans="1:37" x14ac:dyDescent="0.25">
      <c r="A89" s="46" t="s">
        <v>214</v>
      </c>
      <c r="B89" s="137"/>
      <c r="C89" s="137"/>
      <c r="D89" s="137"/>
      <c r="E89" s="137"/>
      <c r="F89" s="137"/>
      <c r="G89" s="137"/>
      <c r="H89" s="137"/>
      <c r="I89" s="137" t="str">
        <f>IF(ABS(I87-I88)&lt;0.001,"NO","SÍ")</f>
        <v>SÍ</v>
      </c>
      <c r="J89" s="137" t="str">
        <f t="shared" ref="J89:Y89" si="38">IF(ABS(J87-J88)&lt;0.001,"NO","SÍ")</f>
        <v>SÍ</v>
      </c>
      <c r="K89" s="137" t="str">
        <f t="shared" si="38"/>
        <v>SÍ</v>
      </c>
      <c r="L89" s="137" t="str">
        <f t="shared" si="38"/>
        <v>SÍ</v>
      </c>
      <c r="M89" s="137" t="str">
        <f>IF(ABS(M87-M88)&lt;0.001,"NO","SÍ")</f>
        <v>NO</v>
      </c>
      <c r="N89" s="137" t="str">
        <f t="shared" si="38"/>
        <v>NO</v>
      </c>
      <c r="O89" s="137" t="str">
        <f t="shared" si="38"/>
        <v>NO</v>
      </c>
      <c r="P89" s="137" t="str">
        <f t="shared" si="38"/>
        <v>NO</v>
      </c>
      <c r="Q89" s="137" t="str">
        <f t="shared" si="38"/>
        <v>NO</v>
      </c>
      <c r="R89" s="137" t="str">
        <f t="shared" si="38"/>
        <v>NO</v>
      </c>
      <c r="S89" s="137" t="str">
        <f t="shared" si="38"/>
        <v>NO</v>
      </c>
      <c r="T89" s="137" t="str">
        <f t="shared" si="38"/>
        <v>NO</v>
      </c>
      <c r="U89" s="137" t="str">
        <f t="shared" si="38"/>
        <v>NO</v>
      </c>
      <c r="V89" s="137" t="str">
        <f t="shared" si="38"/>
        <v>NO</v>
      </c>
      <c r="W89" s="137" t="str">
        <f t="shared" si="38"/>
        <v>NO</v>
      </c>
      <c r="X89" s="137" t="str">
        <f t="shared" si="38"/>
        <v>NO</v>
      </c>
      <c r="Y89" s="137" t="str">
        <f t="shared" si="38"/>
        <v>NO</v>
      </c>
    </row>
  </sheetData>
  <mergeCells count="7">
    <mergeCell ref="AF58:AK59"/>
    <mergeCell ref="A1:AA1"/>
    <mergeCell ref="A3:Z3"/>
    <mergeCell ref="A31:Y31"/>
    <mergeCell ref="A56:Z56"/>
    <mergeCell ref="A58:Y59"/>
    <mergeCell ref="Z58:AE59"/>
  </mergeCells>
  <conditionalFormatting sqref="B89:Y89">
    <cfRule type="iconSet" priority="1">
      <iconSet showValue="0" reverse="1">
        <cfvo type="percent" val="0"/>
        <cfvo type="num" val="0" gte="0"/>
        <cfvo type="num" val="1"/>
      </iconSet>
    </cfRule>
  </conditionalFormatting>
  <conditionalFormatting sqref="Z5:Z26">
    <cfRule type="iconSet" priority="2">
      <iconSet iconSet="3Symbols2">
        <cfvo type="percent" val="0"/>
        <cfvo type="percent" val="FALSE"/>
        <cfvo type="formula" val="TRUE"/>
      </iconSet>
    </cfRule>
  </conditionalFormatting>
  <conditionalFormatting sqref="AC5:AC26">
    <cfRule type="colorScale" priority="9">
      <colorScale>
        <cfvo type="min"/>
        <cfvo type="max"/>
        <color rgb="FF63BE7B"/>
        <color rgb="FFFCFCFF"/>
      </colorScale>
    </cfRule>
  </conditionalFormatting>
  <conditionalFormatting sqref="AD5:AD26">
    <cfRule type="colorScale" priority="8">
      <colorScale>
        <cfvo type="min"/>
        <cfvo type="max"/>
        <color rgb="FF63BE7B"/>
        <color rgb="FFFCFCFF"/>
      </colorScale>
    </cfRule>
  </conditionalFormatting>
  <conditionalFormatting sqref="AE5:AE26">
    <cfRule type="colorScale" priority="7">
      <colorScale>
        <cfvo type="min"/>
        <cfvo type="max"/>
        <color rgb="FF63BE7B"/>
        <color rgb="FFFCFCFF"/>
      </colorScale>
    </cfRule>
  </conditionalFormatting>
  <conditionalFormatting sqref="AF5:AF26">
    <cfRule type="colorScale" priority="6">
      <colorScale>
        <cfvo type="min"/>
        <cfvo type="max"/>
        <color rgb="FF63BE7B"/>
        <color rgb="FFFCFCFF"/>
      </colorScale>
    </cfRule>
  </conditionalFormatting>
  <conditionalFormatting sqref="AG5:AG26">
    <cfRule type="colorScale" priority="5">
      <colorScale>
        <cfvo type="min"/>
        <cfvo type="max"/>
        <color rgb="FF63BE7B"/>
        <color rgb="FFFCFCFF"/>
      </colorScale>
    </cfRule>
  </conditionalFormatting>
  <conditionalFormatting sqref="AH5:AH26">
    <cfRule type="colorScale" priority="4">
      <colorScale>
        <cfvo type="min"/>
        <cfvo type="max"/>
        <color rgb="FF63BE7B"/>
        <color rgb="FFFCFCFF"/>
      </colorScale>
    </cfRule>
  </conditionalFormatting>
  <conditionalFormatting sqref="AI5:AX20">
    <cfRule type="colorScale" priority="3">
      <colorScale>
        <cfvo type="min"/>
        <cfvo type="max"/>
        <color rgb="FF63BE7B"/>
        <color rgb="FFFCFCFF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Nombre Equipo</vt:lpstr>
      <vt:lpstr>Triangulo1</vt:lpstr>
      <vt:lpstr>1_CL</vt:lpstr>
      <vt:lpstr>1_BF</vt:lpstr>
      <vt:lpstr>1_CC</vt:lpstr>
      <vt:lpstr>1_Duration</vt:lpstr>
      <vt:lpstr>1_Validacion_BT</vt:lpstr>
      <vt:lpstr>Triangulo2</vt:lpstr>
      <vt:lpstr>2_CL</vt:lpstr>
      <vt:lpstr>2_BF</vt:lpstr>
      <vt:lpstr>2_CC</vt:lpstr>
      <vt:lpstr>2_Duration</vt:lpstr>
      <vt:lpstr>2_Validacion_BT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Eugenia Medina Diaz</dc:creator>
  <cp:lastModifiedBy>Alejandro Favila Limon</cp:lastModifiedBy>
  <dcterms:created xsi:type="dcterms:W3CDTF">2026-09-04T01:46:11Z</dcterms:created>
  <dcterms:modified xsi:type="dcterms:W3CDTF">2026-09-09T19:13:20Z</dcterms:modified>
</cp:coreProperties>
</file>