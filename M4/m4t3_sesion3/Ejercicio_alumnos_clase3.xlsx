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derec\Desktop\Diplomado\diplomado-ml-Dereck\Modulo4\m4t3_sesion3\"/>
    </mc:Choice>
  </mc:AlternateContent>
  <xr:revisionPtr revIDLastSave="0" documentId="13_ncr:1_{BE45C7C4-A2AF-442D-A456-CD3539FBF9B6}" xr6:coauthVersionLast="47" xr6:coauthVersionMax="47" xr10:uidLastSave="{00000000-0000-0000-0000-000000000000}"/>
  <bookViews>
    <workbookView xWindow="-120" yWindow="-120" windowWidth="29040" windowHeight="15720" activeTab="2" xr2:uid="{EBE4BF15-7C9B-437D-9962-39D9A1B5233E}"/>
  </bookViews>
  <sheets>
    <sheet name="Nombre Equipo" sheetId="3" r:id="rId1"/>
    <sheet name="Triangulo1" sheetId="2" r:id="rId2"/>
    <sheet name="ChainLadder Tri1" sheetId="6" r:id="rId3"/>
    <sheet name="triangulo2 " sheetId="1" r:id="rId4"/>
    <sheet name="3_ChainLadder" sheetId="5" r:id="rId5"/>
  </sheets>
  <externalReferences>
    <externalReference r:id="rId6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I29" i="6" l="1"/>
  <c r="I28" i="6"/>
  <c r="I22" i="6"/>
  <c r="I23" i="6"/>
  <c r="H23" i="6"/>
  <c r="H24" i="6"/>
  <c r="I24" i="6" s="1"/>
  <c r="G24" i="6"/>
  <c r="G25" i="6"/>
  <c r="H25" i="6" s="1"/>
  <c r="I25" i="6" s="1"/>
  <c r="F25" i="6"/>
  <c r="F26" i="6"/>
  <c r="G26" i="6" s="1"/>
  <c r="H26" i="6" s="1"/>
  <c r="I26" i="6" s="1"/>
  <c r="E26" i="6"/>
  <c r="Y29" i="6"/>
  <c r="Y28" i="6"/>
  <c r="X29" i="6"/>
  <c r="X28" i="6"/>
  <c r="W29" i="6"/>
  <c r="W28" i="6"/>
  <c r="V29" i="6"/>
  <c r="V28" i="6"/>
  <c r="U29" i="6"/>
  <c r="U28" i="6"/>
  <c r="T29" i="6"/>
  <c r="T28" i="6"/>
  <c r="S28" i="6"/>
  <c r="S29" i="6"/>
  <c r="R29" i="6"/>
  <c r="R28" i="6"/>
  <c r="Q28" i="6"/>
  <c r="Q29" i="6"/>
  <c r="P29" i="6"/>
  <c r="P28" i="6"/>
  <c r="O28" i="6"/>
  <c r="O29" i="6"/>
  <c r="N29" i="6"/>
  <c r="M29" i="6"/>
  <c r="L29" i="6"/>
  <c r="K29" i="6"/>
  <c r="J29" i="6"/>
  <c r="H29" i="6"/>
  <c r="G29" i="6"/>
  <c r="F29" i="6"/>
  <c r="F28" i="6"/>
  <c r="E29" i="6"/>
  <c r="E28" i="6"/>
  <c r="D29" i="6"/>
  <c r="D28" i="6"/>
  <c r="C29" i="6"/>
  <c r="C28" i="6"/>
  <c r="K28" i="6"/>
  <c r="I30" i="6" l="1"/>
  <c r="J22" i="6" s="1"/>
  <c r="K22" i="6" s="1"/>
  <c r="L22" i="6" s="1"/>
  <c r="M22" i="6" s="1"/>
  <c r="N22" i="6" s="1"/>
  <c r="O22" i="6" s="1"/>
  <c r="P22" i="6" s="1"/>
  <c r="Q22" i="6" s="1"/>
  <c r="R22" i="6" s="1"/>
  <c r="S22" i="6" s="1"/>
  <c r="T22" i="6" s="1"/>
  <c r="U22" i="6" s="1"/>
  <c r="V22" i="6" s="1"/>
  <c r="W22" i="6" s="1"/>
  <c r="X22" i="6" s="1"/>
  <c r="Y22" i="6" s="1"/>
  <c r="Z22" i="6" s="1"/>
  <c r="J24" i="6"/>
  <c r="K24" i="6" s="1"/>
  <c r="L24" i="6" s="1"/>
  <c r="M24" i="6" s="1"/>
  <c r="N24" i="6" s="1"/>
  <c r="O24" i="6" s="1"/>
  <c r="P24" i="6" s="1"/>
  <c r="Q24" i="6" s="1"/>
  <c r="R24" i="6" s="1"/>
  <c r="S24" i="6" s="1"/>
  <c r="T24" i="6" s="1"/>
  <c r="U24" i="6" s="1"/>
  <c r="V24" i="6" s="1"/>
  <c r="W24" i="6" s="1"/>
  <c r="X24" i="6" s="1"/>
  <c r="Y24" i="6" s="1"/>
  <c r="Z24" i="6" s="1"/>
  <c r="J25" i="6"/>
  <c r="K25" i="6" s="1"/>
  <c r="L25" i="6" s="1"/>
  <c r="M25" i="6" s="1"/>
  <c r="N25" i="6" s="1"/>
  <c r="O25" i="6" s="1"/>
  <c r="P25" i="6" s="1"/>
  <c r="Q25" i="6" s="1"/>
  <c r="R25" i="6" s="1"/>
  <c r="S25" i="6" s="1"/>
  <c r="T25" i="6" s="1"/>
  <c r="U25" i="6" s="1"/>
  <c r="V25" i="6" s="1"/>
  <c r="W25" i="6" s="1"/>
  <c r="X25" i="6" s="1"/>
  <c r="Y25" i="6" s="1"/>
  <c r="Z25" i="6" s="1"/>
  <c r="J23" i="6"/>
  <c r="K23" i="6" s="1"/>
  <c r="L23" i="6" s="1"/>
  <c r="M23" i="6" s="1"/>
  <c r="N23" i="6" s="1"/>
  <c r="O23" i="6" s="1"/>
  <c r="P23" i="6" s="1"/>
  <c r="Q23" i="6" s="1"/>
  <c r="R23" i="6" s="1"/>
  <c r="S23" i="6" s="1"/>
  <c r="T23" i="6" s="1"/>
  <c r="U23" i="6" s="1"/>
  <c r="V23" i="6" s="1"/>
  <c r="W23" i="6" s="1"/>
  <c r="X23" i="6" s="1"/>
  <c r="Y23" i="6" s="1"/>
  <c r="Z23" i="6" s="1"/>
  <c r="J26" i="6"/>
  <c r="K26" i="6" s="1"/>
  <c r="L26" i="6" s="1"/>
  <c r="M26" i="6" s="1"/>
  <c r="N26" i="6" s="1"/>
  <c r="O26" i="6" s="1"/>
  <c r="P26" i="6" s="1"/>
  <c r="Q26" i="6" s="1"/>
  <c r="R26" i="6" s="1"/>
  <c r="S26" i="6" s="1"/>
  <c r="T26" i="6" s="1"/>
  <c r="U26" i="6" s="1"/>
  <c r="V26" i="6" s="1"/>
  <c r="W26" i="6" s="1"/>
  <c r="X26" i="6" s="1"/>
  <c r="Y26" i="6" s="1"/>
  <c r="Z26" i="6" s="1"/>
  <c r="D30" i="6" l="1"/>
  <c r="E30" i="6"/>
  <c r="F30" i="6"/>
  <c r="J30" i="6"/>
  <c r="K30" i="6"/>
  <c r="L30" i="6"/>
  <c r="O30" i="6"/>
  <c r="P30" i="6"/>
  <c r="Q30" i="6"/>
  <c r="R30" i="6"/>
  <c r="S30" i="6"/>
  <c r="T30" i="6"/>
  <c r="U30" i="6"/>
  <c r="V30" i="6"/>
  <c r="W30" i="6"/>
  <c r="X30" i="6"/>
  <c r="Y30" i="6"/>
  <c r="C30" i="6"/>
  <c r="D27" i="6" s="1"/>
  <c r="E27" i="6" s="1"/>
  <c r="N28" i="6"/>
  <c r="N30" i="6" s="1"/>
  <c r="M28" i="6"/>
  <c r="M30" i="6" s="1"/>
  <c r="L28" i="6"/>
  <c r="J28" i="6"/>
  <c r="H28" i="6"/>
  <c r="H30" i="6" s="1"/>
  <c r="G28" i="6"/>
  <c r="G30" i="6" s="1"/>
  <c r="AA5" i="6"/>
  <c r="AA4" i="6"/>
  <c r="R4" i="6"/>
  <c r="S4" i="6"/>
  <c r="T4" i="6"/>
  <c r="U4" i="6"/>
  <c r="V4" i="6"/>
  <c r="W4" i="6"/>
  <c r="X4" i="6"/>
  <c r="Y4" i="6"/>
  <c r="Z4" i="6"/>
  <c r="Q5" i="6"/>
  <c r="R5" i="6"/>
  <c r="S5" i="6"/>
  <c r="T5" i="6"/>
  <c r="U5" i="6"/>
  <c r="V5" i="6"/>
  <c r="W5" i="6"/>
  <c r="X5" i="6"/>
  <c r="Y5" i="6"/>
  <c r="Z5" i="6"/>
  <c r="P6" i="6"/>
  <c r="Q6" i="6"/>
  <c r="R6" i="6"/>
  <c r="S6" i="6"/>
  <c r="T6" i="6"/>
  <c r="U6" i="6"/>
  <c r="V6" i="6"/>
  <c r="W6" i="6"/>
  <c r="X6" i="6"/>
  <c r="Y6" i="6"/>
  <c r="Z6" i="6"/>
  <c r="O7" i="6"/>
  <c r="P7" i="6"/>
  <c r="Q7" i="6"/>
  <c r="R7" i="6"/>
  <c r="S7" i="6"/>
  <c r="T7" i="6"/>
  <c r="U7" i="6"/>
  <c r="V7" i="6"/>
  <c r="W7" i="6"/>
  <c r="X7" i="6"/>
  <c r="Y7" i="6"/>
  <c r="Z7" i="6"/>
  <c r="N8" i="6"/>
  <c r="O8" i="6"/>
  <c r="P8" i="6"/>
  <c r="Q8" i="6"/>
  <c r="R8" i="6"/>
  <c r="S8" i="6"/>
  <c r="T8" i="6"/>
  <c r="U8" i="6"/>
  <c r="V8" i="6"/>
  <c r="W8" i="6"/>
  <c r="X8" i="6"/>
  <c r="Y8" i="6"/>
  <c r="Z8" i="6"/>
  <c r="M9" i="6"/>
  <c r="N9" i="6"/>
  <c r="O9" i="6"/>
  <c r="P9" i="6"/>
  <c r="Q9" i="6"/>
  <c r="R9" i="6"/>
  <c r="S9" i="6"/>
  <c r="T9" i="6"/>
  <c r="U9" i="6"/>
  <c r="V9" i="6"/>
  <c r="W9" i="6"/>
  <c r="X9" i="6"/>
  <c r="Y9" i="6"/>
  <c r="Z9" i="6"/>
  <c r="L10" i="6"/>
  <c r="M10" i="6"/>
  <c r="N10" i="6"/>
  <c r="O10" i="6"/>
  <c r="P10" i="6"/>
  <c r="Q10" i="6"/>
  <c r="R10" i="6"/>
  <c r="S10" i="6"/>
  <c r="T10" i="6"/>
  <c r="U10" i="6"/>
  <c r="V10" i="6"/>
  <c r="W10" i="6"/>
  <c r="X10" i="6"/>
  <c r="Y10" i="6"/>
  <c r="Z10" i="6"/>
  <c r="AA11" i="6" s="1"/>
  <c r="K11" i="6"/>
  <c r="L11" i="6"/>
  <c r="M11" i="6"/>
  <c r="N11" i="6"/>
  <c r="O11" i="6"/>
  <c r="P11" i="6"/>
  <c r="Q11" i="6"/>
  <c r="R11" i="6"/>
  <c r="S11" i="6"/>
  <c r="T11" i="6"/>
  <c r="U11" i="6"/>
  <c r="V11" i="6"/>
  <c r="W11" i="6"/>
  <c r="X11" i="6"/>
  <c r="Y11" i="6"/>
  <c r="Z11" i="6"/>
  <c r="J12" i="6"/>
  <c r="K12" i="6"/>
  <c r="L12" i="6"/>
  <c r="M12" i="6"/>
  <c r="N12" i="6"/>
  <c r="O12" i="6"/>
  <c r="P12" i="6"/>
  <c r="Q12" i="6"/>
  <c r="R12" i="6"/>
  <c r="S12" i="6"/>
  <c r="T12" i="6"/>
  <c r="U12" i="6"/>
  <c r="V12" i="6"/>
  <c r="W12" i="6"/>
  <c r="X12" i="6"/>
  <c r="Y12" i="6"/>
  <c r="Z12" i="6"/>
  <c r="I13" i="6"/>
  <c r="J13" i="6"/>
  <c r="K13" i="6"/>
  <c r="L13" i="6"/>
  <c r="M13" i="6"/>
  <c r="N13" i="6"/>
  <c r="O13" i="6"/>
  <c r="P13" i="6"/>
  <c r="Q13" i="6"/>
  <c r="R13" i="6"/>
  <c r="S13" i="6"/>
  <c r="T13" i="6"/>
  <c r="U13" i="6"/>
  <c r="V13" i="6"/>
  <c r="W13" i="6"/>
  <c r="X13" i="6"/>
  <c r="Y13" i="6"/>
  <c r="Z13" i="6"/>
  <c r="H14" i="6"/>
  <c r="I14" i="6"/>
  <c r="J14" i="6"/>
  <c r="K14" i="6"/>
  <c r="L14" i="6"/>
  <c r="M14" i="6"/>
  <c r="N14" i="6"/>
  <c r="O14" i="6"/>
  <c r="P14" i="6"/>
  <c r="Q14" i="6"/>
  <c r="R14" i="6"/>
  <c r="S14" i="6"/>
  <c r="T14" i="6"/>
  <c r="U14" i="6"/>
  <c r="V14" i="6"/>
  <c r="W14" i="6"/>
  <c r="X14" i="6"/>
  <c r="Y14" i="6"/>
  <c r="Z14" i="6"/>
  <c r="AA15" i="6" s="1"/>
  <c r="G15" i="6"/>
  <c r="H15" i="6"/>
  <c r="I15" i="6"/>
  <c r="J15" i="6"/>
  <c r="K15" i="6"/>
  <c r="L15" i="6"/>
  <c r="M15" i="6"/>
  <c r="N15" i="6"/>
  <c r="O15" i="6"/>
  <c r="P15" i="6"/>
  <c r="Q15" i="6"/>
  <c r="R15" i="6"/>
  <c r="S15" i="6"/>
  <c r="T15" i="6"/>
  <c r="U15" i="6"/>
  <c r="V15" i="6"/>
  <c r="W15" i="6"/>
  <c r="X15" i="6"/>
  <c r="Y15" i="6"/>
  <c r="Z15" i="6"/>
  <c r="F16" i="6"/>
  <c r="G16" i="6"/>
  <c r="H16" i="6"/>
  <c r="I16" i="6"/>
  <c r="J16" i="6"/>
  <c r="K16" i="6"/>
  <c r="L16" i="6"/>
  <c r="M16" i="6"/>
  <c r="N16" i="6"/>
  <c r="O16" i="6"/>
  <c r="P16" i="6"/>
  <c r="Q16" i="6"/>
  <c r="R16" i="6"/>
  <c r="S16" i="6"/>
  <c r="T16" i="6"/>
  <c r="U16" i="6"/>
  <c r="V16" i="6"/>
  <c r="W16" i="6"/>
  <c r="X16" i="6"/>
  <c r="Y16" i="6"/>
  <c r="Z16" i="6"/>
  <c r="E17" i="6"/>
  <c r="F17" i="6"/>
  <c r="G17" i="6"/>
  <c r="H17" i="6"/>
  <c r="I17" i="6"/>
  <c r="J17" i="6"/>
  <c r="K17" i="6"/>
  <c r="L17" i="6"/>
  <c r="M17" i="6"/>
  <c r="N17" i="6"/>
  <c r="O17" i="6"/>
  <c r="P17" i="6"/>
  <c r="Q17" i="6"/>
  <c r="R17" i="6"/>
  <c r="S17" i="6"/>
  <c r="T17" i="6"/>
  <c r="U17" i="6"/>
  <c r="V17" i="6"/>
  <c r="W17" i="6"/>
  <c r="X17" i="6"/>
  <c r="Y17" i="6"/>
  <c r="Z17" i="6"/>
  <c r="D18" i="6"/>
  <c r="E18" i="6"/>
  <c r="F18" i="6"/>
  <c r="G18" i="6"/>
  <c r="H18" i="6"/>
  <c r="I18" i="6"/>
  <c r="J18" i="6"/>
  <c r="K18" i="6"/>
  <c r="L18" i="6"/>
  <c r="M18" i="6"/>
  <c r="N18" i="6"/>
  <c r="O18" i="6"/>
  <c r="P18" i="6"/>
  <c r="Q18" i="6"/>
  <c r="R18" i="6"/>
  <c r="S18" i="6"/>
  <c r="T18" i="6"/>
  <c r="U18" i="6"/>
  <c r="V18" i="6"/>
  <c r="W18" i="6"/>
  <c r="X18" i="6"/>
  <c r="Y18" i="6"/>
  <c r="Z18" i="6"/>
  <c r="AA19" i="6" s="1"/>
  <c r="C19" i="6"/>
  <c r="D19" i="6"/>
  <c r="E19" i="6"/>
  <c r="F19" i="6"/>
  <c r="G19" i="6"/>
  <c r="H19" i="6"/>
  <c r="I19" i="6"/>
  <c r="J19" i="6"/>
  <c r="K19" i="6"/>
  <c r="L19" i="6"/>
  <c r="M19" i="6"/>
  <c r="N19" i="6"/>
  <c r="O19" i="6"/>
  <c r="P19" i="6"/>
  <c r="Q19" i="6"/>
  <c r="R19" i="6"/>
  <c r="S19" i="6"/>
  <c r="T19" i="6"/>
  <c r="U19" i="6"/>
  <c r="V19" i="6"/>
  <c r="W19" i="6"/>
  <c r="X19" i="6"/>
  <c r="Y19" i="6"/>
  <c r="Z19" i="6"/>
  <c r="AA20" i="6" s="1"/>
  <c r="C20" i="6"/>
  <c r="D20" i="6"/>
  <c r="E20" i="6"/>
  <c r="F20" i="6"/>
  <c r="G20" i="6"/>
  <c r="H20" i="6"/>
  <c r="I20" i="6"/>
  <c r="J20" i="6"/>
  <c r="K20" i="6"/>
  <c r="L20" i="6"/>
  <c r="M20" i="6"/>
  <c r="N20" i="6"/>
  <c r="O20" i="6"/>
  <c r="P20" i="6"/>
  <c r="Q20" i="6"/>
  <c r="R20" i="6"/>
  <c r="S20" i="6"/>
  <c r="T20" i="6"/>
  <c r="U20" i="6"/>
  <c r="V20" i="6"/>
  <c r="W20" i="6"/>
  <c r="X20" i="6"/>
  <c r="Y20" i="6"/>
  <c r="Z20" i="6"/>
  <c r="AA21" i="6" s="1"/>
  <c r="C21" i="6"/>
  <c r="D21" i="6"/>
  <c r="E21" i="6"/>
  <c r="F21" i="6"/>
  <c r="G21" i="6"/>
  <c r="H21" i="6"/>
  <c r="I21" i="6"/>
  <c r="J21" i="6"/>
  <c r="K21" i="6"/>
  <c r="L21" i="6"/>
  <c r="M21" i="6"/>
  <c r="N21" i="6"/>
  <c r="O21" i="6"/>
  <c r="P21" i="6"/>
  <c r="Q21" i="6"/>
  <c r="R21" i="6"/>
  <c r="S21" i="6"/>
  <c r="T21" i="6"/>
  <c r="U21" i="6"/>
  <c r="V21" i="6"/>
  <c r="W21" i="6"/>
  <c r="X21" i="6"/>
  <c r="Y21" i="6"/>
  <c r="Z21" i="6"/>
  <c r="AA22" i="6" s="1"/>
  <c r="C22" i="6"/>
  <c r="D22" i="6"/>
  <c r="E22" i="6"/>
  <c r="F22" i="6"/>
  <c r="G22" i="6"/>
  <c r="H22" i="6"/>
  <c r="AA23" i="6"/>
  <c r="C23" i="6"/>
  <c r="D23" i="6"/>
  <c r="E23" i="6"/>
  <c r="F23" i="6"/>
  <c r="G23" i="6"/>
  <c r="AA24" i="6"/>
  <c r="C24" i="6"/>
  <c r="D24" i="6"/>
  <c r="E24" i="6"/>
  <c r="F24" i="6"/>
  <c r="AA25" i="6"/>
  <c r="C25" i="6"/>
  <c r="D25" i="6"/>
  <c r="E25" i="6"/>
  <c r="AA26" i="6"/>
  <c r="C26" i="6"/>
  <c r="D26" i="6"/>
  <c r="AA27" i="6"/>
  <c r="AA28" i="6"/>
  <c r="C27" i="6"/>
  <c r="AA12" i="6"/>
  <c r="AB12" i="6"/>
  <c r="AA13" i="6"/>
  <c r="AB13" i="6"/>
  <c r="AA14" i="6"/>
  <c r="AB14" i="6"/>
  <c r="AB15" i="6"/>
  <c r="AA16" i="6"/>
  <c r="AB16" i="6"/>
  <c r="AA17" i="6"/>
  <c r="AB17" i="6"/>
  <c r="AA18" i="6"/>
  <c r="AC18" i="6" s="1"/>
  <c r="AB18" i="6"/>
  <c r="AB19" i="6"/>
  <c r="AB20" i="6"/>
  <c r="AB21" i="6"/>
  <c r="AB22" i="6"/>
  <c r="AB23" i="6"/>
  <c r="AB24" i="6"/>
  <c r="AB25" i="6"/>
  <c r="AB26" i="6"/>
  <c r="AB27" i="6"/>
  <c r="AB28" i="6"/>
  <c r="AB11" i="6"/>
  <c r="AB10" i="6"/>
  <c r="AA10" i="6"/>
  <c r="AB9" i="6"/>
  <c r="AA9" i="6"/>
  <c r="AB8" i="6"/>
  <c r="AA8" i="6"/>
  <c r="AB7" i="6"/>
  <c r="AA7" i="6"/>
  <c r="AB6" i="6"/>
  <c r="AA6" i="6"/>
  <c r="AB5" i="6"/>
  <c r="AC5" i="6"/>
  <c r="AB4" i="6"/>
  <c r="Z4" i="5"/>
  <c r="AC27" i="5"/>
  <c r="C27" i="5"/>
  <c r="D27" i="5" s="1"/>
  <c r="E27" i="5" s="1"/>
  <c r="F27" i="5" s="1"/>
  <c r="G27" i="5" s="1"/>
  <c r="H27" i="5" s="1"/>
  <c r="I27" i="5" s="1"/>
  <c r="J27" i="5" s="1"/>
  <c r="K27" i="5" s="1"/>
  <c r="L27" i="5" s="1"/>
  <c r="M27" i="5" s="1"/>
  <c r="N27" i="5" s="1"/>
  <c r="O27" i="5" s="1"/>
  <c r="P27" i="5" s="1"/>
  <c r="Q27" i="5" s="1"/>
  <c r="R27" i="5" s="1"/>
  <c r="S27" i="5" s="1"/>
  <c r="T27" i="5" s="1"/>
  <c r="U27" i="5" s="1"/>
  <c r="V27" i="5" s="1"/>
  <c r="W27" i="5" s="1"/>
  <c r="X27" i="5" s="1"/>
  <c r="Y27" i="5" s="1"/>
  <c r="Z27" i="5" s="1"/>
  <c r="AC26" i="5"/>
  <c r="D26" i="5"/>
  <c r="E26" i="5" s="1"/>
  <c r="F26" i="5" s="1"/>
  <c r="G26" i="5" s="1"/>
  <c r="H26" i="5" s="1"/>
  <c r="I26" i="5" s="1"/>
  <c r="J26" i="5" s="1"/>
  <c r="K26" i="5" s="1"/>
  <c r="L26" i="5" s="1"/>
  <c r="M26" i="5" s="1"/>
  <c r="N26" i="5" s="1"/>
  <c r="O26" i="5" s="1"/>
  <c r="P26" i="5" s="1"/>
  <c r="Q26" i="5" s="1"/>
  <c r="R26" i="5" s="1"/>
  <c r="S26" i="5" s="1"/>
  <c r="T26" i="5" s="1"/>
  <c r="U26" i="5" s="1"/>
  <c r="V26" i="5" s="1"/>
  <c r="W26" i="5" s="1"/>
  <c r="X26" i="5" s="1"/>
  <c r="Y26" i="5" s="1"/>
  <c r="Z26" i="5" s="1"/>
  <c r="C26" i="5"/>
  <c r="AC25" i="5"/>
  <c r="E25" i="5"/>
  <c r="F25" i="5" s="1"/>
  <c r="G25" i="5" s="1"/>
  <c r="H25" i="5" s="1"/>
  <c r="I25" i="5" s="1"/>
  <c r="J25" i="5" s="1"/>
  <c r="K25" i="5" s="1"/>
  <c r="L25" i="5" s="1"/>
  <c r="M25" i="5" s="1"/>
  <c r="N25" i="5" s="1"/>
  <c r="O25" i="5" s="1"/>
  <c r="P25" i="5" s="1"/>
  <c r="Q25" i="5" s="1"/>
  <c r="R25" i="5" s="1"/>
  <c r="S25" i="5" s="1"/>
  <c r="T25" i="5" s="1"/>
  <c r="U25" i="5" s="1"/>
  <c r="V25" i="5" s="1"/>
  <c r="W25" i="5" s="1"/>
  <c r="X25" i="5" s="1"/>
  <c r="Y25" i="5" s="1"/>
  <c r="Z25" i="5" s="1"/>
  <c r="AA25" i="5" s="1"/>
  <c r="D25" i="5"/>
  <c r="C25" i="5"/>
  <c r="AC24" i="5"/>
  <c r="F24" i="5"/>
  <c r="G24" i="5" s="1"/>
  <c r="H24" i="5" s="1"/>
  <c r="I24" i="5" s="1"/>
  <c r="J24" i="5" s="1"/>
  <c r="K24" i="5" s="1"/>
  <c r="L24" i="5" s="1"/>
  <c r="M24" i="5" s="1"/>
  <c r="N24" i="5" s="1"/>
  <c r="O24" i="5" s="1"/>
  <c r="P24" i="5" s="1"/>
  <c r="Q24" i="5" s="1"/>
  <c r="R24" i="5" s="1"/>
  <c r="S24" i="5" s="1"/>
  <c r="T24" i="5" s="1"/>
  <c r="U24" i="5" s="1"/>
  <c r="V24" i="5" s="1"/>
  <c r="W24" i="5" s="1"/>
  <c r="X24" i="5" s="1"/>
  <c r="Y24" i="5" s="1"/>
  <c r="Z24" i="5" s="1"/>
  <c r="AA24" i="5" s="1"/>
  <c r="E24" i="5"/>
  <c r="D24" i="5"/>
  <c r="C24" i="5"/>
  <c r="AC23" i="5"/>
  <c r="G23" i="5"/>
  <c r="H23" i="5" s="1"/>
  <c r="I23" i="5" s="1"/>
  <c r="J23" i="5" s="1"/>
  <c r="K23" i="5" s="1"/>
  <c r="L23" i="5" s="1"/>
  <c r="M23" i="5" s="1"/>
  <c r="N23" i="5" s="1"/>
  <c r="O23" i="5" s="1"/>
  <c r="P23" i="5" s="1"/>
  <c r="Q23" i="5" s="1"/>
  <c r="R23" i="5" s="1"/>
  <c r="S23" i="5" s="1"/>
  <c r="T23" i="5" s="1"/>
  <c r="U23" i="5" s="1"/>
  <c r="V23" i="5" s="1"/>
  <c r="W23" i="5" s="1"/>
  <c r="X23" i="5" s="1"/>
  <c r="Y23" i="5" s="1"/>
  <c r="F23" i="5"/>
  <c r="E23" i="5"/>
  <c r="D23" i="5"/>
  <c r="C23" i="5"/>
  <c r="AC22" i="5"/>
  <c r="H22" i="5"/>
  <c r="I22" i="5" s="1"/>
  <c r="J22" i="5" s="1"/>
  <c r="K22" i="5" s="1"/>
  <c r="L22" i="5" s="1"/>
  <c r="M22" i="5" s="1"/>
  <c r="N22" i="5" s="1"/>
  <c r="O22" i="5" s="1"/>
  <c r="P22" i="5" s="1"/>
  <c r="Q22" i="5" s="1"/>
  <c r="R22" i="5" s="1"/>
  <c r="S22" i="5" s="1"/>
  <c r="T22" i="5" s="1"/>
  <c r="U22" i="5" s="1"/>
  <c r="V22" i="5" s="1"/>
  <c r="W22" i="5" s="1"/>
  <c r="X22" i="5" s="1"/>
  <c r="Y22" i="5" s="1"/>
  <c r="Z22" i="5" s="1"/>
  <c r="G22" i="5"/>
  <c r="F22" i="5"/>
  <c r="E22" i="5"/>
  <c r="D22" i="5"/>
  <c r="C22" i="5"/>
  <c r="AC21" i="5"/>
  <c r="I21" i="5"/>
  <c r="J21" i="5" s="1"/>
  <c r="K21" i="5" s="1"/>
  <c r="L21" i="5" s="1"/>
  <c r="M21" i="5" s="1"/>
  <c r="N21" i="5" s="1"/>
  <c r="O21" i="5" s="1"/>
  <c r="P21" i="5" s="1"/>
  <c r="Q21" i="5" s="1"/>
  <c r="R21" i="5" s="1"/>
  <c r="S21" i="5" s="1"/>
  <c r="T21" i="5" s="1"/>
  <c r="U21" i="5" s="1"/>
  <c r="V21" i="5" s="1"/>
  <c r="W21" i="5" s="1"/>
  <c r="X21" i="5" s="1"/>
  <c r="Y21" i="5" s="1"/>
  <c r="H21" i="5"/>
  <c r="G21" i="5"/>
  <c r="F21" i="5"/>
  <c r="E21" i="5"/>
  <c r="D21" i="5"/>
  <c r="C21" i="5"/>
  <c r="AC20" i="5"/>
  <c r="J20" i="5"/>
  <c r="K20" i="5" s="1"/>
  <c r="L20" i="5" s="1"/>
  <c r="M20" i="5" s="1"/>
  <c r="N20" i="5" s="1"/>
  <c r="O20" i="5" s="1"/>
  <c r="P20" i="5" s="1"/>
  <c r="Q20" i="5" s="1"/>
  <c r="R20" i="5" s="1"/>
  <c r="S20" i="5" s="1"/>
  <c r="T20" i="5" s="1"/>
  <c r="U20" i="5" s="1"/>
  <c r="V20" i="5" s="1"/>
  <c r="W20" i="5" s="1"/>
  <c r="X20" i="5" s="1"/>
  <c r="Y20" i="5" s="1"/>
  <c r="Z20" i="5" s="1"/>
  <c r="I20" i="5"/>
  <c r="H20" i="5"/>
  <c r="G20" i="5"/>
  <c r="F20" i="5"/>
  <c r="E20" i="5"/>
  <c r="D20" i="5"/>
  <c r="C20" i="5"/>
  <c r="AC19" i="5"/>
  <c r="K19" i="5"/>
  <c r="L19" i="5" s="1"/>
  <c r="M19" i="5" s="1"/>
  <c r="N19" i="5" s="1"/>
  <c r="O19" i="5" s="1"/>
  <c r="P19" i="5" s="1"/>
  <c r="Q19" i="5" s="1"/>
  <c r="R19" i="5" s="1"/>
  <c r="S19" i="5" s="1"/>
  <c r="T19" i="5" s="1"/>
  <c r="U19" i="5" s="1"/>
  <c r="V19" i="5" s="1"/>
  <c r="W19" i="5" s="1"/>
  <c r="X19" i="5" s="1"/>
  <c r="Y19" i="5" s="1"/>
  <c r="Z19" i="5" s="1"/>
  <c r="J19" i="5"/>
  <c r="I19" i="5"/>
  <c r="H19" i="5"/>
  <c r="G19" i="5"/>
  <c r="F19" i="5"/>
  <c r="E19" i="5"/>
  <c r="D19" i="5"/>
  <c r="C19" i="5"/>
  <c r="AC18" i="5"/>
  <c r="L18" i="5"/>
  <c r="M18" i="5" s="1"/>
  <c r="N18" i="5" s="1"/>
  <c r="O18" i="5" s="1"/>
  <c r="P18" i="5" s="1"/>
  <c r="Q18" i="5" s="1"/>
  <c r="R18" i="5" s="1"/>
  <c r="S18" i="5" s="1"/>
  <c r="T18" i="5" s="1"/>
  <c r="U18" i="5" s="1"/>
  <c r="V18" i="5" s="1"/>
  <c r="W18" i="5" s="1"/>
  <c r="X18" i="5" s="1"/>
  <c r="Y18" i="5" s="1"/>
  <c r="Z18" i="5" s="1"/>
  <c r="K18" i="5"/>
  <c r="J18" i="5"/>
  <c r="I18" i="5"/>
  <c r="H18" i="5"/>
  <c r="G18" i="5"/>
  <c r="F18" i="5"/>
  <c r="E18" i="5"/>
  <c r="D18" i="5"/>
  <c r="C18" i="5"/>
  <c r="AC17" i="5"/>
  <c r="M17" i="5"/>
  <c r="N17" i="5" s="1"/>
  <c r="O17" i="5" s="1"/>
  <c r="P17" i="5" s="1"/>
  <c r="Q17" i="5" s="1"/>
  <c r="R17" i="5" s="1"/>
  <c r="S17" i="5" s="1"/>
  <c r="T17" i="5" s="1"/>
  <c r="U17" i="5" s="1"/>
  <c r="V17" i="5" s="1"/>
  <c r="W17" i="5" s="1"/>
  <c r="X17" i="5" s="1"/>
  <c r="Y17" i="5" s="1"/>
  <c r="L17" i="5"/>
  <c r="K17" i="5"/>
  <c r="J17" i="5"/>
  <c r="I17" i="5"/>
  <c r="H17" i="5"/>
  <c r="G17" i="5"/>
  <c r="F17" i="5"/>
  <c r="E17" i="5"/>
  <c r="D17" i="5"/>
  <c r="C17" i="5"/>
  <c r="AC16" i="5"/>
  <c r="O16" i="5"/>
  <c r="P16" i="5" s="1"/>
  <c r="Q16" i="5" s="1"/>
  <c r="R16" i="5" s="1"/>
  <c r="S16" i="5" s="1"/>
  <c r="T16" i="5" s="1"/>
  <c r="U16" i="5" s="1"/>
  <c r="V16" i="5" s="1"/>
  <c r="W16" i="5" s="1"/>
  <c r="X16" i="5" s="1"/>
  <c r="Y16" i="5" s="1"/>
  <c r="N16" i="5"/>
  <c r="M16" i="5"/>
  <c r="L16" i="5"/>
  <c r="K16" i="5"/>
  <c r="J16" i="5"/>
  <c r="I16" i="5"/>
  <c r="H16" i="5"/>
  <c r="G16" i="5"/>
  <c r="F16" i="5"/>
  <c r="E16" i="5"/>
  <c r="D16" i="5"/>
  <c r="C16" i="5"/>
  <c r="AC15" i="5"/>
  <c r="O15" i="5"/>
  <c r="P15" i="5" s="1"/>
  <c r="Q15" i="5" s="1"/>
  <c r="R15" i="5" s="1"/>
  <c r="S15" i="5" s="1"/>
  <c r="T15" i="5" s="1"/>
  <c r="U15" i="5" s="1"/>
  <c r="V15" i="5" s="1"/>
  <c r="W15" i="5" s="1"/>
  <c r="X15" i="5" s="1"/>
  <c r="Y15" i="5" s="1"/>
  <c r="Z15" i="5" s="1"/>
  <c r="N15" i="5"/>
  <c r="M15" i="5"/>
  <c r="L15" i="5"/>
  <c r="K15" i="5"/>
  <c r="J15" i="5"/>
  <c r="I15" i="5"/>
  <c r="H15" i="5"/>
  <c r="G15" i="5"/>
  <c r="F15" i="5"/>
  <c r="E15" i="5"/>
  <c r="D15" i="5"/>
  <c r="C15" i="5"/>
  <c r="AC14" i="5"/>
  <c r="P14" i="5"/>
  <c r="Q14" i="5" s="1"/>
  <c r="R14" i="5" s="1"/>
  <c r="S14" i="5" s="1"/>
  <c r="T14" i="5" s="1"/>
  <c r="U14" i="5" s="1"/>
  <c r="V14" i="5" s="1"/>
  <c r="W14" i="5" s="1"/>
  <c r="X14" i="5" s="1"/>
  <c r="Y14" i="5" s="1"/>
  <c r="Z14" i="5" s="1"/>
  <c r="O14" i="5"/>
  <c r="N14" i="5"/>
  <c r="M14" i="5"/>
  <c r="L14" i="5"/>
  <c r="K14" i="5"/>
  <c r="J14" i="5"/>
  <c r="I14" i="5"/>
  <c r="H14" i="5"/>
  <c r="G14" i="5"/>
  <c r="F14" i="5"/>
  <c r="E14" i="5"/>
  <c r="D14" i="5"/>
  <c r="C14" i="5"/>
  <c r="AC13" i="5"/>
  <c r="Q13" i="5"/>
  <c r="R13" i="5" s="1"/>
  <c r="S13" i="5" s="1"/>
  <c r="T13" i="5" s="1"/>
  <c r="U13" i="5" s="1"/>
  <c r="V13" i="5" s="1"/>
  <c r="W13" i="5" s="1"/>
  <c r="X13" i="5" s="1"/>
  <c r="Y13" i="5" s="1"/>
  <c r="Z13" i="5" s="1"/>
  <c r="AA13" i="5" s="1"/>
  <c r="P13" i="5"/>
  <c r="O13" i="5"/>
  <c r="N13" i="5"/>
  <c r="M13" i="5"/>
  <c r="L13" i="5"/>
  <c r="K13" i="5"/>
  <c r="J13" i="5"/>
  <c r="I13" i="5"/>
  <c r="H13" i="5"/>
  <c r="G13" i="5"/>
  <c r="F13" i="5"/>
  <c r="E13" i="5"/>
  <c r="D13" i="5"/>
  <c r="C13" i="5"/>
  <c r="AC12" i="5"/>
  <c r="R12" i="5"/>
  <c r="S12" i="5" s="1"/>
  <c r="T12" i="5" s="1"/>
  <c r="U12" i="5" s="1"/>
  <c r="V12" i="5" s="1"/>
  <c r="W12" i="5" s="1"/>
  <c r="X12" i="5" s="1"/>
  <c r="Y12" i="5" s="1"/>
  <c r="Z12" i="5" s="1"/>
  <c r="Q12" i="5"/>
  <c r="P12" i="5"/>
  <c r="O12" i="5"/>
  <c r="N12" i="5"/>
  <c r="M12" i="5"/>
  <c r="L12" i="5"/>
  <c r="K12" i="5"/>
  <c r="J12" i="5"/>
  <c r="I12" i="5"/>
  <c r="H12" i="5"/>
  <c r="G12" i="5"/>
  <c r="F12" i="5"/>
  <c r="E12" i="5"/>
  <c r="D12" i="5"/>
  <c r="C12" i="5"/>
  <c r="AC11" i="5"/>
  <c r="S11" i="5"/>
  <c r="T11" i="5" s="1"/>
  <c r="U11" i="5" s="1"/>
  <c r="V11" i="5" s="1"/>
  <c r="W11" i="5" s="1"/>
  <c r="X11" i="5" s="1"/>
  <c r="Y11" i="5" s="1"/>
  <c r="Z11" i="5" s="1"/>
  <c r="R11" i="5"/>
  <c r="Q11" i="5"/>
  <c r="P11" i="5"/>
  <c r="O11" i="5"/>
  <c r="N11" i="5"/>
  <c r="M11" i="5"/>
  <c r="L11" i="5"/>
  <c r="K11" i="5"/>
  <c r="J11" i="5"/>
  <c r="I11" i="5"/>
  <c r="H11" i="5"/>
  <c r="G11" i="5"/>
  <c r="F11" i="5"/>
  <c r="E11" i="5"/>
  <c r="D11" i="5"/>
  <c r="C11" i="5"/>
  <c r="AC10" i="5"/>
  <c r="T10" i="5"/>
  <c r="U10" i="5" s="1"/>
  <c r="V10" i="5" s="1"/>
  <c r="W10" i="5" s="1"/>
  <c r="X10" i="5" s="1"/>
  <c r="Y10" i="5" s="1"/>
  <c r="S10" i="5"/>
  <c r="R10" i="5"/>
  <c r="Q10" i="5"/>
  <c r="P10" i="5"/>
  <c r="O10" i="5"/>
  <c r="N10" i="5"/>
  <c r="M10" i="5"/>
  <c r="L10" i="5"/>
  <c r="K10" i="5"/>
  <c r="J10" i="5"/>
  <c r="I10" i="5"/>
  <c r="H10" i="5"/>
  <c r="G10" i="5"/>
  <c r="F10" i="5"/>
  <c r="E10" i="5"/>
  <c r="D10" i="5"/>
  <c r="C10" i="5"/>
  <c r="AC9" i="5"/>
  <c r="U9" i="5"/>
  <c r="V9" i="5" s="1"/>
  <c r="W9" i="5" s="1"/>
  <c r="X9" i="5" s="1"/>
  <c r="Y9" i="5" s="1"/>
  <c r="Z9" i="5" s="1"/>
  <c r="T9" i="5"/>
  <c r="S9" i="5"/>
  <c r="R9" i="5"/>
  <c r="Q9" i="5"/>
  <c r="P9" i="5"/>
  <c r="O9" i="5"/>
  <c r="N9" i="5"/>
  <c r="M9" i="5"/>
  <c r="L9" i="5"/>
  <c r="K9" i="5"/>
  <c r="J9" i="5"/>
  <c r="I9" i="5"/>
  <c r="H9" i="5"/>
  <c r="G9" i="5"/>
  <c r="F9" i="5"/>
  <c r="E9" i="5"/>
  <c r="D9" i="5"/>
  <c r="C9" i="5"/>
  <c r="AC8" i="5"/>
  <c r="V8" i="5"/>
  <c r="W8" i="5" s="1"/>
  <c r="X8" i="5" s="1"/>
  <c r="Y8" i="5" s="1"/>
  <c r="Z8" i="5" s="1"/>
  <c r="U8" i="5"/>
  <c r="T8" i="5"/>
  <c r="S8" i="5"/>
  <c r="R8" i="5"/>
  <c r="Q8" i="5"/>
  <c r="P8" i="5"/>
  <c r="O8" i="5"/>
  <c r="N8" i="5"/>
  <c r="M8" i="5"/>
  <c r="L8" i="5"/>
  <c r="K8" i="5"/>
  <c r="J8" i="5"/>
  <c r="I8" i="5"/>
  <c r="H8" i="5"/>
  <c r="G8" i="5"/>
  <c r="F8" i="5"/>
  <c r="E8" i="5"/>
  <c r="D8" i="5"/>
  <c r="C8" i="5"/>
  <c r="AC7" i="5"/>
  <c r="W7" i="5"/>
  <c r="X7" i="5" s="1"/>
  <c r="Y7" i="5" s="1"/>
  <c r="V7" i="5"/>
  <c r="U7" i="5"/>
  <c r="T7" i="5"/>
  <c r="S7" i="5"/>
  <c r="R7" i="5"/>
  <c r="Q7" i="5"/>
  <c r="P7" i="5"/>
  <c r="O7" i="5"/>
  <c r="N7" i="5"/>
  <c r="M7" i="5"/>
  <c r="L7" i="5"/>
  <c r="K7" i="5"/>
  <c r="J7" i="5"/>
  <c r="I7" i="5"/>
  <c r="H7" i="5"/>
  <c r="G7" i="5"/>
  <c r="F7" i="5"/>
  <c r="E7" i="5"/>
  <c r="D7" i="5"/>
  <c r="C7" i="5"/>
  <c r="AC6" i="5"/>
  <c r="X6" i="5"/>
  <c r="Y6" i="5" s="1"/>
  <c r="W6" i="5"/>
  <c r="V6" i="5"/>
  <c r="U6" i="5"/>
  <c r="T6" i="5"/>
  <c r="S6" i="5"/>
  <c r="R6" i="5"/>
  <c r="Q6" i="5"/>
  <c r="P6" i="5"/>
  <c r="O6" i="5"/>
  <c r="N6" i="5"/>
  <c r="M6" i="5"/>
  <c r="L6" i="5"/>
  <c r="K6" i="5"/>
  <c r="J6" i="5"/>
  <c r="I6" i="5"/>
  <c r="H6" i="5"/>
  <c r="G6" i="5"/>
  <c r="F6" i="5"/>
  <c r="E6" i="5"/>
  <c r="D6" i="5"/>
  <c r="C6" i="5"/>
  <c r="AC5" i="5"/>
  <c r="Y5" i="5"/>
  <c r="X5" i="5"/>
  <c r="W5" i="5"/>
  <c r="V5" i="5"/>
  <c r="U5" i="5"/>
  <c r="T5" i="5"/>
  <c r="S5" i="5"/>
  <c r="R5" i="5"/>
  <c r="Q5" i="5"/>
  <c r="P5" i="5"/>
  <c r="O5" i="5"/>
  <c r="N5" i="5"/>
  <c r="M5" i="5"/>
  <c r="L5" i="5"/>
  <c r="K5" i="5"/>
  <c r="J5" i="5"/>
  <c r="I5" i="5"/>
  <c r="H5" i="5"/>
  <c r="G5" i="5"/>
  <c r="F5" i="5"/>
  <c r="E5" i="5"/>
  <c r="D5" i="5"/>
  <c r="C5" i="5"/>
  <c r="AC4" i="5"/>
  <c r="AA4" i="5"/>
  <c r="AB4" i="5" s="1"/>
  <c r="Y4" i="5"/>
  <c r="X4" i="5"/>
  <c r="W4" i="5"/>
  <c r="V4" i="5"/>
  <c r="U4" i="5"/>
  <c r="T4" i="5"/>
  <c r="S4" i="5"/>
  <c r="R4" i="5"/>
  <c r="Q4" i="5"/>
  <c r="P4" i="5"/>
  <c r="O4" i="5"/>
  <c r="N4" i="5"/>
  <c r="M4" i="5"/>
  <c r="L4" i="5"/>
  <c r="K4" i="5"/>
  <c r="J4" i="5"/>
  <c r="I4" i="5"/>
  <c r="H4" i="5"/>
  <c r="G4" i="5"/>
  <c r="F4" i="5"/>
  <c r="E4" i="5"/>
  <c r="D4" i="5"/>
  <c r="C4" i="5"/>
  <c r="D44" i="1"/>
  <c r="D69" i="1" s="1"/>
  <c r="D71" i="1" s="1"/>
  <c r="D45" i="1"/>
  <c r="D46" i="1"/>
  <c r="D47" i="1"/>
  <c r="D48" i="1"/>
  <c r="D49" i="1"/>
  <c r="D50" i="1"/>
  <c r="D51" i="1"/>
  <c r="D52" i="1"/>
  <c r="D53" i="1"/>
  <c r="D54" i="1"/>
  <c r="D55" i="1"/>
  <c r="D56" i="1"/>
  <c r="D57" i="1"/>
  <c r="D58" i="1"/>
  <c r="D59" i="1"/>
  <c r="D60" i="1"/>
  <c r="D61" i="1"/>
  <c r="D62" i="1"/>
  <c r="D63" i="1"/>
  <c r="D64" i="1"/>
  <c r="D65" i="1"/>
  <c r="D66" i="1"/>
  <c r="E44" i="1"/>
  <c r="E69" i="1" s="1"/>
  <c r="E70" i="1" s="1"/>
  <c r="F44" i="1"/>
  <c r="F69" i="1" s="1"/>
  <c r="F70" i="1" s="1"/>
  <c r="G44" i="1"/>
  <c r="H44" i="1"/>
  <c r="I44" i="1"/>
  <c r="J44" i="1"/>
  <c r="J68" i="1" s="1"/>
  <c r="K44" i="1"/>
  <c r="K68" i="1" s="1"/>
  <c r="L44" i="1"/>
  <c r="L68" i="1" s="1"/>
  <c r="M44" i="1"/>
  <c r="M68" i="1" s="1"/>
  <c r="N44" i="1"/>
  <c r="N68" i="1" s="1"/>
  <c r="O44" i="1"/>
  <c r="O68" i="1" s="1"/>
  <c r="P44" i="1"/>
  <c r="P68" i="1" s="1"/>
  <c r="Q44" i="1"/>
  <c r="Q69" i="1" s="1"/>
  <c r="Q71" i="1" s="1"/>
  <c r="R44" i="1"/>
  <c r="R69" i="1" s="1"/>
  <c r="R71" i="1" s="1"/>
  <c r="S44" i="1"/>
  <c r="T44" i="1"/>
  <c r="U44" i="1"/>
  <c r="V44" i="1"/>
  <c r="V68" i="1" s="1"/>
  <c r="W44" i="1"/>
  <c r="W68" i="1" s="1"/>
  <c r="X44" i="1"/>
  <c r="X68" i="1" s="1"/>
  <c r="Y44" i="1"/>
  <c r="Y68" i="1" s="1"/>
  <c r="Z44" i="1"/>
  <c r="Z68" i="1" s="1"/>
  <c r="E45" i="1"/>
  <c r="F45" i="1"/>
  <c r="F68" i="1" s="1"/>
  <c r="G45" i="1"/>
  <c r="G68" i="1" s="1"/>
  <c r="H45" i="1"/>
  <c r="I45" i="1"/>
  <c r="J45" i="1"/>
  <c r="K45" i="1"/>
  <c r="L45" i="1"/>
  <c r="M45" i="1"/>
  <c r="N45" i="1"/>
  <c r="O45" i="1"/>
  <c r="P45" i="1"/>
  <c r="Q45" i="1"/>
  <c r="R45" i="1"/>
  <c r="R68" i="1" s="1"/>
  <c r="S45" i="1"/>
  <c r="S69" i="1" s="1"/>
  <c r="T45" i="1"/>
  <c r="U45" i="1"/>
  <c r="V45" i="1"/>
  <c r="W45" i="1"/>
  <c r="X45" i="1"/>
  <c r="Y45" i="1"/>
  <c r="E46" i="1"/>
  <c r="F46" i="1"/>
  <c r="G46" i="1"/>
  <c r="H46" i="1"/>
  <c r="H68" i="1" s="1"/>
  <c r="I46" i="1"/>
  <c r="I69" i="1" s="1"/>
  <c r="I71" i="1" s="1"/>
  <c r="J46" i="1"/>
  <c r="J69" i="1" s="1"/>
  <c r="J71" i="1" s="1"/>
  <c r="K46" i="1"/>
  <c r="L46" i="1"/>
  <c r="M46" i="1"/>
  <c r="N46" i="1"/>
  <c r="O46" i="1"/>
  <c r="P46" i="1"/>
  <c r="Q46" i="1"/>
  <c r="R46" i="1"/>
  <c r="S46" i="1"/>
  <c r="T46" i="1"/>
  <c r="T68" i="1" s="1"/>
  <c r="U46" i="1"/>
  <c r="U68" i="1" s="1"/>
  <c r="V46" i="1"/>
  <c r="V69" i="1" s="1"/>
  <c r="V71" i="1" s="1"/>
  <c r="W46" i="1"/>
  <c r="X46" i="1"/>
  <c r="E47" i="1"/>
  <c r="F47" i="1"/>
  <c r="G47" i="1"/>
  <c r="H47" i="1"/>
  <c r="I47" i="1"/>
  <c r="J47" i="1"/>
  <c r="K47" i="1"/>
  <c r="K69" i="1" s="1"/>
  <c r="K71" i="1" s="1"/>
  <c r="L47" i="1"/>
  <c r="M47" i="1"/>
  <c r="N47" i="1"/>
  <c r="O47" i="1"/>
  <c r="P47" i="1"/>
  <c r="Q47" i="1"/>
  <c r="R47" i="1"/>
  <c r="S47" i="1"/>
  <c r="T47" i="1"/>
  <c r="U47" i="1"/>
  <c r="V47" i="1"/>
  <c r="W47" i="1"/>
  <c r="W69" i="1" s="1"/>
  <c r="W71" i="1" s="1"/>
  <c r="E48" i="1"/>
  <c r="F48" i="1"/>
  <c r="G48" i="1"/>
  <c r="H48" i="1"/>
  <c r="I48" i="1"/>
  <c r="J48" i="1"/>
  <c r="K48" i="1"/>
  <c r="L48" i="1"/>
  <c r="M48" i="1"/>
  <c r="N48" i="1"/>
  <c r="O48" i="1"/>
  <c r="P48" i="1"/>
  <c r="Q48" i="1"/>
  <c r="R48" i="1"/>
  <c r="S48" i="1"/>
  <c r="T48" i="1"/>
  <c r="U48" i="1"/>
  <c r="V48" i="1"/>
  <c r="E49" i="1"/>
  <c r="F49" i="1"/>
  <c r="G49" i="1"/>
  <c r="H49" i="1"/>
  <c r="I49" i="1"/>
  <c r="J49" i="1"/>
  <c r="K49" i="1"/>
  <c r="L49" i="1"/>
  <c r="M49" i="1"/>
  <c r="N49" i="1"/>
  <c r="O49" i="1"/>
  <c r="P49" i="1"/>
  <c r="Q49" i="1"/>
  <c r="R49" i="1"/>
  <c r="S49" i="1"/>
  <c r="T49" i="1"/>
  <c r="U49" i="1"/>
  <c r="E50" i="1"/>
  <c r="F50" i="1"/>
  <c r="G50" i="1"/>
  <c r="H50" i="1"/>
  <c r="H69" i="1" s="1"/>
  <c r="H71" i="1" s="1"/>
  <c r="I50" i="1"/>
  <c r="J50" i="1"/>
  <c r="K50" i="1"/>
  <c r="L50" i="1"/>
  <c r="M50" i="1"/>
  <c r="N50" i="1"/>
  <c r="O50" i="1"/>
  <c r="P50" i="1"/>
  <c r="Q50" i="1"/>
  <c r="R50" i="1"/>
  <c r="S50" i="1"/>
  <c r="T50" i="1"/>
  <c r="T69" i="1" s="1"/>
  <c r="T71" i="1" s="1"/>
  <c r="E51" i="1"/>
  <c r="F51" i="1"/>
  <c r="G51" i="1"/>
  <c r="H51" i="1"/>
  <c r="I51" i="1"/>
  <c r="J51" i="1"/>
  <c r="K51" i="1"/>
  <c r="L51" i="1"/>
  <c r="M51" i="1"/>
  <c r="N51" i="1"/>
  <c r="O51" i="1"/>
  <c r="P51" i="1"/>
  <c r="Q51" i="1"/>
  <c r="R51" i="1"/>
  <c r="S51" i="1"/>
  <c r="E52" i="1"/>
  <c r="F52" i="1"/>
  <c r="G52" i="1"/>
  <c r="H52" i="1"/>
  <c r="I52" i="1"/>
  <c r="J52" i="1"/>
  <c r="K52" i="1"/>
  <c r="L52" i="1"/>
  <c r="M52" i="1"/>
  <c r="N52" i="1"/>
  <c r="O52" i="1"/>
  <c r="P52" i="1"/>
  <c r="Q52" i="1"/>
  <c r="R52" i="1"/>
  <c r="E53" i="1"/>
  <c r="F53" i="1"/>
  <c r="G53" i="1"/>
  <c r="H53" i="1"/>
  <c r="I53" i="1"/>
  <c r="J53" i="1"/>
  <c r="K53" i="1"/>
  <c r="L53" i="1"/>
  <c r="M53" i="1"/>
  <c r="N53" i="1"/>
  <c r="O53" i="1"/>
  <c r="P53" i="1"/>
  <c r="Q53" i="1"/>
  <c r="E54" i="1"/>
  <c r="F54" i="1"/>
  <c r="G54" i="1"/>
  <c r="H54" i="1"/>
  <c r="I54" i="1"/>
  <c r="J54" i="1"/>
  <c r="K54" i="1"/>
  <c r="L54" i="1"/>
  <c r="M54" i="1"/>
  <c r="N54" i="1"/>
  <c r="O54" i="1"/>
  <c r="P54" i="1"/>
  <c r="E55" i="1"/>
  <c r="F55" i="1"/>
  <c r="G55" i="1"/>
  <c r="H55" i="1"/>
  <c r="I55" i="1"/>
  <c r="J55" i="1"/>
  <c r="K55" i="1"/>
  <c r="L55" i="1"/>
  <c r="M55" i="1"/>
  <c r="N55" i="1"/>
  <c r="O55" i="1"/>
  <c r="E56" i="1"/>
  <c r="F56" i="1"/>
  <c r="G56" i="1"/>
  <c r="H56" i="1"/>
  <c r="I56" i="1"/>
  <c r="J56" i="1"/>
  <c r="K56" i="1"/>
  <c r="L56" i="1"/>
  <c r="M56" i="1"/>
  <c r="N56" i="1"/>
  <c r="E57" i="1"/>
  <c r="F57" i="1"/>
  <c r="G57" i="1"/>
  <c r="H57" i="1"/>
  <c r="I57" i="1"/>
  <c r="J57" i="1"/>
  <c r="K57" i="1"/>
  <c r="L57" i="1"/>
  <c r="M57" i="1"/>
  <c r="E58" i="1"/>
  <c r="F58" i="1"/>
  <c r="G58" i="1"/>
  <c r="H58" i="1"/>
  <c r="I58" i="1"/>
  <c r="J58" i="1"/>
  <c r="K58" i="1"/>
  <c r="L58" i="1"/>
  <c r="E59" i="1"/>
  <c r="F59" i="1"/>
  <c r="G59" i="1"/>
  <c r="H59" i="1"/>
  <c r="I59" i="1"/>
  <c r="J59" i="1"/>
  <c r="K59" i="1"/>
  <c r="E60" i="1"/>
  <c r="F60" i="1"/>
  <c r="G60" i="1"/>
  <c r="H60" i="1"/>
  <c r="I60" i="1"/>
  <c r="J60" i="1"/>
  <c r="E61" i="1"/>
  <c r="F61" i="1"/>
  <c r="G61" i="1"/>
  <c r="H61" i="1"/>
  <c r="I61" i="1"/>
  <c r="E62" i="1"/>
  <c r="F62" i="1"/>
  <c r="G62" i="1"/>
  <c r="H62" i="1"/>
  <c r="E63" i="1"/>
  <c r="F63" i="1"/>
  <c r="G63" i="1"/>
  <c r="E64" i="1"/>
  <c r="F64" i="1"/>
  <c r="E65" i="1"/>
  <c r="E68" i="1" s="1"/>
  <c r="D43" i="1"/>
  <c r="E43" i="1" s="1"/>
  <c r="F43" i="1" s="1"/>
  <c r="G43" i="1" s="1"/>
  <c r="H43" i="1" s="1"/>
  <c r="I43" i="1" s="1"/>
  <c r="J43" i="1" s="1"/>
  <c r="K43" i="1" s="1"/>
  <c r="L43" i="1" s="1"/>
  <c r="M43" i="1" s="1"/>
  <c r="N43" i="1" s="1"/>
  <c r="O43" i="1" s="1"/>
  <c r="P43" i="1" s="1"/>
  <c r="Q43" i="1" s="1"/>
  <c r="R43" i="1" s="1"/>
  <c r="S43" i="1" s="1"/>
  <c r="T43" i="1" s="1"/>
  <c r="U43" i="1" s="1"/>
  <c r="V43" i="1" s="1"/>
  <c r="W43" i="1" s="1"/>
  <c r="X43" i="1" s="1"/>
  <c r="Y43" i="1" s="1"/>
  <c r="Z43" i="1" s="1"/>
  <c r="D66" i="2"/>
  <c r="F27" i="6" l="1"/>
  <c r="G27" i="6" s="1"/>
  <c r="H27" i="6" s="1"/>
  <c r="I27" i="6" s="1"/>
  <c r="J27" i="6" s="1"/>
  <c r="K27" i="6" s="1"/>
  <c r="L27" i="6" s="1"/>
  <c r="M27" i="6" s="1"/>
  <c r="N27" i="6" s="1"/>
  <c r="O27" i="6" s="1"/>
  <c r="P27" i="6" s="1"/>
  <c r="Q27" i="6" s="1"/>
  <c r="R27" i="6" s="1"/>
  <c r="S27" i="6" s="1"/>
  <c r="T27" i="6" s="1"/>
  <c r="U27" i="6" s="1"/>
  <c r="V27" i="6" s="1"/>
  <c r="W27" i="6" s="1"/>
  <c r="X27" i="6" s="1"/>
  <c r="Y27" i="6" s="1"/>
  <c r="Z27" i="6" s="1"/>
  <c r="AC14" i="6"/>
  <c r="AC7" i="6"/>
  <c r="AC9" i="6"/>
  <c r="AC12" i="6"/>
  <c r="AC27" i="6"/>
  <c r="AC24" i="6"/>
  <c r="AC19" i="6"/>
  <c r="AC6" i="6"/>
  <c r="AC15" i="6"/>
  <c r="AC8" i="6"/>
  <c r="AC26" i="6"/>
  <c r="AC25" i="6"/>
  <c r="AC23" i="6"/>
  <c r="AC22" i="6"/>
  <c r="AC21" i="6"/>
  <c r="AC20" i="6"/>
  <c r="AC11" i="6"/>
  <c r="AC13" i="6"/>
  <c r="AC28" i="6"/>
  <c r="AC16" i="6"/>
  <c r="AC17" i="6"/>
  <c r="AC10" i="6"/>
  <c r="AA31" i="6"/>
  <c r="AC4" i="6"/>
  <c r="AC31" i="6" s="1"/>
  <c r="Z7" i="5"/>
  <c r="AA7" i="5" s="1"/>
  <c r="AB7" i="5" s="1"/>
  <c r="AD7" i="5" s="1"/>
  <c r="AA6" i="5"/>
  <c r="Z23" i="5"/>
  <c r="AA23" i="5" s="1"/>
  <c r="AB23" i="5" s="1"/>
  <c r="AD23" i="5" s="1"/>
  <c r="AA5" i="5"/>
  <c r="AB5" i="5" s="1"/>
  <c r="AD5" i="5" s="1"/>
  <c r="Z10" i="5"/>
  <c r="AA10" i="5" s="1"/>
  <c r="AB10" i="5" s="1"/>
  <c r="AD10" i="5" s="1"/>
  <c r="AA17" i="5"/>
  <c r="AB17" i="5" s="1"/>
  <c r="AD17" i="5" s="1"/>
  <c r="AA9" i="5"/>
  <c r="AB9" i="5" s="1"/>
  <c r="AD9" i="5" s="1"/>
  <c r="Z21" i="5"/>
  <c r="AA21" i="5" s="1"/>
  <c r="AB21" i="5" s="1"/>
  <c r="AD21" i="5" s="1"/>
  <c r="AA11" i="5"/>
  <c r="AB11" i="5" s="1"/>
  <c r="AD11" i="5" s="1"/>
  <c r="Z6" i="5"/>
  <c r="AA19" i="5"/>
  <c r="AA22" i="5"/>
  <c r="AB22" i="5" s="1"/>
  <c r="AD22" i="5" s="1"/>
  <c r="Z17" i="5"/>
  <c r="Z5" i="5"/>
  <c r="Z16" i="5"/>
  <c r="AA16" i="5" s="1"/>
  <c r="AB16" i="5" s="1"/>
  <c r="AD16" i="5" s="1"/>
  <c r="AA12" i="5"/>
  <c r="AB12" i="5" s="1"/>
  <c r="AD12" i="5" s="1"/>
  <c r="AA18" i="5"/>
  <c r="AB18" i="5" s="1"/>
  <c r="AD18" i="5" s="1"/>
  <c r="AA26" i="5"/>
  <c r="AB26" i="5" s="1"/>
  <c r="AD26" i="5" s="1"/>
  <c r="AA20" i="5"/>
  <c r="AB20" i="5" s="1"/>
  <c r="AD20" i="5" s="1"/>
  <c r="AA14" i="5"/>
  <c r="AB14" i="5" s="1"/>
  <c r="AD14" i="5" s="1"/>
  <c r="AA8" i="5"/>
  <c r="AB8" i="5" s="1"/>
  <c r="AD8" i="5" s="1"/>
  <c r="AB13" i="5"/>
  <c r="AD13" i="5" s="1"/>
  <c r="AB19" i="5"/>
  <c r="AD19" i="5" s="1"/>
  <c r="AB25" i="5"/>
  <c r="AD25" i="5" s="1"/>
  <c r="AB6" i="5"/>
  <c r="AD6" i="5" s="1"/>
  <c r="AB24" i="5"/>
  <c r="AD24" i="5" s="1"/>
  <c r="AA27" i="5"/>
  <c r="AB27" i="5" s="1"/>
  <c r="AD27" i="5" s="1"/>
  <c r="AA15" i="5"/>
  <c r="AB15" i="5" s="1"/>
  <c r="AD15" i="5" s="1"/>
  <c r="AD4" i="5"/>
  <c r="S71" i="1"/>
  <c r="S70" i="1"/>
  <c r="Q68" i="1"/>
  <c r="U69" i="1"/>
  <c r="U71" i="1" s="1"/>
  <c r="G69" i="1"/>
  <c r="G70" i="1" s="1"/>
  <c r="I68" i="1"/>
  <c r="L69" i="1"/>
  <c r="L71" i="1" s="1"/>
  <c r="X69" i="1"/>
  <c r="X71" i="1" s="1"/>
  <c r="M69" i="1"/>
  <c r="M71" i="1" s="1"/>
  <c r="Y69" i="1"/>
  <c r="Y71" i="1" s="1"/>
  <c r="S68" i="1"/>
  <c r="N69" i="1"/>
  <c r="N71" i="1" s="1"/>
  <c r="Z69" i="1"/>
  <c r="Z71" i="1" s="1"/>
  <c r="O69" i="1"/>
  <c r="O71" i="1" s="1"/>
  <c r="P69" i="1"/>
  <c r="P71" i="1" s="1"/>
  <c r="D68" i="1"/>
  <c r="D70" i="1"/>
  <c r="P70" i="1"/>
  <c r="E71" i="1"/>
  <c r="R70" i="1"/>
  <c r="G71" i="1"/>
  <c r="H70" i="1"/>
  <c r="T70" i="1"/>
  <c r="F71" i="1"/>
  <c r="I70" i="1"/>
  <c r="Q70" i="1"/>
  <c r="J70" i="1"/>
  <c r="V70" i="1"/>
  <c r="K70" i="1"/>
  <c r="W70" i="1"/>
  <c r="L70" i="1"/>
  <c r="X70" i="1"/>
  <c r="M70" i="1"/>
  <c r="Y70" i="1"/>
  <c r="Z70" i="1"/>
  <c r="O70" i="1"/>
  <c r="AD28" i="5" l="1"/>
  <c r="AB28" i="5"/>
  <c r="N70" i="1"/>
  <c r="U70" i="1"/>
  <c r="E44" i="2" l="1"/>
  <c r="F44" i="2"/>
  <c r="G44" i="2"/>
  <c r="H44" i="2"/>
  <c r="I44" i="2"/>
  <c r="J44" i="2"/>
  <c r="K44" i="2"/>
  <c r="L44" i="2"/>
  <c r="M44" i="2"/>
  <c r="N44" i="2"/>
  <c r="O44" i="2"/>
  <c r="P44" i="2"/>
  <c r="Q44" i="2"/>
  <c r="R44" i="2"/>
  <c r="S44" i="2"/>
  <c r="T44" i="2"/>
  <c r="U44" i="2"/>
  <c r="V44" i="2"/>
  <c r="W44" i="2"/>
  <c r="X44" i="2"/>
  <c r="Y44" i="2"/>
  <c r="Z44" i="2"/>
  <c r="E45" i="2"/>
  <c r="F45" i="2"/>
  <c r="G45" i="2"/>
  <c r="H45" i="2"/>
  <c r="I45" i="2"/>
  <c r="J45" i="2"/>
  <c r="K45" i="2"/>
  <c r="L45" i="2"/>
  <c r="M45" i="2"/>
  <c r="N45" i="2"/>
  <c r="O45" i="2"/>
  <c r="P45" i="2"/>
  <c r="Q45" i="2"/>
  <c r="R45" i="2"/>
  <c r="S45" i="2"/>
  <c r="T45" i="2"/>
  <c r="U45" i="2"/>
  <c r="V45" i="2"/>
  <c r="W45" i="2"/>
  <c r="X45" i="2"/>
  <c r="Y45" i="2"/>
  <c r="E46" i="2"/>
  <c r="F46" i="2"/>
  <c r="G46" i="2"/>
  <c r="H46" i="2"/>
  <c r="I46" i="2"/>
  <c r="J46" i="2"/>
  <c r="K46" i="2"/>
  <c r="L46" i="2"/>
  <c r="M46" i="2"/>
  <c r="N46" i="2"/>
  <c r="O46" i="2"/>
  <c r="P46" i="2"/>
  <c r="Q46" i="2"/>
  <c r="R46" i="2"/>
  <c r="S46" i="2"/>
  <c r="T46" i="2"/>
  <c r="U46" i="2"/>
  <c r="V46" i="2"/>
  <c r="W46" i="2"/>
  <c r="X46" i="2"/>
  <c r="E47" i="2"/>
  <c r="F47" i="2"/>
  <c r="G47" i="2"/>
  <c r="H47" i="2"/>
  <c r="I47" i="2"/>
  <c r="J47" i="2"/>
  <c r="K47" i="2"/>
  <c r="L47" i="2"/>
  <c r="M47" i="2"/>
  <c r="N47" i="2"/>
  <c r="O47" i="2"/>
  <c r="P47" i="2"/>
  <c r="Q47" i="2"/>
  <c r="R47" i="2"/>
  <c r="S47" i="2"/>
  <c r="T47" i="2"/>
  <c r="U47" i="2"/>
  <c r="V47" i="2"/>
  <c r="W47" i="2"/>
  <c r="E48" i="2"/>
  <c r="F48" i="2"/>
  <c r="G48" i="2"/>
  <c r="H48" i="2"/>
  <c r="I48" i="2"/>
  <c r="J48" i="2"/>
  <c r="K48" i="2"/>
  <c r="L48" i="2"/>
  <c r="M48" i="2"/>
  <c r="N48" i="2"/>
  <c r="O48" i="2"/>
  <c r="P48" i="2"/>
  <c r="Q48" i="2"/>
  <c r="R48" i="2"/>
  <c r="S48" i="2"/>
  <c r="T48" i="2"/>
  <c r="U48" i="2"/>
  <c r="V48" i="2"/>
  <c r="E49" i="2"/>
  <c r="F49" i="2"/>
  <c r="G49" i="2"/>
  <c r="H49" i="2"/>
  <c r="I49" i="2"/>
  <c r="J49" i="2"/>
  <c r="K49" i="2"/>
  <c r="L49" i="2"/>
  <c r="M49" i="2"/>
  <c r="N49" i="2"/>
  <c r="O49" i="2"/>
  <c r="P49" i="2"/>
  <c r="Q49" i="2"/>
  <c r="R49" i="2"/>
  <c r="S49" i="2"/>
  <c r="T49" i="2"/>
  <c r="U49" i="2"/>
  <c r="E50" i="2"/>
  <c r="F50" i="2"/>
  <c r="G50" i="2"/>
  <c r="H50" i="2"/>
  <c r="I50" i="2"/>
  <c r="J50" i="2"/>
  <c r="K50" i="2"/>
  <c r="L50" i="2"/>
  <c r="M50" i="2"/>
  <c r="N50" i="2"/>
  <c r="O50" i="2"/>
  <c r="P50" i="2"/>
  <c r="Q50" i="2"/>
  <c r="R50" i="2"/>
  <c r="S50" i="2"/>
  <c r="T50" i="2"/>
  <c r="E51" i="2"/>
  <c r="F51" i="2"/>
  <c r="G51" i="2"/>
  <c r="H51" i="2"/>
  <c r="I51" i="2"/>
  <c r="J51" i="2"/>
  <c r="K51" i="2"/>
  <c r="L51" i="2"/>
  <c r="M51" i="2"/>
  <c r="N51" i="2"/>
  <c r="O51" i="2"/>
  <c r="P51" i="2"/>
  <c r="Q51" i="2"/>
  <c r="R51" i="2"/>
  <c r="S51" i="2"/>
  <c r="E52" i="2"/>
  <c r="F52" i="2"/>
  <c r="G52" i="2"/>
  <c r="H52" i="2"/>
  <c r="I52" i="2"/>
  <c r="J52" i="2"/>
  <c r="K52" i="2"/>
  <c r="L52" i="2"/>
  <c r="M52" i="2"/>
  <c r="N52" i="2"/>
  <c r="O52" i="2"/>
  <c r="P52" i="2"/>
  <c r="Q52" i="2"/>
  <c r="R52" i="2"/>
  <c r="E53" i="2"/>
  <c r="F53" i="2"/>
  <c r="G53" i="2"/>
  <c r="H53" i="2"/>
  <c r="I53" i="2"/>
  <c r="J53" i="2"/>
  <c r="K53" i="2"/>
  <c r="L53" i="2"/>
  <c r="M53" i="2"/>
  <c r="N53" i="2"/>
  <c r="O53" i="2"/>
  <c r="P53" i="2"/>
  <c r="Q53" i="2"/>
  <c r="E54" i="2"/>
  <c r="F54" i="2"/>
  <c r="G54" i="2"/>
  <c r="H54" i="2"/>
  <c r="I54" i="2"/>
  <c r="J54" i="2"/>
  <c r="K54" i="2"/>
  <c r="L54" i="2"/>
  <c r="M54" i="2"/>
  <c r="N54" i="2"/>
  <c r="O54" i="2"/>
  <c r="P54" i="2"/>
  <c r="E55" i="2"/>
  <c r="F55" i="2"/>
  <c r="G55" i="2"/>
  <c r="H55" i="2"/>
  <c r="I55" i="2"/>
  <c r="J55" i="2"/>
  <c r="K55" i="2"/>
  <c r="L55" i="2"/>
  <c r="M55" i="2"/>
  <c r="N55" i="2"/>
  <c r="O55" i="2"/>
  <c r="E56" i="2"/>
  <c r="F56" i="2"/>
  <c r="G56" i="2"/>
  <c r="H56" i="2"/>
  <c r="I56" i="2"/>
  <c r="J56" i="2"/>
  <c r="K56" i="2"/>
  <c r="L56" i="2"/>
  <c r="M56" i="2"/>
  <c r="N56" i="2"/>
  <c r="E57" i="2"/>
  <c r="F57" i="2"/>
  <c r="G57" i="2"/>
  <c r="H57" i="2"/>
  <c r="I57" i="2"/>
  <c r="J57" i="2"/>
  <c r="K57" i="2"/>
  <c r="L57" i="2"/>
  <c r="M57" i="2"/>
  <c r="E58" i="2"/>
  <c r="F58" i="2"/>
  <c r="G58" i="2"/>
  <c r="H58" i="2"/>
  <c r="I58" i="2"/>
  <c r="J58" i="2"/>
  <c r="K58" i="2"/>
  <c r="L58" i="2"/>
  <c r="E59" i="2"/>
  <c r="F59" i="2"/>
  <c r="G59" i="2"/>
  <c r="H59" i="2"/>
  <c r="I59" i="2"/>
  <c r="J59" i="2"/>
  <c r="K59" i="2"/>
  <c r="E60" i="2"/>
  <c r="F60" i="2"/>
  <c r="G60" i="2"/>
  <c r="H60" i="2"/>
  <c r="I60" i="2"/>
  <c r="J60" i="2"/>
  <c r="E61" i="2"/>
  <c r="F61" i="2"/>
  <c r="G61" i="2"/>
  <c r="H61" i="2"/>
  <c r="I61" i="2"/>
  <c r="E62" i="2"/>
  <c r="F62" i="2"/>
  <c r="G62" i="2"/>
  <c r="H62" i="2"/>
  <c r="E63" i="2"/>
  <c r="F63" i="2"/>
  <c r="G63" i="2"/>
  <c r="E64" i="2"/>
  <c r="F64" i="2"/>
  <c r="E65" i="2"/>
  <c r="D45" i="2"/>
  <c r="D46" i="2"/>
  <c r="D47" i="2"/>
  <c r="D48" i="2"/>
  <c r="D49" i="2"/>
  <c r="D50" i="2"/>
  <c r="D51" i="2"/>
  <c r="D52" i="2"/>
  <c r="D53" i="2"/>
  <c r="D54" i="2"/>
  <c r="D55" i="2"/>
  <c r="D56" i="2"/>
  <c r="D57" i="2"/>
  <c r="D58" i="2"/>
  <c r="D59" i="2"/>
  <c r="D60" i="2"/>
  <c r="D61" i="2"/>
  <c r="D62" i="2"/>
  <c r="D63" i="2"/>
  <c r="D64" i="2"/>
  <c r="D65" i="2"/>
  <c r="D44" i="2"/>
  <c r="E43" i="2"/>
  <c r="F43" i="2" s="1"/>
  <c r="G43" i="2" s="1"/>
  <c r="H43" i="2" s="1"/>
  <c r="I43" i="2" s="1"/>
  <c r="J43" i="2" s="1"/>
  <c r="K43" i="2" s="1"/>
  <c r="L43" i="2" s="1"/>
  <c r="M43" i="2" s="1"/>
  <c r="N43" i="2" s="1"/>
  <c r="O43" i="2" s="1"/>
  <c r="P43" i="2" s="1"/>
  <c r="Q43" i="2" s="1"/>
  <c r="R43" i="2" s="1"/>
  <c r="S43" i="2" s="1"/>
  <c r="T43" i="2" s="1"/>
  <c r="U43" i="2" s="1"/>
  <c r="V43" i="2" s="1"/>
  <c r="W43" i="2" s="1"/>
  <c r="X43" i="2" s="1"/>
  <c r="Y43" i="2" s="1"/>
  <c r="Z43" i="2" s="1"/>
  <c r="AA43" i="2" s="1"/>
  <c r="C6" i="3"/>
  <c r="C7" i="3"/>
  <c r="C8" i="3"/>
  <c r="C9" i="3"/>
  <c r="C10" i="3"/>
  <c r="C5" i="3"/>
  <c r="E110" i="2"/>
  <c r="F110" i="2" s="1"/>
  <c r="G110" i="2" s="1"/>
  <c r="H110" i="2" s="1"/>
  <c r="I110" i="2" s="1"/>
  <c r="J110" i="2" s="1"/>
  <c r="K110" i="2" s="1"/>
  <c r="L110" i="2" s="1"/>
  <c r="M110" i="2" s="1"/>
  <c r="N110" i="2" s="1"/>
  <c r="O110" i="2" s="1"/>
  <c r="P110" i="2" s="1"/>
  <c r="Q110" i="2" s="1"/>
  <c r="R110" i="2" s="1"/>
  <c r="S110" i="2" s="1"/>
  <c r="T110" i="2" s="1"/>
  <c r="U110" i="2" s="1"/>
  <c r="V110" i="2" s="1"/>
  <c r="W110" i="2" s="1"/>
  <c r="X110" i="2" s="1"/>
  <c r="Y110" i="2" s="1"/>
  <c r="Z83" i="2" s="1"/>
  <c r="AA83" i="2" s="1"/>
  <c r="B80" i="2"/>
  <c r="E79" i="2" a="1"/>
  <c r="E15" i="2"/>
  <c r="F15" i="2" s="1"/>
  <c r="G15" i="2" s="1"/>
  <c r="H15" i="2" s="1"/>
  <c r="I15" i="2" s="1"/>
  <c r="J15" i="2" s="1"/>
  <c r="K15" i="2" s="1"/>
  <c r="L15" i="2" s="1"/>
  <c r="M15" i="2" s="1"/>
  <c r="N15" i="2" s="1"/>
  <c r="O15" i="2" s="1"/>
  <c r="P15" i="2" s="1"/>
  <c r="Q15" i="2" s="1"/>
  <c r="R15" i="2" s="1"/>
  <c r="S15" i="2" s="1"/>
  <c r="T15" i="2" s="1"/>
  <c r="U15" i="2" s="1"/>
  <c r="V15" i="2" s="1"/>
  <c r="W15" i="2" s="1"/>
  <c r="X15" i="2" s="1"/>
  <c r="Y15" i="2" s="1"/>
  <c r="Z15" i="2" s="1"/>
  <c r="AA15" i="2" s="1"/>
  <c r="E109" i="1"/>
  <c r="F109" i="1" s="1"/>
  <c r="G109" i="1" s="1"/>
  <c r="H109" i="1" s="1"/>
  <c r="I109" i="1" s="1"/>
  <c r="J109" i="1" s="1"/>
  <c r="K109" i="1" s="1"/>
  <c r="L109" i="1" s="1"/>
  <c r="M109" i="1" s="1"/>
  <c r="N109" i="1" s="1"/>
  <c r="O109" i="1" s="1"/>
  <c r="P109" i="1" s="1"/>
  <c r="Q109" i="1" s="1"/>
  <c r="R109" i="1" s="1"/>
  <c r="S109" i="1" s="1"/>
  <c r="T109" i="1" s="1"/>
  <c r="U109" i="1" s="1"/>
  <c r="V109" i="1" s="1"/>
  <c r="W109" i="1" s="1"/>
  <c r="X109" i="1" s="1"/>
  <c r="Y84" i="1" s="1"/>
  <c r="Z84" i="1" s="1"/>
  <c r="AA84" i="1" s="1"/>
  <c r="B79" i="1"/>
  <c r="E78" i="1" a="1"/>
  <c r="E15" i="1"/>
  <c r="F15" i="1" s="1"/>
  <c r="G15" i="1" s="1"/>
  <c r="H15" i="1" s="1"/>
  <c r="I15" i="1" s="1"/>
  <c r="J15" i="1" s="1"/>
  <c r="K15" i="1" s="1"/>
  <c r="L15" i="1" s="1"/>
  <c r="M15" i="1" s="1"/>
  <c r="N15" i="1" s="1"/>
  <c r="O15" i="1" s="1"/>
  <c r="P15" i="1" s="1"/>
  <c r="Q15" i="1" s="1"/>
  <c r="R15" i="1" s="1"/>
  <c r="S15" i="1" s="1"/>
  <c r="T15" i="1" s="1"/>
  <c r="U15" i="1" s="1"/>
  <c r="V15" i="1" s="1"/>
  <c r="W15" i="1" s="1"/>
  <c r="X15" i="1" s="1"/>
  <c r="Y15" i="1" s="1"/>
  <c r="Z15" i="1" s="1"/>
  <c r="AA15" i="1" s="1"/>
  <c r="L68" i="2" l="1"/>
  <c r="L69" i="2"/>
  <c r="J69" i="2"/>
  <c r="J68" i="2"/>
  <c r="U68" i="2"/>
  <c r="U69" i="2"/>
  <c r="I68" i="2"/>
  <c r="I69" i="2"/>
  <c r="N69" i="2"/>
  <c r="N68" i="2"/>
  <c r="V68" i="2"/>
  <c r="V69" i="2"/>
  <c r="T68" i="2"/>
  <c r="T69" i="2"/>
  <c r="H68" i="2"/>
  <c r="H69" i="2"/>
  <c r="X69" i="2"/>
  <c r="X68" i="2"/>
  <c r="S68" i="2"/>
  <c r="S69" i="2"/>
  <c r="G68" i="2"/>
  <c r="G69" i="2"/>
  <c r="M69" i="2"/>
  <c r="M68" i="2"/>
  <c r="R68" i="2"/>
  <c r="R69" i="2"/>
  <c r="F68" i="2"/>
  <c r="F69" i="2"/>
  <c r="Y68" i="2"/>
  <c r="Y69" i="2"/>
  <c r="K68" i="2"/>
  <c r="K69" i="2"/>
  <c r="Q69" i="2"/>
  <c r="Q68" i="2"/>
  <c r="E68" i="2"/>
  <c r="E69" i="2"/>
  <c r="Z69" i="2"/>
  <c r="Z68" i="2"/>
  <c r="P68" i="2"/>
  <c r="P69" i="2"/>
  <c r="W69" i="2"/>
  <c r="W68" i="2"/>
  <c r="D68" i="2"/>
  <c r="D69" i="2"/>
  <c r="O68" i="2"/>
  <c r="O69" i="2"/>
  <c r="B81" i="2"/>
  <c r="E80" i="2" a="1"/>
  <c r="E79" i="1" a="1"/>
  <c r="B80" i="1"/>
  <c r="E70" i="2" l="1"/>
  <c r="E71" i="2"/>
  <c r="V70" i="2"/>
  <c r="V71" i="2"/>
  <c r="N71" i="2"/>
  <c r="N70" i="2"/>
  <c r="D71" i="2"/>
  <c r="D70" i="2"/>
  <c r="K70" i="2"/>
  <c r="K71" i="2"/>
  <c r="S70" i="2"/>
  <c r="S71" i="2"/>
  <c r="I71" i="2"/>
  <c r="I70" i="2"/>
  <c r="O70" i="2"/>
  <c r="O71" i="2"/>
  <c r="U70" i="2"/>
  <c r="U71" i="2"/>
  <c r="W70" i="2"/>
  <c r="W71" i="2"/>
  <c r="X71" i="2"/>
  <c r="X70" i="2"/>
  <c r="P70" i="2"/>
  <c r="P71" i="2"/>
  <c r="F70" i="2"/>
  <c r="F71" i="2"/>
  <c r="H70" i="2"/>
  <c r="H71" i="2"/>
  <c r="J71" i="2"/>
  <c r="J70" i="2"/>
  <c r="Q70" i="2"/>
  <c r="Q71" i="2"/>
  <c r="Y70" i="2"/>
  <c r="Y71" i="2"/>
  <c r="R70" i="2"/>
  <c r="R71" i="2"/>
  <c r="T71" i="2"/>
  <c r="T70" i="2"/>
  <c r="L71" i="2"/>
  <c r="L70" i="2"/>
  <c r="M70" i="2"/>
  <c r="M71" i="2"/>
  <c r="G70" i="2"/>
  <c r="G71" i="2"/>
  <c r="Z70" i="2"/>
  <c r="Z71" i="2"/>
  <c r="E81" i="2" a="1"/>
  <c r="B82" i="2"/>
  <c r="E80" i="1" a="1"/>
  <c r="B81" i="1"/>
  <c r="E82" i="2" l="1" a="1"/>
  <c r="B83" i="2"/>
  <c r="E81" i="1" a="1"/>
  <c r="B82" i="1"/>
  <c r="B84" i="2" l="1"/>
  <c r="E83" i="2" a="1"/>
  <c r="E82" i="1" a="1"/>
  <c r="B83" i="1"/>
  <c r="E84" i="2" l="1" a="1"/>
  <c r="B85" i="2"/>
  <c r="E83" i="1" a="1"/>
  <c r="B84" i="1"/>
  <c r="E85" i="2" l="1" a="1"/>
  <c r="B86" i="2"/>
  <c r="E84" i="1" a="1"/>
  <c r="B85" i="1"/>
  <c r="B87" i="2" l="1"/>
  <c r="E86" i="2" a="1"/>
  <c r="E85" i="1" a="1"/>
  <c r="B86" i="1"/>
  <c r="E87" i="2" l="1" a="1"/>
  <c r="B88" i="2"/>
  <c r="E86" i="1" a="1"/>
  <c r="B87" i="1"/>
  <c r="B89" i="2" l="1"/>
  <c r="E88" i="2" a="1"/>
  <c r="E87" i="1" a="1"/>
  <c r="B88" i="1"/>
  <c r="E89" i="2" l="1" a="1"/>
  <c r="B90" i="2"/>
  <c r="E88" i="1" a="1"/>
  <c r="B89" i="1"/>
  <c r="B91" i="2" l="1"/>
  <c r="E90" i="2" a="1"/>
  <c r="E89" i="1" a="1"/>
  <c r="B90" i="1"/>
  <c r="E91" i="2" l="1" a="1"/>
  <c r="B92" i="2"/>
  <c r="E90" i="1" a="1"/>
  <c r="B91" i="1"/>
  <c r="B93" i="2" l="1"/>
  <c r="E92" i="2" a="1"/>
  <c r="E91" i="1" a="1"/>
  <c r="B92" i="1"/>
  <c r="B94" i="2" l="1"/>
  <c r="E93" i="2" a="1"/>
  <c r="E92" i="1" a="1"/>
  <c r="B93" i="1"/>
  <c r="E94" i="2" l="1" a="1"/>
  <c r="B95" i="2"/>
  <c r="B94" i="1"/>
  <c r="E93" i="1" a="1"/>
  <c r="B96" i="2" l="1"/>
  <c r="E95" i="2" a="1"/>
  <c r="E94" i="1" a="1"/>
  <c r="B95" i="1"/>
  <c r="E96" i="2" l="1" a="1"/>
  <c r="B97" i="2"/>
  <c r="B96" i="1"/>
  <c r="E95" i="1" a="1"/>
  <c r="E97" i="2" l="1" a="1"/>
  <c r="B98" i="2"/>
  <c r="B97" i="1"/>
  <c r="E96" i="1" a="1"/>
  <c r="B99" i="2" l="1"/>
  <c r="E98" i="2" a="1"/>
  <c r="E97" i="1" a="1"/>
  <c r="B98" i="1"/>
  <c r="E99" i="2" l="1" a="1"/>
  <c r="B100" i="2"/>
  <c r="E98" i="1" a="1"/>
  <c r="B99" i="1"/>
  <c r="E100" i="2" l="1" a="1"/>
  <c r="B101" i="2"/>
  <c r="B100" i="1"/>
  <c r="E99" i="1" a="1"/>
  <c r="E101" i="2" l="1" a="1"/>
  <c r="B102" i="2"/>
  <c r="E102" i="2" s="1" a="1"/>
  <c r="E102" i="2" s="1"/>
  <c r="B101" i="1"/>
  <c r="E101" i="1" s="1" a="1"/>
  <c r="E101" i="1" s="1"/>
  <c r="E100" i="1" a="1"/>
  <c r="E100" i="1" s="1"/>
  <c r="E99" i="1"/>
  <c r="E98" i="1"/>
  <c r="E97" i="1"/>
  <c r="E96" i="1"/>
  <c r="E95" i="1"/>
  <c r="E94" i="1"/>
  <c r="E93" i="1"/>
  <c r="E92" i="1"/>
  <c r="E91" i="1"/>
  <c r="E90" i="1"/>
  <c r="E89" i="1"/>
  <c r="E88" i="1"/>
  <c r="E87" i="1"/>
  <c r="E86" i="1"/>
  <c r="E85" i="1"/>
  <c r="E84" i="1"/>
  <c r="E83" i="1"/>
  <c r="E82" i="1"/>
  <c r="E81" i="1"/>
  <c r="E80" i="1"/>
  <c r="E79" i="1"/>
  <c r="E78" i="1"/>
  <c r="E101" i="2"/>
  <c r="E100" i="2"/>
  <c r="E99" i="2"/>
  <c r="E98" i="2"/>
  <c r="E97" i="2"/>
  <c r="E96" i="2"/>
  <c r="E95" i="2"/>
  <c r="E94" i="2"/>
  <c r="E93" i="2"/>
  <c r="E92" i="2"/>
  <c r="E91" i="2"/>
  <c r="E90" i="2"/>
  <c r="E89" i="2"/>
  <c r="E88" i="2"/>
  <c r="E87" i="2"/>
  <c r="E86" i="2"/>
  <c r="E85" i="2"/>
  <c r="E84" i="2"/>
  <c r="E83" i="2"/>
  <c r="E82" i="2"/>
  <c r="E81" i="2"/>
  <c r="E80" i="2"/>
  <c r="E79" i="2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<sst xmlns="http://schemas.openxmlformats.org/spreadsheetml/2006/main" count="1225" uniqueCount="137">
  <si>
    <t>Calcula el IBNR del siguiente triangulo usando Chain Ladder, BF y Cape Cod</t>
  </si>
  <si>
    <t>1. el loss ratio a priori es 55%</t>
  </si>
  <si>
    <t>2. tasas</t>
  </si>
  <si>
    <t>3. tasa de interes 6%</t>
  </si>
  <si>
    <t>Contesta las sig preguntas:</t>
  </si>
  <si>
    <t>1. Qué metodología escogerías para cada trimestre y por qué?</t>
  </si>
  <si>
    <t>2. Excluiste algun periodo para el calculo de lo factores? Di que periodo y en que desarrollo y por qué</t>
  </si>
  <si>
    <t>3. Cómo sale el bakctesting para tu selección de ultimate para los trimestres del 1Q19 al 4Q20?</t>
  </si>
  <si>
    <t>4. Qué duración tiene está cartera?</t>
  </si>
  <si>
    <t>1Q19</t>
  </si>
  <si>
    <t>2Q19</t>
  </si>
  <si>
    <t/>
  </si>
  <si>
    <t>3Q19</t>
  </si>
  <si>
    <t>4Q19</t>
  </si>
  <si>
    <t>1Q20</t>
  </si>
  <si>
    <t>2Q20</t>
  </si>
  <si>
    <t>3Q20</t>
  </si>
  <si>
    <t>4Q20</t>
  </si>
  <si>
    <t>1Q21</t>
  </si>
  <si>
    <t>2Q21</t>
  </si>
  <si>
    <t>3Q21</t>
  </si>
  <si>
    <t>4Q21</t>
  </si>
  <si>
    <t>1Q22</t>
  </si>
  <si>
    <t>2Q22</t>
  </si>
  <si>
    <t>3Q22</t>
  </si>
  <si>
    <t>4Q22</t>
  </si>
  <si>
    <t>1Q23</t>
  </si>
  <si>
    <t>2Q23</t>
  </si>
  <si>
    <t>3Q23</t>
  </si>
  <si>
    <t>4Q23</t>
  </si>
  <si>
    <t>1Q24</t>
  </si>
  <si>
    <t>2Q24</t>
  </si>
  <si>
    <t>3Q24</t>
  </si>
  <si>
    <t>4Q24</t>
  </si>
  <si>
    <t>Primas</t>
  </si>
  <si>
    <t>REPORTADO</t>
  </si>
  <si>
    <t>TRIÁNGULO DESARROLLADO AL 31 DE SEPTIEMBRE DE 2026</t>
  </si>
  <si>
    <t>2. tasa de interes 6%</t>
  </si>
  <si>
    <t>ULTIMATE</t>
  </si>
  <si>
    <t>IBNR</t>
  </si>
  <si>
    <t>Chain Ladder</t>
  </si>
  <si>
    <t>BF</t>
  </si>
  <si>
    <t>CC</t>
  </si>
  <si>
    <t>Selección</t>
  </si>
  <si>
    <t>Integrantes del equipo</t>
  </si>
  <si>
    <t>TRIÁNGULO-PAGADO</t>
  </si>
  <si>
    <t>TRIÁNGULO-OCURRIDO</t>
  </si>
  <si>
    <t>FACTORES</t>
  </si>
  <si>
    <t>cota_inf</t>
  </si>
  <si>
    <t>Mediana</t>
  </si>
  <si>
    <t>Promedio</t>
  </si>
  <si>
    <t>cota_sup</t>
  </si>
  <si>
    <t>Factores</t>
  </si>
  <si>
    <t>CHAIN-LADDER — Triángulo Proyectado e IBNR | Vinculado a hojas 1_Triangulo y 2_Factores</t>
  </si>
  <si>
    <t>AZUL=observado (hoja 1) · AMARILLO=proyección CL = C_{i,j-1} × f̂_{j-1} (hoja 2) · VERDE=IBNR</t>
  </si>
  <si>
    <t>AO</t>
  </si>
  <si>
    <t>Trim.</t>
  </si>
  <si>
    <t>T01</t>
  </si>
  <si>
    <t>T02</t>
  </si>
  <si>
    <t>T03</t>
  </si>
  <si>
    <t>T04</t>
  </si>
  <si>
    <t>T05</t>
  </si>
  <si>
    <t>T06</t>
  </si>
  <si>
    <t>T07</t>
  </si>
  <si>
    <t>T08</t>
  </si>
  <si>
    <t>T09</t>
  </si>
  <si>
    <t>T10</t>
  </si>
  <si>
    <t>T11</t>
  </si>
  <si>
    <t>T12</t>
  </si>
  <si>
    <t>T13</t>
  </si>
  <si>
    <t>T14</t>
  </si>
  <si>
    <t>T15</t>
  </si>
  <si>
    <t>T16</t>
  </si>
  <si>
    <t>T17</t>
  </si>
  <si>
    <t>T18</t>
  </si>
  <si>
    <t>T19</t>
  </si>
  <si>
    <t>T20</t>
  </si>
  <si>
    <t>T21</t>
  </si>
  <si>
    <t>T22</t>
  </si>
  <si>
    <t>T23</t>
  </si>
  <si>
    <t>T24</t>
  </si>
  <si>
    <t>T25</t>
  </si>
  <si>
    <t>Último
Proy.</t>
  </si>
  <si>
    <t>Pagado
Actual</t>
  </si>
  <si>
    <t>IBNR CL</t>
  </si>
  <si>
    <t>AO02</t>
  </si>
  <si>
    <t>Q1 2018</t>
  </si>
  <si>
    <t>AO03</t>
  </si>
  <si>
    <t>Q2 2018</t>
  </si>
  <si>
    <t>AO04</t>
  </si>
  <si>
    <t>Q3 2018</t>
  </si>
  <si>
    <t>AO05</t>
  </si>
  <si>
    <t>Q4 2018</t>
  </si>
  <si>
    <t>AO06</t>
  </si>
  <si>
    <t>Q1 2019</t>
  </si>
  <si>
    <t>AO07</t>
  </si>
  <si>
    <t>Q2 2019</t>
  </si>
  <si>
    <t>AO08</t>
  </si>
  <si>
    <t>Q3 2019</t>
  </si>
  <si>
    <t>AO09</t>
  </si>
  <si>
    <t>Q4 2019</t>
  </si>
  <si>
    <t>AO10</t>
  </si>
  <si>
    <t>Q1 2020</t>
  </si>
  <si>
    <t>AO11</t>
  </si>
  <si>
    <t>Q2 2020</t>
  </si>
  <si>
    <t>AO12</t>
  </si>
  <si>
    <t>Q3 2020</t>
  </si>
  <si>
    <t>AO13</t>
  </si>
  <si>
    <t>Q4 2020</t>
  </si>
  <si>
    <t>AO14</t>
  </si>
  <si>
    <t>Q1 2021</t>
  </si>
  <si>
    <t>AO15</t>
  </si>
  <si>
    <t>Q2 2021</t>
  </si>
  <si>
    <t>AO16</t>
  </si>
  <si>
    <t>Q3 2021</t>
  </si>
  <si>
    <t>AO17</t>
  </si>
  <si>
    <t>Q4 2021</t>
  </si>
  <si>
    <t>AO18</t>
  </si>
  <si>
    <t>Q1 2022</t>
  </si>
  <si>
    <t>AO19</t>
  </si>
  <si>
    <t>Q2 2022</t>
  </si>
  <si>
    <t>AO20</t>
  </si>
  <si>
    <t>Q3 2022</t>
  </si>
  <si>
    <t>AO21</t>
  </si>
  <si>
    <t>Q4 2022</t>
  </si>
  <si>
    <t>AO22</t>
  </si>
  <si>
    <t>Q1 2023</t>
  </si>
  <si>
    <t>AO23</t>
  </si>
  <si>
    <t>Q2 2023</t>
  </si>
  <si>
    <t>AO24</t>
  </si>
  <si>
    <t>Q3 2023</t>
  </si>
  <si>
    <t>AO25</t>
  </si>
  <si>
    <t>Q4 2023</t>
  </si>
  <si>
    <t>TOTAL IBNR CL</t>
  </si>
  <si>
    <t>Numerado</t>
  </si>
  <si>
    <t>Denominador</t>
  </si>
  <si>
    <t>Total IBNR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</si>
</sst>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-* #,##0.00_-;\-* #,##0.00_-;_-* &quot;-&quot;??_-;_-@_-"/>
    <numFmt numFmtId="164" formatCode="_-* #,##0_-;\-* #,##0_-;_-* &quot;-&quot;??_-;_-@_-"/>
    <numFmt numFmtId="170" formatCode="0.00000"/>
    <numFmt numFmtId="174" formatCode="_-* #,##0.00000_-;\-* #,##0.00000_-;_-* &quot;-&quot;??_-;_-@_-"/>
  </numFmts>
  <fonts count="19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20"/>
      <color theme="0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b/>
      <sz val="11"/>
      <color indexed="8"/>
      <name val="Aptos Narrow"/>
      <family val="2"/>
      <scheme val="minor"/>
    </font>
    <font>
      <sz val="11"/>
      <color theme="1"/>
      <name val="Calibri"/>
      <family val="2"/>
      <charset val="1"/>
    </font>
    <font>
      <b/>
      <sz val="11"/>
      <color rgb="FFFFFFFF"/>
      <name val="Calibri"/>
      <family val="2"/>
    </font>
    <font>
      <sz val="8"/>
      <color rgb="FF1E3A5F"/>
      <name val="Calibri"/>
      <family val="2"/>
    </font>
    <font>
      <b/>
      <sz val="8"/>
      <color rgb="FFFFFFFF"/>
      <name val="Calibri"/>
      <family val="2"/>
    </font>
    <font>
      <b/>
      <sz val="7"/>
      <color rgb="FFFFFFFF"/>
      <name val="Calibri"/>
      <family val="2"/>
    </font>
    <font>
      <b/>
      <sz val="9"/>
      <color rgb="FFFFFFFF"/>
      <name val="Calibri"/>
      <family val="2"/>
    </font>
    <font>
      <b/>
      <sz val="9"/>
      <color rgb="FF1E3A5F"/>
      <name val="Calibri"/>
      <family val="2"/>
    </font>
    <font>
      <sz val="9"/>
      <color rgb="FF555555"/>
      <name val="Calibri"/>
      <family val="2"/>
    </font>
    <font>
      <sz val="9"/>
      <color rgb="FF1C1C1C"/>
      <name val="Calibri"/>
      <family val="2"/>
    </font>
    <font>
      <b/>
      <sz val="9"/>
      <color rgb="FF1A5C38"/>
      <name val="Calibri"/>
      <family val="2"/>
    </font>
    <font>
      <sz val="9"/>
      <color rgb="FF1E3A5F"/>
      <name val="Calibri"/>
      <family val="2"/>
    </font>
    <font>
      <sz val="9"/>
      <color rgb="FF00008B"/>
      <name val="Calibri"/>
      <family val="2"/>
    </font>
    <font>
      <b/>
      <sz val="9"/>
      <name val="Calibri"/>
      <family val="2"/>
    </font>
  </fonts>
  <fills count="13">
    <fill>
      <patternFill patternType="none"/>
    </fill>
    <fill>
      <patternFill patternType="gray125"/>
    </fill>
    <fill>
      <patternFill patternType="solid">
        <fgColor theme="7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1E3A5F"/>
        <bgColor rgb="FF1A5C38"/>
      </patternFill>
    </fill>
    <fill>
      <patternFill patternType="solid">
        <fgColor rgb="FFEAF4FF"/>
        <bgColor rgb="FFF4F6F8"/>
      </patternFill>
    </fill>
    <fill>
      <patternFill patternType="solid">
        <fgColor rgb="FF2E6DA4"/>
        <bgColor rgb="FF3366FF"/>
      </patternFill>
    </fill>
    <fill>
      <patternFill patternType="solid">
        <fgColor rgb="FF1A5C38"/>
        <bgColor rgb="FF1E3A5F"/>
      </patternFill>
    </fill>
    <fill>
      <patternFill patternType="solid">
        <fgColor rgb="FFD6E4F0"/>
        <bgColor rgb="FFD4EFDF"/>
      </patternFill>
    </fill>
    <fill>
      <patternFill patternType="solid">
        <fgColor rgb="FFD4EFDF"/>
        <bgColor rgb="FFD6E4F0"/>
      </patternFill>
    </fill>
    <fill>
      <patternFill patternType="solid">
        <fgColor rgb="FFFFFFFF"/>
        <bgColor rgb="FFFFFDE7"/>
      </patternFill>
    </fill>
    <fill>
      <patternFill patternType="solid">
        <fgColor rgb="FFFFFDE7"/>
        <bgColor rgb="FFFFF3E0"/>
      </patternFill>
    </fill>
  </fills>
  <borders count="14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 style="thin">
        <color rgb="FFCCCCCC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</borders>
  <cellStyleXfs count="4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6" fillId="0" borderId="0"/>
  </cellStyleXfs>
  <cellXfs count="64">
    <xf numFmtId="0" fontId="0" fillId="0" borderId="0" xfId="0"/>
    <xf numFmtId="164" fontId="0" fillId="0" borderId="0" xfId="1" applyNumberFormat="1" applyFont="1"/>
    <xf numFmtId="0" fontId="3" fillId="2" borderId="0" xfId="0" applyFont="1" applyFill="1" applyAlignment="1">
      <alignment horizontal="center"/>
    </xf>
    <xf numFmtId="164" fontId="0" fillId="0" borderId="0" xfId="1" applyNumberFormat="1" applyFont="1" applyFill="1"/>
    <xf numFmtId="0" fontId="2" fillId="0" borderId="0" xfId="0" applyFont="1" applyAlignment="1">
      <alignment horizontal="center" vertical="center"/>
    </xf>
    <xf numFmtId="164" fontId="0" fillId="0" borderId="0" xfId="0" applyNumberFormat="1"/>
    <xf numFmtId="10" fontId="0" fillId="0" borderId="0" xfId="2" applyNumberFormat="1" applyFont="1"/>
    <xf numFmtId="164" fontId="0" fillId="4" borderId="0" xfId="1" applyNumberFormat="1" applyFont="1" applyFill="1"/>
    <xf numFmtId="0" fontId="2" fillId="0" borderId="0" xfId="0" applyFont="1"/>
    <xf numFmtId="0" fontId="4" fillId="0" borderId="0" xfId="0" applyFont="1"/>
    <xf numFmtId="0" fontId="5" fillId="0" borderId="0" xfId="0" applyFont="1"/>
    <xf numFmtId="0" fontId="2" fillId="0" borderId="0" xfId="0" applyFont="1" applyAlignment="1">
      <alignment horizontal="center"/>
    </xf>
    <xf numFmtId="0" fontId="5" fillId="0" borderId="0" xfId="0" applyFont="1" applyAlignment="1">
      <alignment horizontal="center"/>
    </xf>
    <xf numFmtId="0" fontId="3" fillId="2" borderId="0" xfId="0" applyFont="1" applyFill="1" applyAlignment="1">
      <alignment horizontal="center"/>
    </xf>
    <xf numFmtId="0" fontId="0" fillId="3" borderId="0" xfId="0" applyFill="1" applyAlignment="1">
      <alignment horizontal="center"/>
    </xf>
    <xf numFmtId="0" fontId="0" fillId="4" borderId="0" xfId="0" applyFill="1" applyAlignment="1">
      <alignment horizontal="center"/>
    </xf>
    <xf numFmtId="0" fontId="3" fillId="0" borderId="0" xfId="0" applyFont="1" applyFill="1" applyAlignment="1"/>
    <xf numFmtId="170" fontId="0" fillId="0" borderId="0" xfId="2" applyNumberFormat="1" applyFont="1" applyFill="1"/>
    <xf numFmtId="174" fontId="0" fillId="0" borderId="0" xfId="1" applyNumberFormat="1" applyFont="1" applyFill="1"/>
    <xf numFmtId="170" fontId="0" fillId="0" borderId="0" xfId="0" applyNumberFormat="1"/>
    <xf numFmtId="170" fontId="1" fillId="0" borderId="0" xfId="2" applyNumberFormat="1" applyFont="1" applyFill="1"/>
    <xf numFmtId="170" fontId="0" fillId="0" borderId="2" xfId="2" applyNumberFormat="1" applyFont="1" applyFill="1" applyBorder="1"/>
    <xf numFmtId="170" fontId="0" fillId="0" borderId="3" xfId="2" applyNumberFormat="1" applyFont="1" applyFill="1" applyBorder="1"/>
    <xf numFmtId="170" fontId="0" fillId="0" borderId="4" xfId="2" applyNumberFormat="1" applyFont="1" applyFill="1" applyBorder="1"/>
    <xf numFmtId="170" fontId="0" fillId="0" borderId="5" xfId="2" applyNumberFormat="1" applyFont="1" applyFill="1" applyBorder="1"/>
    <xf numFmtId="170" fontId="0" fillId="0" borderId="6" xfId="2" applyNumberFormat="1" applyFont="1" applyFill="1" applyBorder="1"/>
    <xf numFmtId="170" fontId="0" fillId="0" borderId="1" xfId="2" applyNumberFormat="1" applyFont="1" applyFill="1" applyBorder="1"/>
    <xf numFmtId="170" fontId="0" fillId="0" borderId="0" xfId="2" applyNumberFormat="1" applyFont="1" applyFill="1" applyBorder="1"/>
    <xf numFmtId="0" fontId="2" fillId="0" borderId="7" xfId="0" applyFont="1" applyBorder="1"/>
    <xf numFmtId="174" fontId="0" fillId="0" borderId="7" xfId="1" applyNumberFormat="1" applyFont="1" applyFill="1" applyBorder="1"/>
    <xf numFmtId="170" fontId="0" fillId="0" borderId="7" xfId="0" applyNumberFormat="1" applyBorder="1"/>
    <xf numFmtId="0" fontId="0" fillId="0" borderId="7" xfId="0" applyBorder="1"/>
    <xf numFmtId="0" fontId="7" fillId="5" borderId="8" xfId="3" applyFont="1" applyFill="1" applyBorder="1" applyAlignment="1">
      <alignment horizontal="center" vertical="center"/>
    </xf>
    <xf numFmtId="0" fontId="6" fillId="0" borderId="0" xfId="3"/>
    <xf numFmtId="0" fontId="8" fillId="6" borderId="8" xfId="3" applyFont="1" applyFill="1" applyBorder="1" applyAlignment="1">
      <alignment horizontal="center" vertical="center"/>
    </xf>
    <xf numFmtId="0" fontId="9" fillId="7" borderId="8" xfId="3" applyFont="1" applyFill="1" applyBorder="1" applyAlignment="1">
      <alignment horizontal="center" vertical="center"/>
    </xf>
    <xf numFmtId="0" fontId="10" fillId="7" borderId="8" xfId="3" applyFont="1" applyFill="1" applyBorder="1" applyAlignment="1">
      <alignment horizontal="center" vertical="center"/>
    </xf>
    <xf numFmtId="0" fontId="9" fillId="8" borderId="8" xfId="3" applyFont="1" applyFill="1" applyBorder="1" applyAlignment="1">
      <alignment horizontal="center" vertical="center" wrapText="1"/>
    </xf>
    <xf numFmtId="0" fontId="9" fillId="7" borderId="8" xfId="3" applyFont="1" applyFill="1" applyBorder="1" applyAlignment="1">
      <alignment horizontal="center" vertical="center" wrapText="1"/>
    </xf>
    <xf numFmtId="0" fontId="11" fillId="8" borderId="8" xfId="3" applyFont="1" applyFill="1" applyBorder="1" applyAlignment="1">
      <alignment horizontal="center" vertical="center" wrapText="1"/>
    </xf>
    <xf numFmtId="0" fontId="12" fillId="6" borderId="8" xfId="3" applyFont="1" applyFill="1" applyBorder="1" applyAlignment="1">
      <alignment horizontal="center" vertical="center"/>
    </xf>
    <xf numFmtId="0" fontId="13" fillId="6" borderId="8" xfId="3" applyFont="1" applyFill="1" applyBorder="1" applyAlignment="1">
      <alignment horizontal="center" vertical="center"/>
    </xf>
    <xf numFmtId="3" fontId="14" fillId="6" borderId="8" xfId="3" applyNumberFormat="1" applyFont="1" applyFill="1" applyBorder="1" applyAlignment="1">
      <alignment horizontal="right" vertical="center"/>
    </xf>
    <xf numFmtId="3" fontId="12" fillId="9" borderId="8" xfId="3" applyNumberFormat="1" applyFont="1" applyFill="1" applyBorder="1" applyAlignment="1">
      <alignment horizontal="right" vertical="center"/>
    </xf>
    <xf numFmtId="3" fontId="15" fillId="10" borderId="8" xfId="3" applyNumberFormat="1" applyFont="1" applyFill="1" applyBorder="1" applyAlignment="1">
      <alignment horizontal="right" vertical="center"/>
    </xf>
    <xf numFmtId="3" fontId="16" fillId="9" borderId="8" xfId="3" applyNumberFormat="1" applyFont="1" applyFill="1" applyBorder="1" applyAlignment="1">
      <alignment horizontal="right" vertical="center"/>
    </xf>
    <xf numFmtId="0" fontId="12" fillId="11" borderId="8" xfId="3" applyFont="1" applyFill="1" applyBorder="1" applyAlignment="1">
      <alignment horizontal="center" vertical="center"/>
    </xf>
    <xf numFmtId="0" fontId="13" fillId="11" borderId="8" xfId="3" applyFont="1" applyFill="1" applyBorder="1" applyAlignment="1">
      <alignment horizontal="center" vertical="center"/>
    </xf>
    <xf numFmtId="3" fontId="14" fillId="11" borderId="8" xfId="3" applyNumberFormat="1" applyFont="1" applyFill="1" applyBorder="1" applyAlignment="1">
      <alignment horizontal="right" vertical="center"/>
    </xf>
    <xf numFmtId="3" fontId="17" fillId="12" borderId="8" xfId="3" applyNumberFormat="1" applyFont="1" applyFill="1" applyBorder="1" applyAlignment="1">
      <alignment horizontal="right" vertical="center"/>
    </xf>
    <xf numFmtId="0" fontId="11" fillId="8" borderId="8" xfId="3" applyFont="1" applyFill="1" applyBorder="1" applyAlignment="1">
      <alignment vertical="center"/>
    </xf>
    <xf numFmtId="3" fontId="7" fillId="8" borderId="8" xfId="3" applyNumberFormat="1" applyFont="1" applyFill="1" applyBorder="1" applyAlignment="1">
      <alignment horizontal="right" vertical="center"/>
    </xf>
    <xf numFmtId="0" fontId="11" fillId="8" borderId="9" xfId="3" applyFont="1" applyFill="1" applyBorder="1" applyAlignment="1">
      <alignment horizontal="center" vertical="center"/>
    </xf>
    <xf numFmtId="0" fontId="11" fillId="8" borderId="10" xfId="3" applyFont="1" applyFill="1" applyBorder="1" applyAlignment="1">
      <alignment horizontal="center" vertical="center"/>
    </xf>
    <xf numFmtId="0" fontId="11" fillId="8" borderId="9" xfId="3" applyFont="1" applyFill="1" applyBorder="1" applyAlignment="1">
      <alignment vertical="center"/>
    </xf>
    <xf numFmtId="0" fontId="11" fillId="8" borderId="10" xfId="3" applyFont="1" applyFill="1" applyBorder="1" applyAlignment="1">
      <alignment vertical="center"/>
    </xf>
    <xf numFmtId="0" fontId="11" fillId="8" borderId="11" xfId="3" applyFont="1" applyFill="1" applyBorder="1" applyAlignment="1">
      <alignment vertical="center"/>
    </xf>
    <xf numFmtId="3" fontId="17" fillId="12" borderId="12" xfId="3" applyNumberFormat="1" applyFont="1" applyFill="1" applyBorder="1" applyAlignment="1">
      <alignment horizontal="right" vertical="center"/>
    </xf>
    <xf numFmtId="3" fontId="15" fillId="10" borderId="12" xfId="3" applyNumberFormat="1" applyFont="1" applyFill="1" applyBorder="1" applyAlignment="1">
      <alignment horizontal="right" vertical="center"/>
    </xf>
    <xf numFmtId="3" fontId="12" fillId="9" borderId="13" xfId="3" applyNumberFormat="1" applyFont="1" applyFill="1" applyBorder="1" applyAlignment="1">
      <alignment horizontal="right" vertical="center"/>
    </xf>
    <xf numFmtId="3" fontId="17" fillId="12" borderId="13" xfId="3" applyNumberFormat="1" applyFont="1" applyFill="1" applyBorder="1" applyAlignment="1">
      <alignment horizontal="right" vertical="center"/>
    </xf>
    <xf numFmtId="3" fontId="18" fillId="0" borderId="7" xfId="3" applyNumberFormat="1" applyFont="1" applyFill="1" applyBorder="1" applyAlignment="1">
      <alignment vertical="center"/>
    </xf>
    <xf numFmtId="0" fontId="18" fillId="0" borderId="7" xfId="3" applyFont="1" applyFill="1" applyBorder="1" applyAlignment="1">
      <alignment vertical="center"/>
    </xf>
    <xf numFmtId="3" fontId="18" fillId="0" borderId="7" xfId="3" applyNumberFormat="1" applyFont="1" applyFill="1" applyBorder="1" applyAlignment="1">
      <alignment horizontal="right" vertical="center"/>
    </xf>
  </cellXfs>
  <cellStyles count="4">
    <cellStyle name="Millares" xfId="1" builtinId="3"/>
    <cellStyle name="Normal" xfId="0" builtinId="0"/>
    <cellStyle name="Normal 2" xfId="3" xr:uid="{E2752369-5BBA-4757-AAC6-837BB4C414DE}"/>
    <cellStyle name="Porcentaje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1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eetMetadata" Target="metadata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derec\Desktop\Diplomado\diplomado-ml-Dereck\Modulo4\m4t3_sesion3\Triangulo_IBNR_25x25__v2.xlsx" TargetMode="External"/><Relationship Id="rId1" Type="http://schemas.openxmlformats.org/officeDocument/2006/relationships/externalLinkPath" Target="Triangulo_IBNR_25x25__v2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1_Triangulo"/>
      <sheetName val="2_Factores"/>
      <sheetName val="3_ChainLadder"/>
      <sheetName val="4_BF"/>
      <sheetName val="5_CapeCod"/>
      <sheetName val="6_Resumen"/>
    </sheetNames>
    <sheetDataSet>
      <sheetData sheetId="0">
        <row r="4">
          <cell r="AA4">
            <v>49970260</v>
          </cell>
        </row>
        <row r="5">
          <cell r="C5">
            <v>8026787</v>
          </cell>
          <cell r="D5">
            <v>12478218</v>
          </cell>
          <cell r="E5">
            <v>16561110</v>
          </cell>
          <cell r="F5">
            <v>19671914</v>
          </cell>
          <cell r="G5">
            <v>23896258</v>
          </cell>
          <cell r="H5">
            <v>27806005</v>
          </cell>
          <cell r="I5">
            <v>33182773</v>
          </cell>
          <cell r="J5">
            <v>36270491</v>
          </cell>
          <cell r="K5">
            <v>37629155</v>
          </cell>
          <cell r="L5">
            <v>40293411</v>
          </cell>
          <cell r="M5">
            <v>41332746</v>
          </cell>
          <cell r="N5">
            <v>43695091</v>
          </cell>
          <cell r="O5">
            <v>44033840</v>
          </cell>
          <cell r="P5">
            <v>45247872</v>
          </cell>
          <cell r="Q5">
            <v>46619184</v>
          </cell>
          <cell r="R5">
            <v>47705616</v>
          </cell>
          <cell r="S5">
            <v>48088887</v>
          </cell>
          <cell r="T5">
            <v>48548192</v>
          </cell>
          <cell r="U5">
            <v>49027700</v>
          </cell>
          <cell r="V5">
            <v>49404837</v>
          </cell>
          <cell r="W5">
            <v>49751067</v>
          </cell>
          <cell r="X5">
            <v>50026159</v>
          </cell>
          <cell r="Y5">
            <v>50392506</v>
          </cell>
          <cell r="Z5">
            <v>50579274</v>
          </cell>
        </row>
        <row r="6">
          <cell r="C6">
            <v>7547459</v>
          </cell>
          <cell r="D6">
            <v>13305190</v>
          </cell>
          <cell r="E6">
            <v>16410123</v>
          </cell>
          <cell r="F6">
            <v>19898245</v>
          </cell>
          <cell r="G6">
            <v>24703335</v>
          </cell>
          <cell r="H6">
            <v>29063602</v>
          </cell>
          <cell r="I6">
            <v>33129961</v>
          </cell>
          <cell r="J6">
            <v>36336823</v>
          </cell>
          <cell r="K6">
            <v>38481672</v>
          </cell>
          <cell r="L6">
            <v>40628864</v>
          </cell>
          <cell r="M6">
            <v>42718987</v>
          </cell>
          <cell r="N6">
            <v>44050445</v>
          </cell>
          <cell r="O6">
            <v>45153748</v>
          </cell>
          <cell r="P6">
            <v>45915529</v>
          </cell>
          <cell r="Q6">
            <v>46926085</v>
          </cell>
          <cell r="R6">
            <v>48363556</v>
          </cell>
          <cell r="S6">
            <v>48946892</v>
          </cell>
          <cell r="T6">
            <v>49209093</v>
          </cell>
          <cell r="U6">
            <v>49862927</v>
          </cell>
          <cell r="V6">
            <v>50284216</v>
          </cell>
          <cell r="W6">
            <v>50428976</v>
          </cell>
          <cell r="X6">
            <v>50771759</v>
          </cell>
          <cell r="Y6">
            <v>51107802</v>
          </cell>
        </row>
        <row r="7">
          <cell r="C7">
            <v>8196316</v>
          </cell>
          <cell r="D7">
            <v>14072883</v>
          </cell>
          <cell r="E7">
            <v>15565617</v>
          </cell>
          <cell r="F7">
            <v>20952216</v>
          </cell>
          <cell r="G7">
            <v>24749531</v>
          </cell>
          <cell r="H7">
            <v>28724252</v>
          </cell>
          <cell r="I7">
            <v>33121092</v>
          </cell>
          <cell r="J7">
            <v>36239250</v>
          </cell>
          <cell r="K7">
            <v>39042314</v>
          </cell>
          <cell r="L7">
            <v>41187384</v>
          </cell>
          <cell r="M7">
            <v>43489183</v>
          </cell>
          <cell r="N7">
            <v>44630626</v>
          </cell>
          <cell r="O7">
            <v>45574135</v>
          </cell>
          <cell r="P7">
            <v>46694631</v>
          </cell>
          <cell r="Q7">
            <v>48052882</v>
          </cell>
          <cell r="R7">
            <v>48915394</v>
          </cell>
          <cell r="S7">
            <v>49268124</v>
          </cell>
          <cell r="T7">
            <v>49963443</v>
          </cell>
          <cell r="U7">
            <v>50411848</v>
          </cell>
          <cell r="V7">
            <v>51033429</v>
          </cell>
          <cell r="W7">
            <v>51102720</v>
          </cell>
          <cell r="X7">
            <v>51395178</v>
          </cell>
        </row>
        <row r="8">
          <cell r="C8">
            <v>8189220</v>
          </cell>
          <cell r="D8">
            <v>12850472</v>
          </cell>
          <cell r="E8">
            <v>17199059</v>
          </cell>
          <cell r="F8">
            <v>20932964</v>
          </cell>
          <cell r="G8">
            <v>25037960</v>
          </cell>
          <cell r="H8">
            <v>29146772</v>
          </cell>
          <cell r="I8">
            <v>32754663</v>
          </cell>
          <cell r="J8">
            <v>37542026</v>
          </cell>
          <cell r="K8">
            <v>39509804</v>
          </cell>
          <cell r="L8">
            <v>41243551</v>
          </cell>
          <cell r="M8">
            <v>43435080</v>
          </cell>
          <cell r="N8">
            <v>45553651</v>
          </cell>
          <cell r="O8">
            <v>47018570</v>
          </cell>
          <cell r="P8">
            <v>47506350</v>
          </cell>
          <cell r="Q8">
            <v>48543727</v>
          </cell>
          <cell r="R8">
            <v>49490339</v>
          </cell>
          <cell r="S8">
            <v>49680980</v>
          </cell>
          <cell r="T8">
            <v>50551414</v>
          </cell>
          <cell r="U8">
            <v>51086096</v>
          </cell>
          <cell r="V8">
            <v>51900283</v>
          </cell>
          <cell r="W8">
            <v>52457834</v>
          </cell>
        </row>
        <row r="9">
          <cell r="C9">
            <v>8533077</v>
          </cell>
          <cell r="D9">
            <v>13680302</v>
          </cell>
          <cell r="E9">
            <v>16690403</v>
          </cell>
          <cell r="F9">
            <v>21697562</v>
          </cell>
          <cell r="G9">
            <v>25794797</v>
          </cell>
          <cell r="H9">
            <v>30117551</v>
          </cell>
          <cell r="I9">
            <v>33470325</v>
          </cell>
          <cell r="J9">
            <v>39031531</v>
          </cell>
          <cell r="K9">
            <v>39534504</v>
          </cell>
          <cell r="L9">
            <v>42405783</v>
          </cell>
          <cell r="M9">
            <v>44954118</v>
          </cell>
          <cell r="N9">
            <v>45675532</v>
          </cell>
          <cell r="O9">
            <v>46885671</v>
          </cell>
          <cell r="P9">
            <v>48125981</v>
          </cell>
          <cell r="Q9">
            <v>49014808</v>
          </cell>
          <cell r="R9">
            <v>49846037</v>
          </cell>
          <cell r="S9">
            <v>50714853</v>
          </cell>
          <cell r="T9">
            <v>51067131</v>
          </cell>
          <cell r="U9">
            <v>51832054</v>
          </cell>
          <cell r="V9">
            <v>52189573</v>
          </cell>
        </row>
        <row r="10">
          <cell r="C10">
            <v>9090871</v>
          </cell>
          <cell r="D10">
            <v>13511905</v>
          </cell>
          <cell r="E10">
            <v>17345041</v>
          </cell>
          <cell r="F10">
            <v>21806021</v>
          </cell>
          <cell r="G10">
            <v>25028889</v>
          </cell>
          <cell r="H10">
            <v>30200086</v>
          </cell>
          <cell r="I10">
            <v>35166411</v>
          </cell>
          <cell r="J10">
            <v>37925306</v>
          </cell>
          <cell r="K10">
            <v>40840433</v>
          </cell>
          <cell r="L10">
            <v>42831737</v>
          </cell>
          <cell r="M10">
            <v>44990674</v>
          </cell>
          <cell r="N10">
            <v>46203474</v>
          </cell>
          <cell r="O10">
            <v>47281109</v>
          </cell>
          <cell r="P10">
            <v>48891844</v>
          </cell>
          <cell r="Q10">
            <v>49870444</v>
          </cell>
          <cell r="R10">
            <v>50902793</v>
          </cell>
          <cell r="S10">
            <v>51450099</v>
          </cell>
          <cell r="T10">
            <v>51817100</v>
          </cell>
          <cell r="U10">
            <v>52496431</v>
          </cell>
        </row>
        <row r="11">
          <cell r="C11">
            <v>8761626</v>
          </cell>
          <cell r="D11">
            <v>13726504</v>
          </cell>
          <cell r="E11">
            <v>18756182</v>
          </cell>
          <cell r="F11">
            <v>21909222</v>
          </cell>
          <cell r="G11">
            <v>25388197</v>
          </cell>
          <cell r="H11">
            <v>30856195</v>
          </cell>
          <cell r="I11">
            <v>34341954</v>
          </cell>
          <cell r="J11">
            <v>39746500</v>
          </cell>
          <cell r="K11">
            <v>41879308</v>
          </cell>
          <cell r="L11">
            <v>42925218</v>
          </cell>
          <cell r="M11">
            <v>45670877</v>
          </cell>
          <cell r="N11">
            <v>47423287</v>
          </cell>
          <cell r="O11">
            <v>48601882</v>
          </cell>
          <cell r="P11">
            <v>49939887</v>
          </cell>
          <cell r="Q11">
            <v>50408360</v>
          </cell>
          <cell r="R11">
            <v>51370763</v>
          </cell>
          <cell r="S11">
            <v>51910061</v>
          </cell>
          <cell r="T11">
            <v>52493077</v>
          </cell>
        </row>
        <row r="12">
          <cell r="C12">
            <v>8749177</v>
          </cell>
          <cell r="D12">
            <v>14426300</v>
          </cell>
          <cell r="E12">
            <v>18134563</v>
          </cell>
          <cell r="F12">
            <v>22405469</v>
          </cell>
          <cell r="G12">
            <v>26419623</v>
          </cell>
          <cell r="H12">
            <v>31746466</v>
          </cell>
          <cell r="I12">
            <v>35208936</v>
          </cell>
          <cell r="J12">
            <v>41386939</v>
          </cell>
          <cell r="K12">
            <v>42171998</v>
          </cell>
          <cell r="L12">
            <v>43487191</v>
          </cell>
          <cell r="M12">
            <v>45453496</v>
          </cell>
          <cell r="N12">
            <v>48088062</v>
          </cell>
          <cell r="O12">
            <v>48917465</v>
          </cell>
          <cell r="P12">
            <v>50273293</v>
          </cell>
          <cell r="Q12">
            <v>51267767</v>
          </cell>
          <cell r="R12">
            <v>52212664</v>
          </cell>
          <cell r="S12">
            <v>52617714</v>
          </cell>
        </row>
        <row r="13">
          <cell r="C13">
            <v>8371517</v>
          </cell>
          <cell r="D13">
            <v>14229540</v>
          </cell>
          <cell r="E13">
            <v>18697376</v>
          </cell>
          <cell r="F13">
            <v>22355074</v>
          </cell>
          <cell r="G13">
            <v>26045884</v>
          </cell>
          <cell r="H13">
            <v>31405240</v>
          </cell>
          <cell r="I13">
            <v>36062571</v>
          </cell>
          <cell r="J13">
            <v>39881124</v>
          </cell>
          <cell r="K13">
            <v>42497948</v>
          </cell>
          <cell r="L13">
            <v>44493523</v>
          </cell>
          <cell r="M13">
            <v>46036365</v>
          </cell>
          <cell r="N13">
            <v>48689399</v>
          </cell>
          <cell r="O13">
            <v>49834379</v>
          </cell>
          <cell r="P13">
            <v>51057856</v>
          </cell>
          <cell r="Q13">
            <v>52106577</v>
          </cell>
          <cell r="R13">
            <v>52625937</v>
          </cell>
        </row>
        <row r="14">
          <cell r="C14">
            <v>8682427</v>
          </cell>
          <cell r="D14">
            <v>14906686</v>
          </cell>
          <cell r="E14">
            <v>18757916</v>
          </cell>
          <cell r="F14">
            <v>22830889</v>
          </cell>
          <cell r="G14">
            <v>29522980</v>
          </cell>
          <cell r="H14">
            <v>32068510</v>
          </cell>
          <cell r="I14">
            <v>36997185</v>
          </cell>
          <cell r="J14">
            <v>41471804</v>
          </cell>
          <cell r="K14">
            <v>43329632</v>
          </cell>
          <cell r="L14">
            <v>43726919.25</v>
          </cell>
          <cell r="M14">
            <v>47455481</v>
          </cell>
          <cell r="N14">
            <v>48918769</v>
          </cell>
          <cell r="O14">
            <v>50240254</v>
          </cell>
          <cell r="P14">
            <v>51286052</v>
          </cell>
          <cell r="Q14">
            <v>52557910</v>
          </cell>
        </row>
        <row r="15">
          <cell r="C15">
            <v>10022030</v>
          </cell>
          <cell r="D15">
            <v>13917909</v>
          </cell>
          <cell r="E15">
            <v>19108092</v>
          </cell>
          <cell r="F15">
            <v>21916301</v>
          </cell>
          <cell r="G15">
            <v>27210886</v>
          </cell>
          <cell r="H15">
            <v>32820335</v>
          </cell>
          <cell r="I15">
            <v>36848132</v>
          </cell>
          <cell r="J15">
            <v>40852155</v>
          </cell>
          <cell r="K15">
            <v>43196364</v>
          </cell>
          <cell r="L15">
            <v>43896309</v>
          </cell>
          <cell r="M15">
            <v>47459873</v>
          </cell>
          <cell r="N15">
            <v>49956170</v>
          </cell>
          <cell r="O15">
            <v>51012409</v>
          </cell>
          <cell r="P15">
            <v>51927991</v>
          </cell>
        </row>
        <row r="16">
          <cell r="C16">
            <v>10087956</v>
          </cell>
          <cell r="D16">
            <v>15373929</v>
          </cell>
          <cell r="E16">
            <v>17870492</v>
          </cell>
          <cell r="F16">
            <v>23254623</v>
          </cell>
          <cell r="G16">
            <v>27462859</v>
          </cell>
          <cell r="H16">
            <v>33114279</v>
          </cell>
          <cell r="I16">
            <v>36827916</v>
          </cell>
          <cell r="J16">
            <v>41964520</v>
          </cell>
          <cell r="K16">
            <v>44426818</v>
          </cell>
          <cell r="L16">
            <v>44996619.5</v>
          </cell>
          <cell r="M16">
            <v>47898086</v>
          </cell>
          <cell r="N16">
            <v>50415504</v>
          </cell>
          <cell r="O16">
            <v>51522184</v>
          </cell>
        </row>
        <row r="17">
          <cell r="C17">
            <v>9141610</v>
          </cell>
          <cell r="D17">
            <v>16200065</v>
          </cell>
          <cell r="E17">
            <v>19463623</v>
          </cell>
          <cell r="F17">
            <v>22713844</v>
          </cell>
          <cell r="G17">
            <v>28815023</v>
          </cell>
          <cell r="H17">
            <v>34375385</v>
          </cell>
          <cell r="I17">
            <v>38448539</v>
          </cell>
          <cell r="J17">
            <v>41701968</v>
          </cell>
          <cell r="K17">
            <v>44492052</v>
          </cell>
          <cell r="L17">
            <v>45252217.25</v>
          </cell>
          <cell r="M17">
            <v>48757427</v>
          </cell>
          <cell r="N17">
            <v>51401276</v>
          </cell>
        </row>
        <row r="18">
          <cell r="C18">
            <v>9809392</v>
          </cell>
          <cell r="D18">
            <v>14964880</v>
          </cell>
          <cell r="E18">
            <v>29456240</v>
          </cell>
          <cell r="F18">
            <v>21886059</v>
          </cell>
          <cell r="G18">
            <v>27984336</v>
          </cell>
          <cell r="H18">
            <v>33309956</v>
          </cell>
          <cell r="I18">
            <v>37548097</v>
          </cell>
          <cell r="J18">
            <v>44170211</v>
          </cell>
          <cell r="K18">
            <v>44580640</v>
          </cell>
          <cell r="L18">
            <v>45267489.5</v>
          </cell>
          <cell r="M18">
            <v>49785597</v>
          </cell>
        </row>
        <row r="19">
          <cell r="C19">
            <v>10210239</v>
          </cell>
          <cell r="D19">
            <v>14903106</v>
          </cell>
          <cell r="E19">
            <v>20445946</v>
          </cell>
          <cell r="F19">
            <v>24098871</v>
          </cell>
          <cell r="G19">
            <v>28388139</v>
          </cell>
          <cell r="H19">
            <v>34217767</v>
          </cell>
          <cell r="I19">
            <v>38960082</v>
          </cell>
          <cell r="J19">
            <v>43388072</v>
          </cell>
          <cell r="K19">
            <v>46005265</v>
          </cell>
          <cell r="L19">
            <v>46502204.25</v>
          </cell>
        </row>
        <row r="20">
          <cell r="C20">
            <v>9812587</v>
          </cell>
          <cell r="D20">
            <v>15038280</v>
          </cell>
          <cell r="E20">
            <v>20982739</v>
          </cell>
          <cell r="F20">
            <v>23658407</v>
          </cell>
          <cell r="G20">
            <v>30806585</v>
          </cell>
          <cell r="H20">
            <v>33132506</v>
          </cell>
          <cell r="I20">
            <v>39260427</v>
          </cell>
          <cell r="J20">
            <v>44710406</v>
          </cell>
          <cell r="K20">
            <v>46743977</v>
          </cell>
        </row>
        <row r="21">
          <cell r="C21">
            <v>9656222</v>
          </cell>
          <cell r="D21">
            <v>15173530</v>
          </cell>
          <cell r="E21">
            <v>19994922</v>
          </cell>
          <cell r="F21">
            <v>24377061</v>
          </cell>
          <cell r="G21">
            <v>30354330</v>
          </cell>
          <cell r="H21">
            <v>35076444</v>
          </cell>
          <cell r="I21">
            <v>39440849</v>
          </cell>
          <cell r="J21">
            <v>45510753</v>
          </cell>
        </row>
        <row r="22">
          <cell r="C22">
            <v>10157249</v>
          </cell>
          <cell r="D22">
            <v>15227277</v>
          </cell>
          <cell r="E22">
            <v>20949821</v>
          </cell>
          <cell r="F22">
            <v>24555011</v>
          </cell>
          <cell r="G22">
            <v>29825871</v>
          </cell>
          <cell r="H22">
            <v>35812219</v>
          </cell>
          <cell r="I22">
            <v>40828576</v>
          </cell>
        </row>
        <row r="23">
          <cell r="C23">
            <v>10159861</v>
          </cell>
          <cell r="D23">
            <v>14850703</v>
          </cell>
          <cell r="E23">
            <v>21643786</v>
          </cell>
          <cell r="F23">
            <v>25037048</v>
          </cell>
          <cell r="G23">
            <v>30971544</v>
          </cell>
          <cell r="H23">
            <v>35649464</v>
          </cell>
        </row>
        <row r="24">
          <cell r="C24">
            <v>10216038</v>
          </cell>
          <cell r="D24">
            <v>15551970</v>
          </cell>
          <cell r="E24">
            <v>21643436</v>
          </cell>
          <cell r="F24">
            <v>26300255</v>
          </cell>
          <cell r="G24">
            <v>31915838</v>
          </cell>
        </row>
        <row r="25">
          <cell r="C25">
            <v>10453025</v>
          </cell>
          <cell r="D25">
            <v>15565827</v>
          </cell>
          <cell r="E25">
            <v>21209178</v>
          </cell>
          <cell r="F25">
            <v>26324052</v>
          </cell>
        </row>
        <row r="26">
          <cell r="C26">
            <v>10530025</v>
          </cell>
          <cell r="D26">
            <v>16254730</v>
          </cell>
          <cell r="E26">
            <v>22079496</v>
          </cell>
        </row>
        <row r="27">
          <cell r="C27">
            <v>10382200</v>
          </cell>
          <cell r="D27">
            <v>17132382</v>
          </cell>
        </row>
        <row r="28">
          <cell r="C28">
            <v>10443357</v>
          </cell>
        </row>
      </sheetData>
      <sheetData sheetId="1">
        <row r="31">
          <cell r="C31">
            <v>1.5711149013723418</v>
          </cell>
          <cell r="D31">
            <v>1.3081423771700349</v>
          </cell>
          <cell r="E31">
            <v>1.2114308945265695</v>
          </cell>
          <cell r="F31">
            <v>1.2140326241674797</v>
          </cell>
          <cell r="G31">
            <v>1.1738976154701681</v>
          </cell>
          <cell r="H31">
            <v>1.1391458162231627</v>
          </cell>
          <cell r="I31">
            <v>1.1258148632195224</v>
          </cell>
          <cell r="J31">
            <v>1.0485474901127645</v>
          </cell>
          <cell r="K31">
            <v>1.0135735717203933</v>
          </cell>
          <cell r="L31">
            <v>1.0595056196822032</v>
          </cell>
          <cell r="M31">
            <v>1.042619031950442</v>
          </cell>
          <cell r="N31">
            <v>1.0230452621388904</v>
          </cell>
          <cell r="O31">
            <v>1.0223800943211883</v>
          </cell>
          <cell r="P31">
            <v>1.0217192263186479</v>
          </cell>
          <cell r="Q31">
            <v>1.0202072884532076</v>
          </cell>
          <cell r="R31">
            <v>1.0096552753990837</v>
          </cell>
          <cell r="S31">
            <v>1.0108495031941809</v>
          </cell>
          <cell r="T31">
            <v>1.0111438868801899</v>
          </cell>
          <cell r="U31">
            <v>1.010149712035159</v>
          </cell>
          <cell r="V31">
            <v>1.006627910081489</v>
          </cell>
          <cell r="W31">
            <v>1.0049231637576816</v>
          </cell>
          <cell r="X31">
            <v>1.0064686225627419</v>
          </cell>
          <cell r="Y31">
            <v>1.0033151226641266</v>
          </cell>
          <cell r="Z31">
            <v>1.0035230363569263</v>
          </cell>
        </row>
      </sheetData>
      <sheetData sheetId="2" refreshError="1"/>
      <sheetData sheetId="3" refreshError="1"/>
      <sheetData sheetId="4" refreshError="1"/>
      <sheetData sheetId="5" refreshError="1"/>
    </sheetDataSet>
  </externalBook>
</externalLink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4823A5-D11A-4968-B386-9AD98FEBBAB4}">
  <dimension ref="C3:C10"/>
  <sheetViews>
    <sheetView showGridLines="0" workbookViewId="0">
      <selection activeCell="C11" sqref="C11"/>
    </sheetView>
  </sheetViews>
  <sheetFormatPr baseColWidth="10" defaultRowHeight="15" x14ac:dyDescent="0.25"/>
  <sheetData>
    <row r="3" spans="3:3" ht="18.75" x14ac:dyDescent="0.3">
      <c r="C3" s="9" t="s">
        <v>44</v>
      </c>
    </row>
    <row r="4" spans="3:3" x14ac:dyDescent="0.25">
      <c r="C4">
        <v>1</v>
      </c>
    </row>
    <row r="5" spans="3:3" x14ac:dyDescent="0.25">
      <c r="C5">
        <f>+C4+1</f>
        <v>2</v>
      </c>
    </row>
    <row r="6" spans="3:3" x14ac:dyDescent="0.25">
      <c r="C6">
        <f t="shared" ref="C6:C10" si="0">+C5+1</f>
        <v>3</v>
      </c>
    </row>
    <row r="7" spans="3:3" x14ac:dyDescent="0.25">
      <c r="C7">
        <f t="shared" si="0"/>
        <v>4</v>
      </c>
    </row>
    <row r="8" spans="3:3" x14ac:dyDescent="0.25">
      <c r="C8">
        <f t="shared" si="0"/>
        <v>5</v>
      </c>
    </row>
    <row r="9" spans="3:3" x14ac:dyDescent="0.25">
      <c r="C9">
        <f t="shared" si="0"/>
        <v>6</v>
      </c>
    </row>
    <row r="10" spans="3:3" x14ac:dyDescent="0.25">
      <c r="C10">
        <f t="shared" si="0"/>
        <v>7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7989B4-2C61-49EE-AE85-9BA3B66AAD9B}">
  <dimension ref="A2:AA134"/>
  <sheetViews>
    <sheetView showGridLines="0" workbookViewId="0">
      <selection activeCell="Q49" sqref="Q49:Q52"/>
    </sheetView>
  </sheetViews>
  <sheetFormatPr baseColWidth="10" defaultColWidth="8.85546875" defaultRowHeight="15" x14ac:dyDescent="0.25"/>
  <cols>
    <col min="4" max="4" width="14.140625" bestFit="1" customWidth="1"/>
    <col min="5" max="5" width="13.28515625" bestFit="1" customWidth="1"/>
    <col min="6" max="8" width="13.140625" bestFit="1" customWidth="1"/>
    <col min="9" max="10" width="14.140625" bestFit="1" customWidth="1"/>
    <col min="11" max="27" width="13.140625" bestFit="1" customWidth="1"/>
  </cols>
  <sheetData>
    <row r="2" spans="3:27" x14ac:dyDescent="0.25">
      <c r="C2" t="s">
        <v>0</v>
      </c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</row>
    <row r="3" spans="3:27" x14ac:dyDescent="0.25">
      <c r="D3" s="1" t="s">
        <v>1</v>
      </c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</row>
    <row r="4" spans="3:27" x14ac:dyDescent="0.25">
      <c r="D4" s="1" t="s">
        <v>37</v>
      </c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</row>
    <row r="5" spans="3:27" x14ac:dyDescent="0.25"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  <c r="AA5" s="1"/>
    </row>
    <row r="6" spans="3:27" x14ac:dyDescent="0.25"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  <c r="AA6" s="1"/>
    </row>
    <row r="7" spans="3:27" x14ac:dyDescent="0.25">
      <c r="C7" t="s">
        <v>4</v>
      </c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  <c r="AA7" s="1"/>
    </row>
    <row r="8" spans="3:27" x14ac:dyDescent="0.25">
      <c r="D8" s="1" t="s">
        <v>5</v>
      </c>
    </row>
    <row r="9" spans="3:27" x14ac:dyDescent="0.25">
      <c r="D9" s="1" t="s">
        <v>6</v>
      </c>
    </row>
    <row r="10" spans="3:27" x14ac:dyDescent="0.25">
      <c r="D10" s="1" t="s">
        <v>7</v>
      </c>
    </row>
    <row r="11" spans="3:27" x14ac:dyDescent="0.25">
      <c r="D11" s="1" t="s">
        <v>8</v>
      </c>
    </row>
    <row r="13" spans="3:27" ht="26.25" x14ac:dyDescent="0.4">
      <c r="C13" s="13" t="s">
        <v>45</v>
      </c>
      <c r="D13" s="13"/>
      <c r="E13" s="13"/>
      <c r="F13" s="13"/>
      <c r="G13" s="13"/>
      <c r="H13" s="13"/>
      <c r="I13" s="13"/>
      <c r="J13" s="13"/>
      <c r="K13" s="13"/>
      <c r="L13" s="13"/>
      <c r="M13" s="13"/>
      <c r="N13" s="13"/>
      <c r="O13" s="13"/>
      <c r="P13" s="13"/>
      <c r="Q13" s="13"/>
      <c r="R13" s="13"/>
      <c r="S13" s="13"/>
      <c r="T13" s="13"/>
      <c r="U13" s="13"/>
      <c r="V13" s="13"/>
      <c r="W13" s="13"/>
      <c r="X13" s="13"/>
      <c r="Y13" s="13"/>
      <c r="Z13" s="13"/>
      <c r="AA13" s="13"/>
    </row>
    <row r="15" spans="3:27" x14ac:dyDescent="0.25">
      <c r="D15" s="11">
        <v>1</v>
      </c>
      <c r="E15" s="11">
        <f>+D15+1</f>
        <v>2</v>
      </c>
      <c r="F15" s="11">
        <f t="shared" ref="F15:AA15" si="0">+E15+1</f>
        <v>3</v>
      </c>
      <c r="G15" s="11">
        <f t="shared" si="0"/>
        <v>4</v>
      </c>
      <c r="H15" s="11">
        <f t="shared" si="0"/>
        <v>5</v>
      </c>
      <c r="I15" s="11">
        <f t="shared" si="0"/>
        <v>6</v>
      </c>
      <c r="J15" s="11">
        <f t="shared" si="0"/>
        <v>7</v>
      </c>
      <c r="K15" s="11">
        <f t="shared" si="0"/>
        <v>8</v>
      </c>
      <c r="L15" s="11">
        <f t="shared" si="0"/>
        <v>9</v>
      </c>
      <c r="M15" s="11">
        <f t="shared" si="0"/>
        <v>10</v>
      </c>
      <c r="N15" s="11">
        <f t="shared" si="0"/>
        <v>11</v>
      </c>
      <c r="O15" s="11">
        <f t="shared" si="0"/>
        <v>12</v>
      </c>
      <c r="P15" s="11">
        <f t="shared" si="0"/>
        <v>13</v>
      </c>
      <c r="Q15" s="11">
        <f t="shared" si="0"/>
        <v>14</v>
      </c>
      <c r="R15" s="11">
        <f t="shared" si="0"/>
        <v>15</v>
      </c>
      <c r="S15" s="11">
        <f t="shared" si="0"/>
        <v>16</v>
      </c>
      <c r="T15" s="11">
        <f t="shared" si="0"/>
        <v>17</v>
      </c>
      <c r="U15" s="11">
        <f t="shared" si="0"/>
        <v>18</v>
      </c>
      <c r="V15" s="11">
        <f t="shared" si="0"/>
        <v>19</v>
      </c>
      <c r="W15" s="11">
        <f t="shared" si="0"/>
        <v>20</v>
      </c>
      <c r="X15" s="11">
        <f t="shared" si="0"/>
        <v>21</v>
      </c>
      <c r="Y15" s="11">
        <f t="shared" si="0"/>
        <v>22</v>
      </c>
      <c r="Z15" s="11">
        <f t="shared" si="0"/>
        <v>23</v>
      </c>
      <c r="AA15" s="11">
        <f t="shared" si="0"/>
        <v>24</v>
      </c>
    </row>
    <row r="16" spans="3:27" x14ac:dyDescent="0.25">
      <c r="C16" s="8" t="s">
        <v>9</v>
      </c>
      <c r="D16" s="3">
        <v>6418198</v>
      </c>
      <c r="E16" s="3">
        <v>8351947</v>
      </c>
      <c r="F16" s="3">
        <v>9393090</v>
      </c>
      <c r="G16" s="3">
        <v>11183194</v>
      </c>
      <c r="H16" s="3">
        <v>12100800</v>
      </c>
      <c r="I16" s="3">
        <v>12721118</v>
      </c>
      <c r="J16" s="3">
        <v>13073728</v>
      </c>
      <c r="K16" s="3">
        <v>13548698</v>
      </c>
      <c r="L16" s="3">
        <v>13729852</v>
      </c>
      <c r="M16" s="3">
        <v>14178002</v>
      </c>
      <c r="N16" s="3">
        <v>14403018</v>
      </c>
      <c r="O16" s="3">
        <v>14589694</v>
      </c>
      <c r="P16" s="3">
        <v>14666170</v>
      </c>
      <c r="Q16" s="3">
        <v>14699145</v>
      </c>
      <c r="R16" s="3">
        <v>14709918</v>
      </c>
      <c r="S16" s="3">
        <v>14721902</v>
      </c>
      <c r="T16" s="3">
        <v>14723975</v>
      </c>
      <c r="U16" s="3">
        <v>14724778</v>
      </c>
      <c r="V16" s="3">
        <v>14725216</v>
      </c>
      <c r="W16" s="3">
        <v>14725343</v>
      </c>
      <c r="X16" s="3">
        <v>14725356</v>
      </c>
      <c r="Y16" s="3">
        <v>14725361</v>
      </c>
      <c r="Z16" s="3">
        <v>14725369</v>
      </c>
      <c r="AA16" s="3">
        <v>14725385</v>
      </c>
    </row>
    <row r="17" spans="3:27" x14ac:dyDescent="0.25">
      <c r="C17" s="8" t="s">
        <v>10</v>
      </c>
      <c r="D17" s="3">
        <v>7475822</v>
      </c>
      <c r="E17" s="3">
        <v>10450029</v>
      </c>
      <c r="F17" s="3">
        <v>12515657</v>
      </c>
      <c r="G17" s="3">
        <v>13149304</v>
      </c>
      <c r="H17" s="3">
        <v>14417681</v>
      </c>
      <c r="I17" s="3">
        <v>15145227</v>
      </c>
      <c r="J17" s="3">
        <v>15971980</v>
      </c>
      <c r="K17" s="3">
        <v>16442175</v>
      </c>
      <c r="L17" s="3">
        <v>16761977</v>
      </c>
      <c r="M17" s="3">
        <v>17230340</v>
      </c>
      <c r="N17" s="3">
        <v>17479823</v>
      </c>
      <c r="O17" s="3">
        <v>17658472</v>
      </c>
      <c r="P17" s="3">
        <v>17691106</v>
      </c>
      <c r="Q17" s="3">
        <v>17707511</v>
      </c>
      <c r="R17" s="3">
        <v>17727251</v>
      </c>
      <c r="S17" s="3">
        <v>17731572</v>
      </c>
      <c r="T17" s="3">
        <v>17733454</v>
      </c>
      <c r="U17" s="3">
        <v>17734435</v>
      </c>
      <c r="V17" s="3">
        <v>17734974</v>
      </c>
      <c r="W17" s="3">
        <v>17735197</v>
      </c>
      <c r="X17" s="3">
        <v>17735258</v>
      </c>
      <c r="Y17" s="3">
        <v>17735268</v>
      </c>
      <c r="Z17" s="3">
        <v>17735279</v>
      </c>
      <c r="AA17" s="3" t="s">
        <v>11</v>
      </c>
    </row>
    <row r="18" spans="3:27" x14ac:dyDescent="0.25">
      <c r="C18" s="8" t="s">
        <v>12</v>
      </c>
      <c r="D18" s="3">
        <v>4944676</v>
      </c>
      <c r="E18" s="3">
        <v>5651989</v>
      </c>
      <c r="F18" s="3">
        <v>6603749</v>
      </c>
      <c r="G18" s="3">
        <v>7627857</v>
      </c>
      <c r="H18" s="3">
        <v>8503366</v>
      </c>
      <c r="I18" s="3">
        <v>9687265</v>
      </c>
      <c r="J18" s="3">
        <v>10329156</v>
      </c>
      <c r="K18" s="3">
        <v>10705380</v>
      </c>
      <c r="L18" s="3">
        <v>11007279</v>
      </c>
      <c r="M18" s="3">
        <v>11432174</v>
      </c>
      <c r="N18" s="3">
        <v>11644639</v>
      </c>
      <c r="O18" s="3">
        <v>11802250</v>
      </c>
      <c r="P18" s="3">
        <v>11840837</v>
      </c>
      <c r="Q18" s="3">
        <v>11864201</v>
      </c>
      <c r="R18" s="3">
        <v>11873586</v>
      </c>
      <c r="S18" s="3">
        <v>11878223</v>
      </c>
      <c r="T18" s="3">
        <v>11880065</v>
      </c>
      <c r="U18" s="3">
        <v>11880905</v>
      </c>
      <c r="V18" s="3">
        <v>11881492</v>
      </c>
      <c r="W18" s="3">
        <v>11881607</v>
      </c>
      <c r="X18" s="3">
        <v>11881725</v>
      </c>
      <c r="Y18" s="3">
        <v>11881761</v>
      </c>
      <c r="Z18" s="3" t="s">
        <v>11</v>
      </c>
      <c r="AA18" s="3" t="s">
        <v>11</v>
      </c>
    </row>
    <row r="19" spans="3:27" x14ac:dyDescent="0.25">
      <c r="C19" s="8" t="s">
        <v>13</v>
      </c>
      <c r="D19" s="3">
        <v>5990844</v>
      </c>
      <c r="E19" s="3">
        <v>12990844</v>
      </c>
      <c r="F19" s="3">
        <v>14795084</v>
      </c>
      <c r="G19" s="3">
        <v>15558421</v>
      </c>
      <c r="H19" s="3">
        <v>16698078</v>
      </c>
      <c r="I19" s="3">
        <v>17591115</v>
      </c>
      <c r="J19" s="3">
        <v>17858613</v>
      </c>
      <c r="K19" s="3">
        <v>18161498</v>
      </c>
      <c r="L19" s="3">
        <v>18751439</v>
      </c>
      <c r="M19" s="3">
        <v>18855100</v>
      </c>
      <c r="N19" s="3">
        <v>19152179</v>
      </c>
      <c r="O19" s="3">
        <v>19349458</v>
      </c>
      <c r="P19" s="3">
        <v>19426010</v>
      </c>
      <c r="Q19" s="3">
        <v>19444545</v>
      </c>
      <c r="R19" s="3">
        <v>19453256</v>
      </c>
      <c r="S19" s="3">
        <v>19457999</v>
      </c>
      <c r="T19" s="3">
        <v>19459976</v>
      </c>
      <c r="U19" s="3">
        <v>19461146</v>
      </c>
      <c r="V19" s="3">
        <v>19461559</v>
      </c>
      <c r="W19" s="3">
        <v>19461649</v>
      </c>
      <c r="X19" s="3">
        <v>19461650</v>
      </c>
      <c r="Y19" s="3" t="s">
        <v>11</v>
      </c>
      <c r="Z19" s="3" t="s">
        <v>11</v>
      </c>
      <c r="AA19" s="3" t="s">
        <v>11</v>
      </c>
    </row>
    <row r="20" spans="3:27" x14ac:dyDescent="0.25">
      <c r="C20" s="8" t="s">
        <v>14</v>
      </c>
      <c r="D20" s="3">
        <v>6106533</v>
      </c>
      <c r="E20" s="3">
        <v>7227067</v>
      </c>
      <c r="F20" s="3">
        <v>8316481</v>
      </c>
      <c r="G20" s="3">
        <v>8778769</v>
      </c>
      <c r="H20" s="3">
        <v>9616196</v>
      </c>
      <c r="I20" s="3">
        <v>9944940</v>
      </c>
      <c r="J20" s="3">
        <v>10596973</v>
      </c>
      <c r="K20" s="3">
        <v>10938865</v>
      </c>
      <c r="L20" s="3">
        <v>11091033</v>
      </c>
      <c r="M20" s="3">
        <v>11574757</v>
      </c>
      <c r="N20" s="3">
        <v>11660948</v>
      </c>
      <c r="O20" s="3">
        <v>11754449</v>
      </c>
      <c r="P20" s="3">
        <v>11785976</v>
      </c>
      <c r="Q20" s="3">
        <v>11801623</v>
      </c>
      <c r="R20" s="3">
        <v>11808422</v>
      </c>
      <c r="S20" s="3">
        <v>11812430</v>
      </c>
      <c r="T20" s="3">
        <v>11814677</v>
      </c>
      <c r="U20" s="3">
        <v>11815553</v>
      </c>
      <c r="V20" s="3">
        <v>11815994</v>
      </c>
      <c r="W20" s="3">
        <v>11816173</v>
      </c>
      <c r="X20" s="3" t="s">
        <v>11</v>
      </c>
      <c r="Y20" s="3" t="s">
        <v>11</v>
      </c>
      <c r="Z20" s="3" t="s">
        <v>11</v>
      </c>
      <c r="AA20" s="3" t="s">
        <v>11</v>
      </c>
    </row>
    <row r="21" spans="3:27" x14ac:dyDescent="0.25">
      <c r="C21" s="8" t="s">
        <v>15</v>
      </c>
      <c r="D21" s="3">
        <v>3511339</v>
      </c>
      <c r="E21" s="3">
        <v>5097855</v>
      </c>
      <c r="F21" s="3">
        <v>6037374</v>
      </c>
      <c r="G21" s="3">
        <v>6436248</v>
      </c>
      <c r="H21" s="3">
        <v>7366573</v>
      </c>
      <c r="I21" s="3">
        <v>8575992</v>
      </c>
      <c r="J21" s="3">
        <v>9082448</v>
      </c>
      <c r="K21" s="3">
        <v>12082448</v>
      </c>
      <c r="L21" s="3">
        <v>12687409</v>
      </c>
      <c r="M21" s="3">
        <v>12838372</v>
      </c>
      <c r="N21" s="3">
        <v>12930641</v>
      </c>
      <c r="O21" s="3">
        <v>12990612</v>
      </c>
      <c r="P21" s="3">
        <v>13017211</v>
      </c>
      <c r="Q21" s="3">
        <v>13032985</v>
      </c>
      <c r="R21" s="3">
        <v>13041104</v>
      </c>
      <c r="S21" s="3">
        <v>13045224</v>
      </c>
      <c r="T21" s="3">
        <v>13046906</v>
      </c>
      <c r="U21" s="3">
        <v>13047997</v>
      </c>
      <c r="V21" s="3">
        <v>13048471</v>
      </c>
      <c r="W21" s="3" t="s">
        <v>11</v>
      </c>
      <c r="X21" s="3" t="s">
        <v>11</v>
      </c>
      <c r="Y21" s="3" t="s">
        <v>11</v>
      </c>
      <c r="Z21" s="3" t="s">
        <v>11</v>
      </c>
      <c r="AA21" s="3" t="s">
        <v>11</v>
      </c>
    </row>
    <row r="22" spans="3:27" x14ac:dyDescent="0.25">
      <c r="C22" s="8" t="s">
        <v>16</v>
      </c>
      <c r="D22" s="3">
        <v>4141271</v>
      </c>
      <c r="E22" s="3">
        <v>5675304</v>
      </c>
      <c r="F22" s="3">
        <v>6514051</v>
      </c>
      <c r="G22" s="3">
        <v>7799341</v>
      </c>
      <c r="H22" s="3">
        <v>8118940</v>
      </c>
      <c r="I22" s="3">
        <v>8328067</v>
      </c>
      <c r="J22" s="3">
        <v>9073367</v>
      </c>
      <c r="K22" s="3">
        <v>9580777</v>
      </c>
      <c r="L22" s="3">
        <v>10084545</v>
      </c>
      <c r="M22" s="3">
        <v>10574369</v>
      </c>
      <c r="N22" s="3">
        <v>10704764</v>
      </c>
      <c r="O22" s="3">
        <v>10779530</v>
      </c>
      <c r="P22" s="3">
        <v>10810916</v>
      </c>
      <c r="Q22" s="3">
        <v>10825407</v>
      </c>
      <c r="R22" s="3">
        <v>10831969</v>
      </c>
      <c r="S22" s="3">
        <v>10836654</v>
      </c>
      <c r="T22" s="3">
        <v>10839043</v>
      </c>
      <c r="U22" s="3">
        <v>10840140</v>
      </c>
      <c r="V22" s="3" t="s">
        <v>11</v>
      </c>
      <c r="W22" s="3" t="s">
        <v>11</v>
      </c>
      <c r="X22" s="3" t="s">
        <v>11</v>
      </c>
      <c r="Y22" s="3" t="s">
        <v>11</v>
      </c>
      <c r="Z22" s="3" t="s">
        <v>11</v>
      </c>
      <c r="AA22" s="3" t="s">
        <v>11</v>
      </c>
    </row>
    <row r="23" spans="3:27" x14ac:dyDescent="0.25">
      <c r="C23" s="8" t="s">
        <v>17</v>
      </c>
      <c r="D23" s="3">
        <v>6591656</v>
      </c>
      <c r="E23" s="3">
        <v>9149839</v>
      </c>
      <c r="F23" s="3">
        <v>9876574</v>
      </c>
      <c r="G23" s="3">
        <v>11324778</v>
      </c>
      <c r="H23" s="3">
        <v>11791969</v>
      </c>
      <c r="I23" s="3">
        <v>12446387</v>
      </c>
      <c r="J23" s="3">
        <v>12820241</v>
      </c>
      <c r="K23" s="3">
        <v>13419392</v>
      </c>
      <c r="L23" s="3">
        <v>13586619</v>
      </c>
      <c r="M23" s="3">
        <v>13861205</v>
      </c>
      <c r="N23" s="3">
        <v>13987078</v>
      </c>
      <c r="O23" s="3">
        <v>14043493</v>
      </c>
      <c r="P23" s="3">
        <v>14079323</v>
      </c>
      <c r="Q23" s="3">
        <v>14095393</v>
      </c>
      <c r="R23" s="3">
        <v>14104571</v>
      </c>
      <c r="S23" s="3">
        <v>14109322</v>
      </c>
      <c r="T23" s="3">
        <v>14111136</v>
      </c>
      <c r="U23" s="3" t="s">
        <v>11</v>
      </c>
      <c r="V23" s="3" t="s">
        <v>11</v>
      </c>
      <c r="W23" s="3" t="s">
        <v>11</v>
      </c>
      <c r="X23" s="3" t="s">
        <v>11</v>
      </c>
      <c r="Y23" s="3" t="s">
        <v>11</v>
      </c>
      <c r="Z23" s="3" t="s">
        <v>11</v>
      </c>
      <c r="AA23" s="3" t="s">
        <v>11</v>
      </c>
    </row>
    <row r="24" spans="3:27" x14ac:dyDescent="0.25">
      <c r="C24" s="8" t="s">
        <v>18</v>
      </c>
      <c r="D24" s="3">
        <v>6289704</v>
      </c>
      <c r="E24" s="3">
        <v>9074583</v>
      </c>
      <c r="F24" s="3">
        <v>11031640</v>
      </c>
      <c r="G24" s="3">
        <v>12328713</v>
      </c>
      <c r="H24" s="3">
        <v>12743016</v>
      </c>
      <c r="I24" s="3">
        <v>13716063</v>
      </c>
      <c r="J24" s="3">
        <v>13936735</v>
      </c>
      <c r="K24" s="3">
        <v>14684360</v>
      </c>
      <c r="L24" s="3">
        <v>15224487</v>
      </c>
      <c r="M24" s="3">
        <v>15505624</v>
      </c>
      <c r="N24" s="3">
        <v>15616491</v>
      </c>
      <c r="O24" s="3">
        <v>15669883</v>
      </c>
      <c r="P24" s="3">
        <v>15701026</v>
      </c>
      <c r="Q24" s="3">
        <v>15717007</v>
      </c>
      <c r="R24" s="3">
        <v>15725357</v>
      </c>
      <c r="S24" s="3">
        <v>15729334</v>
      </c>
      <c r="T24" s="3" t="s">
        <v>11</v>
      </c>
      <c r="U24" s="3" t="s">
        <v>11</v>
      </c>
      <c r="V24" s="3" t="s">
        <v>11</v>
      </c>
      <c r="W24" s="3" t="s">
        <v>11</v>
      </c>
      <c r="X24" s="3" t="s">
        <v>11</v>
      </c>
      <c r="Y24" s="3" t="s">
        <v>11</v>
      </c>
      <c r="Z24" s="3" t="s">
        <v>11</v>
      </c>
      <c r="AA24" s="3" t="s">
        <v>11</v>
      </c>
    </row>
    <row r="25" spans="3:27" x14ac:dyDescent="0.25">
      <c r="C25" s="8" t="s">
        <v>19</v>
      </c>
      <c r="D25" s="3">
        <v>4959185</v>
      </c>
      <c r="E25" s="3">
        <v>7332815</v>
      </c>
      <c r="F25" s="3">
        <v>8942057</v>
      </c>
      <c r="G25" s="3">
        <v>10413724</v>
      </c>
      <c r="H25" s="3">
        <v>11109326</v>
      </c>
      <c r="I25" s="3">
        <v>11743877</v>
      </c>
      <c r="J25" s="3">
        <v>12264947</v>
      </c>
      <c r="K25" s="3">
        <v>13331758</v>
      </c>
      <c r="L25" s="3">
        <v>13881470</v>
      </c>
      <c r="M25" s="3">
        <v>14105853</v>
      </c>
      <c r="N25" s="3">
        <v>14231236</v>
      </c>
      <c r="O25" s="3">
        <v>14285043</v>
      </c>
      <c r="P25" s="3">
        <v>14317196</v>
      </c>
      <c r="Q25" s="3">
        <v>14335249</v>
      </c>
      <c r="R25" s="3">
        <v>14343596</v>
      </c>
      <c r="S25" s="3" t="s">
        <v>11</v>
      </c>
      <c r="T25" s="3" t="s">
        <v>11</v>
      </c>
      <c r="U25" s="3" t="s">
        <v>11</v>
      </c>
      <c r="V25" s="3" t="s">
        <v>11</v>
      </c>
      <c r="W25" s="3" t="s">
        <v>11</v>
      </c>
      <c r="X25" s="3" t="s">
        <v>11</v>
      </c>
      <c r="Y25" s="3" t="s">
        <v>11</v>
      </c>
      <c r="Z25" s="3" t="s">
        <v>11</v>
      </c>
      <c r="AA25" s="3" t="s">
        <v>11</v>
      </c>
    </row>
    <row r="26" spans="3:27" x14ac:dyDescent="0.25">
      <c r="C26" s="8" t="s">
        <v>20</v>
      </c>
      <c r="D26" s="3">
        <v>6194048</v>
      </c>
      <c r="E26" s="3">
        <v>7741218</v>
      </c>
      <c r="F26" s="3">
        <v>9386858</v>
      </c>
      <c r="G26" s="3">
        <v>9734366</v>
      </c>
      <c r="H26" s="3">
        <v>10964336</v>
      </c>
      <c r="I26" s="3">
        <v>11346897</v>
      </c>
      <c r="J26" s="3">
        <v>13064544</v>
      </c>
      <c r="K26" s="3">
        <v>14121948</v>
      </c>
      <c r="L26" s="3">
        <v>14605429</v>
      </c>
      <c r="M26" s="3">
        <v>14862271</v>
      </c>
      <c r="N26" s="3">
        <v>15012968</v>
      </c>
      <c r="O26" s="3">
        <v>15074585</v>
      </c>
      <c r="P26" s="3">
        <v>15104696</v>
      </c>
      <c r="Q26" s="3">
        <v>15119935</v>
      </c>
      <c r="R26" s="3" t="s">
        <v>11</v>
      </c>
      <c r="S26" s="3" t="s">
        <v>11</v>
      </c>
      <c r="T26" s="3" t="s">
        <v>11</v>
      </c>
      <c r="U26" s="3" t="s">
        <v>11</v>
      </c>
      <c r="V26" s="3" t="s">
        <v>11</v>
      </c>
      <c r="W26" s="3" t="s">
        <v>11</v>
      </c>
      <c r="X26" s="3" t="s">
        <v>11</v>
      </c>
      <c r="Y26" s="3" t="s">
        <v>11</v>
      </c>
      <c r="Z26" s="3" t="s">
        <v>11</v>
      </c>
      <c r="AA26" s="3" t="s">
        <v>11</v>
      </c>
    </row>
    <row r="27" spans="3:27" x14ac:dyDescent="0.25">
      <c r="C27" s="8" t="s">
        <v>21</v>
      </c>
      <c r="D27" s="3">
        <v>6500694</v>
      </c>
      <c r="E27" s="3">
        <v>9436157</v>
      </c>
      <c r="F27" s="3">
        <v>11552953</v>
      </c>
      <c r="G27" s="3">
        <v>12130358</v>
      </c>
      <c r="H27" s="3">
        <v>13369514</v>
      </c>
      <c r="I27" s="3">
        <v>15030308</v>
      </c>
      <c r="J27" s="3">
        <v>16697100</v>
      </c>
      <c r="K27" s="3">
        <v>17828453</v>
      </c>
      <c r="L27" s="3">
        <v>18294564</v>
      </c>
      <c r="M27" s="3">
        <v>18522862</v>
      </c>
      <c r="N27" s="3">
        <v>18641988</v>
      </c>
      <c r="O27" s="3">
        <v>18693587</v>
      </c>
      <c r="P27" s="3">
        <v>18730024</v>
      </c>
      <c r="Q27" s="3" t="s">
        <v>11</v>
      </c>
      <c r="R27" s="3" t="s">
        <v>11</v>
      </c>
      <c r="S27" s="3" t="s">
        <v>11</v>
      </c>
      <c r="T27" s="3" t="s">
        <v>11</v>
      </c>
      <c r="U27" s="3" t="s">
        <v>11</v>
      </c>
      <c r="V27" s="3" t="s">
        <v>11</v>
      </c>
      <c r="W27" s="3" t="s">
        <v>11</v>
      </c>
      <c r="X27" s="3" t="s">
        <v>11</v>
      </c>
      <c r="Y27" s="3" t="s">
        <v>11</v>
      </c>
      <c r="Z27" s="3" t="s">
        <v>11</v>
      </c>
      <c r="AA27" s="3" t="s">
        <v>11</v>
      </c>
    </row>
    <row r="28" spans="3:27" x14ac:dyDescent="0.25">
      <c r="C28" s="8" t="s">
        <v>22</v>
      </c>
      <c r="D28" s="3">
        <v>5205434</v>
      </c>
      <c r="E28" s="3">
        <v>7752400</v>
      </c>
      <c r="F28" s="3">
        <v>9411446</v>
      </c>
      <c r="G28" s="3">
        <v>10805763</v>
      </c>
      <c r="H28" s="3">
        <v>13284336</v>
      </c>
      <c r="I28" s="3">
        <v>15384835</v>
      </c>
      <c r="J28" s="3">
        <v>17438864</v>
      </c>
      <c r="K28" s="3">
        <v>18514044</v>
      </c>
      <c r="L28" s="3">
        <v>19125680</v>
      </c>
      <c r="M28" s="3">
        <v>19431036</v>
      </c>
      <c r="N28" s="3">
        <v>19572822</v>
      </c>
      <c r="O28" s="3">
        <v>19627354</v>
      </c>
      <c r="P28" s="3" t="s">
        <v>11</v>
      </c>
      <c r="Q28" s="3" t="s">
        <v>11</v>
      </c>
      <c r="R28" s="3" t="s">
        <v>11</v>
      </c>
      <c r="S28" s="3" t="s">
        <v>11</v>
      </c>
      <c r="T28" s="3" t="s">
        <v>11</v>
      </c>
      <c r="U28" s="3" t="s">
        <v>11</v>
      </c>
      <c r="V28" s="3" t="s">
        <v>11</v>
      </c>
      <c r="W28" s="3" t="s">
        <v>11</v>
      </c>
      <c r="X28" s="3" t="s">
        <v>11</v>
      </c>
      <c r="Y28" s="3" t="s">
        <v>11</v>
      </c>
      <c r="Z28" s="3" t="s">
        <v>11</v>
      </c>
      <c r="AA28" s="3" t="s">
        <v>11</v>
      </c>
    </row>
    <row r="29" spans="3:27" x14ac:dyDescent="0.25">
      <c r="C29" s="8" t="s">
        <v>23</v>
      </c>
      <c r="D29" s="3">
        <v>5184519</v>
      </c>
      <c r="E29" s="3">
        <v>7275135</v>
      </c>
      <c r="F29" s="3">
        <v>7974797</v>
      </c>
      <c r="G29" s="3">
        <v>11597296</v>
      </c>
      <c r="H29" s="3">
        <v>14585912</v>
      </c>
      <c r="I29" s="3">
        <v>16285147</v>
      </c>
      <c r="J29" s="3">
        <v>18338971</v>
      </c>
      <c r="K29" s="3">
        <v>19214501</v>
      </c>
      <c r="L29" s="3">
        <v>19700684</v>
      </c>
      <c r="M29" s="3">
        <v>19926910</v>
      </c>
      <c r="N29" s="3">
        <v>20049671</v>
      </c>
      <c r="O29" s="3" t="s">
        <v>11</v>
      </c>
      <c r="P29" s="3" t="s">
        <v>11</v>
      </c>
      <c r="Q29" s="3" t="s">
        <v>11</v>
      </c>
      <c r="R29" s="3" t="s">
        <v>11</v>
      </c>
      <c r="S29" s="3" t="s">
        <v>11</v>
      </c>
      <c r="T29" s="3" t="s">
        <v>11</v>
      </c>
      <c r="U29" s="3" t="s">
        <v>11</v>
      </c>
      <c r="V29" s="3" t="s">
        <v>11</v>
      </c>
      <c r="W29" s="3" t="s">
        <v>11</v>
      </c>
      <c r="X29" s="3" t="s">
        <v>11</v>
      </c>
      <c r="Y29" s="3" t="s">
        <v>11</v>
      </c>
      <c r="Z29" s="3" t="s">
        <v>11</v>
      </c>
      <c r="AA29" s="3" t="s">
        <v>11</v>
      </c>
    </row>
    <row r="30" spans="3:27" x14ac:dyDescent="0.25">
      <c r="C30" s="8" t="s">
        <v>24</v>
      </c>
      <c r="D30" s="3">
        <v>3419011</v>
      </c>
      <c r="E30" s="3">
        <v>4773306</v>
      </c>
      <c r="F30" s="3">
        <v>8697825</v>
      </c>
      <c r="G30" s="3">
        <v>12220494</v>
      </c>
      <c r="H30" s="3">
        <v>14462971</v>
      </c>
      <c r="I30" s="3">
        <v>16656668</v>
      </c>
      <c r="J30" s="3">
        <v>19017438</v>
      </c>
      <c r="K30" s="3">
        <v>19939378</v>
      </c>
      <c r="L30" s="3">
        <v>20384099</v>
      </c>
      <c r="M30" s="3">
        <v>20688336</v>
      </c>
      <c r="N30" s="3" t="s">
        <v>11</v>
      </c>
      <c r="O30" s="3" t="s">
        <v>11</v>
      </c>
      <c r="P30" s="3" t="s">
        <v>11</v>
      </c>
      <c r="Q30" s="3" t="s">
        <v>11</v>
      </c>
      <c r="R30" s="3" t="s">
        <v>11</v>
      </c>
      <c r="S30" s="3" t="s">
        <v>11</v>
      </c>
      <c r="T30" s="3" t="s">
        <v>11</v>
      </c>
      <c r="U30" s="3" t="s">
        <v>11</v>
      </c>
      <c r="V30" s="3" t="s">
        <v>11</v>
      </c>
      <c r="W30" s="3" t="s">
        <v>11</v>
      </c>
      <c r="X30" s="3" t="s">
        <v>11</v>
      </c>
      <c r="Y30" s="3" t="s">
        <v>11</v>
      </c>
      <c r="Z30" s="3" t="s">
        <v>11</v>
      </c>
      <c r="AA30" s="3" t="s">
        <v>11</v>
      </c>
    </row>
    <row r="31" spans="3:27" x14ac:dyDescent="0.25">
      <c r="C31" s="8" t="s">
        <v>25</v>
      </c>
      <c r="D31" s="3">
        <v>5498188</v>
      </c>
      <c r="E31" s="3">
        <v>10669557</v>
      </c>
      <c r="F31" s="3">
        <v>14420577</v>
      </c>
      <c r="G31" s="3">
        <v>17838126</v>
      </c>
      <c r="H31" s="3">
        <v>20243242</v>
      </c>
      <c r="I31" s="3">
        <v>22179116</v>
      </c>
      <c r="J31" s="3">
        <v>24155749</v>
      </c>
      <c r="K31" s="3">
        <v>25145296</v>
      </c>
      <c r="L31" s="3">
        <v>25647723</v>
      </c>
      <c r="M31" s="3" t="s">
        <v>11</v>
      </c>
      <c r="N31" s="3" t="s">
        <v>11</v>
      </c>
      <c r="O31" s="3" t="s">
        <v>11</v>
      </c>
      <c r="P31" s="3" t="s">
        <v>11</v>
      </c>
      <c r="Q31" s="3" t="s">
        <v>11</v>
      </c>
      <c r="R31" s="3" t="s">
        <v>11</v>
      </c>
      <c r="S31" s="3" t="s">
        <v>11</v>
      </c>
      <c r="T31" s="3" t="s">
        <v>11</v>
      </c>
      <c r="U31" s="3" t="s">
        <v>11</v>
      </c>
      <c r="V31" s="3" t="s">
        <v>11</v>
      </c>
      <c r="W31" s="3" t="s">
        <v>11</v>
      </c>
      <c r="X31" s="3" t="s">
        <v>11</v>
      </c>
      <c r="Y31" s="3" t="s">
        <v>11</v>
      </c>
      <c r="Z31" s="3" t="s">
        <v>11</v>
      </c>
      <c r="AA31" s="3" t="s">
        <v>11</v>
      </c>
    </row>
    <row r="32" spans="3:27" x14ac:dyDescent="0.25">
      <c r="C32" s="8" t="s">
        <v>26</v>
      </c>
      <c r="D32" s="3">
        <v>6382667</v>
      </c>
      <c r="E32" s="3">
        <v>10460689</v>
      </c>
      <c r="F32" s="3">
        <v>15242265</v>
      </c>
      <c r="G32" s="3">
        <v>19075882</v>
      </c>
      <c r="H32" s="3">
        <v>21908553</v>
      </c>
      <c r="I32" s="3">
        <v>23938666</v>
      </c>
      <c r="J32" s="3">
        <v>25653115</v>
      </c>
      <c r="K32" s="3">
        <v>26811464</v>
      </c>
      <c r="L32" s="3" t="s">
        <v>11</v>
      </c>
      <c r="M32" s="3" t="s">
        <v>11</v>
      </c>
      <c r="N32" s="3" t="s">
        <v>11</v>
      </c>
      <c r="O32" s="3" t="s">
        <v>11</v>
      </c>
      <c r="P32" s="3" t="s">
        <v>11</v>
      </c>
      <c r="Q32" s="3" t="s">
        <v>11</v>
      </c>
      <c r="R32" s="3" t="s">
        <v>11</v>
      </c>
      <c r="S32" s="3" t="s">
        <v>11</v>
      </c>
      <c r="T32" s="3" t="s">
        <v>11</v>
      </c>
      <c r="U32" s="3" t="s">
        <v>11</v>
      </c>
      <c r="V32" s="3" t="s">
        <v>11</v>
      </c>
      <c r="W32" s="3" t="s">
        <v>11</v>
      </c>
      <c r="X32" s="3" t="s">
        <v>11</v>
      </c>
      <c r="Y32" s="3" t="s">
        <v>11</v>
      </c>
      <c r="Z32" s="3" t="s">
        <v>11</v>
      </c>
      <c r="AA32" s="3" t="s">
        <v>11</v>
      </c>
    </row>
    <row r="33" spans="1:27" x14ac:dyDescent="0.25">
      <c r="C33" s="8" t="s">
        <v>27</v>
      </c>
      <c r="D33" s="3">
        <v>3022770</v>
      </c>
      <c r="E33" s="3">
        <v>7899209</v>
      </c>
      <c r="F33" s="3">
        <v>11259161</v>
      </c>
      <c r="G33" s="3">
        <v>14497513</v>
      </c>
      <c r="H33" s="3">
        <v>17221120</v>
      </c>
      <c r="I33" s="3">
        <v>19234288</v>
      </c>
      <c r="J33" s="3">
        <v>21399003</v>
      </c>
      <c r="K33" s="3" t="s">
        <v>11</v>
      </c>
      <c r="L33" s="3" t="s">
        <v>11</v>
      </c>
      <c r="M33" s="3" t="s">
        <v>11</v>
      </c>
      <c r="N33" s="3" t="s">
        <v>11</v>
      </c>
      <c r="O33" s="3" t="s">
        <v>11</v>
      </c>
      <c r="P33" s="3" t="s">
        <v>11</v>
      </c>
      <c r="Q33" s="3" t="s">
        <v>11</v>
      </c>
      <c r="R33" s="3" t="s">
        <v>11</v>
      </c>
      <c r="S33" s="3" t="s">
        <v>11</v>
      </c>
      <c r="T33" s="3" t="s">
        <v>11</v>
      </c>
      <c r="U33" s="3" t="s">
        <v>11</v>
      </c>
      <c r="V33" s="3" t="s">
        <v>11</v>
      </c>
      <c r="W33" s="3" t="s">
        <v>11</v>
      </c>
      <c r="X33" s="3" t="s">
        <v>11</v>
      </c>
      <c r="Y33" s="3" t="s">
        <v>11</v>
      </c>
      <c r="Z33" s="3" t="s">
        <v>11</v>
      </c>
      <c r="AA33" s="3" t="s">
        <v>11</v>
      </c>
    </row>
    <row r="34" spans="1:27" x14ac:dyDescent="0.25">
      <c r="C34" s="8" t="s">
        <v>28</v>
      </c>
      <c r="D34" s="3">
        <v>6936281</v>
      </c>
      <c r="E34" s="3">
        <v>21936281</v>
      </c>
      <c r="F34" s="3">
        <v>25150070</v>
      </c>
      <c r="G34" s="3">
        <v>28898330</v>
      </c>
      <c r="H34" s="3">
        <v>31903741</v>
      </c>
      <c r="I34" s="3">
        <v>33589263</v>
      </c>
      <c r="J34" s="3" t="s">
        <v>11</v>
      </c>
      <c r="K34" s="3" t="s">
        <v>11</v>
      </c>
      <c r="L34" s="3" t="s">
        <v>11</v>
      </c>
      <c r="M34" s="3" t="s">
        <v>11</v>
      </c>
      <c r="N34" s="3" t="s">
        <v>11</v>
      </c>
      <c r="O34" s="3" t="s">
        <v>11</v>
      </c>
      <c r="P34" s="3" t="s">
        <v>11</v>
      </c>
      <c r="Q34" s="3" t="s">
        <v>11</v>
      </c>
      <c r="R34" s="3" t="s">
        <v>11</v>
      </c>
      <c r="S34" s="3" t="s">
        <v>11</v>
      </c>
      <c r="T34" s="3" t="s">
        <v>11</v>
      </c>
      <c r="U34" s="3" t="s">
        <v>11</v>
      </c>
      <c r="V34" s="3" t="s">
        <v>11</v>
      </c>
      <c r="W34" s="3" t="s">
        <v>11</v>
      </c>
      <c r="X34" s="3" t="s">
        <v>11</v>
      </c>
      <c r="Y34" s="3" t="s">
        <v>11</v>
      </c>
      <c r="Z34" s="3" t="s">
        <v>11</v>
      </c>
      <c r="AA34" s="3" t="s">
        <v>11</v>
      </c>
    </row>
    <row r="35" spans="1:27" x14ac:dyDescent="0.25">
      <c r="C35" s="8" t="s">
        <v>29</v>
      </c>
      <c r="D35" s="3">
        <v>6691248</v>
      </c>
      <c r="E35" s="3">
        <v>11756013</v>
      </c>
      <c r="F35" s="3">
        <v>15391294</v>
      </c>
      <c r="G35" s="3">
        <v>18736499</v>
      </c>
      <c r="H35" s="3">
        <v>21705785</v>
      </c>
      <c r="I35" s="3" t="s">
        <v>11</v>
      </c>
      <c r="J35" s="3" t="s">
        <v>11</v>
      </c>
      <c r="K35" s="3" t="s">
        <v>11</v>
      </c>
      <c r="L35" s="3" t="s">
        <v>11</v>
      </c>
      <c r="M35" s="3" t="s">
        <v>11</v>
      </c>
      <c r="N35" s="3" t="s">
        <v>11</v>
      </c>
      <c r="O35" s="3" t="s">
        <v>11</v>
      </c>
      <c r="P35" s="3" t="s">
        <v>11</v>
      </c>
      <c r="Q35" s="3" t="s">
        <v>11</v>
      </c>
      <c r="R35" s="3" t="s">
        <v>11</v>
      </c>
      <c r="S35" s="3" t="s">
        <v>11</v>
      </c>
      <c r="T35" s="3" t="s">
        <v>11</v>
      </c>
      <c r="U35" s="3" t="s">
        <v>11</v>
      </c>
      <c r="V35" s="3" t="s">
        <v>11</v>
      </c>
      <c r="W35" s="3" t="s">
        <v>11</v>
      </c>
      <c r="X35" s="3" t="s">
        <v>11</v>
      </c>
      <c r="Y35" s="3" t="s">
        <v>11</v>
      </c>
      <c r="Z35" s="3" t="s">
        <v>11</v>
      </c>
      <c r="AA35" s="3" t="s">
        <v>11</v>
      </c>
    </row>
    <row r="36" spans="1:27" x14ac:dyDescent="0.25">
      <c r="C36" s="8" t="s">
        <v>30</v>
      </c>
      <c r="D36" s="3">
        <v>4191817</v>
      </c>
      <c r="E36" s="3">
        <v>9775450</v>
      </c>
      <c r="F36" s="3">
        <v>14374440</v>
      </c>
      <c r="G36" s="3">
        <v>17306094</v>
      </c>
      <c r="H36" s="3" t="s">
        <v>11</v>
      </c>
      <c r="I36" s="3" t="s">
        <v>11</v>
      </c>
      <c r="J36" s="3" t="s">
        <v>11</v>
      </c>
      <c r="K36" s="3" t="s">
        <v>11</v>
      </c>
      <c r="L36" s="3" t="s">
        <v>11</v>
      </c>
      <c r="M36" s="3" t="s">
        <v>11</v>
      </c>
      <c r="N36" s="3" t="s">
        <v>11</v>
      </c>
      <c r="O36" s="3" t="s">
        <v>11</v>
      </c>
      <c r="P36" s="3" t="s">
        <v>11</v>
      </c>
      <c r="Q36" s="3" t="s">
        <v>11</v>
      </c>
      <c r="R36" s="3" t="s">
        <v>11</v>
      </c>
      <c r="S36" s="3" t="s">
        <v>11</v>
      </c>
      <c r="T36" s="3" t="s">
        <v>11</v>
      </c>
      <c r="U36" s="3" t="s">
        <v>11</v>
      </c>
      <c r="V36" s="3" t="s">
        <v>11</v>
      </c>
      <c r="W36" s="3" t="s">
        <v>11</v>
      </c>
      <c r="X36" s="3" t="s">
        <v>11</v>
      </c>
      <c r="Y36" s="3" t="s">
        <v>11</v>
      </c>
      <c r="Z36" s="3" t="s">
        <v>11</v>
      </c>
      <c r="AA36" s="3" t="s">
        <v>11</v>
      </c>
    </row>
    <row r="37" spans="1:27" x14ac:dyDescent="0.25">
      <c r="C37" s="8" t="s">
        <v>31</v>
      </c>
      <c r="D37" s="3">
        <v>5916671</v>
      </c>
      <c r="E37" s="3">
        <v>11716355</v>
      </c>
      <c r="F37" s="3">
        <v>15374462</v>
      </c>
      <c r="G37" s="3" t="s">
        <v>11</v>
      </c>
      <c r="H37" s="3" t="s">
        <v>11</v>
      </c>
      <c r="I37" s="3" t="s">
        <v>11</v>
      </c>
      <c r="J37" s="3" t="s">
        <v>11</v>
      </c>
      <c r="K37" s="3" t="s">
        <v>11</v>
      </c>
      <c r="L37" s="3" t="s">
        <v>11</v>
      </c>
      <c r="M37" s="3" t="s">
        <v>11</v>
      </c>
      <c r="N37" s="3" t="s">
        <v>11</v>
      </c>
      <c r="O37" s="3" t="s">
        <v>11</v>
      </c>
      <c r="P37" s="3" t="s">
        <v>11</v>
      </c>
      <c r="Q37" s="3" t="s">
        <v>11</v>
      </c>
      <c r="R37" s="3" t="s">
        <v>11</v>
      </c>
      <c r="S37" s="3" t="s">
        <v>11</v>
      </c>
      <c r="T37" s="3" t="s">
        <v>11</v>
      </c>
      <c r="U37" s="3" t="s">
        <v>11</v>
      </c>
      <c r="V37" s="3" t="s">
        <v>11</v>
      </c>
      <c r="W37" s="3" t="s">
        <v>11</v>
      </c>
      <c r="X37" s="3" t="s">
        <v>11</v>
      </c>
      <c r="Y37" s="3" t="s">
        <v>11</v>
      </c>
      <c r="Z37" s="3" t="s">
        <v>11</v>
      </c>
      <c r="AA37" s="3" t="s">
        <v>11</v>
      </c>
    </row>
    <row r="38" spans="1:27" x14ac:dyDescent="0.25">
      <c r="C38" s="8" t="s">
        <v>32</v>
      </c>
      <c r="D38" s="3">
        <v>4926500</v>
      </c>
      <c r="E38" s="3">
        <v>9321834</v>
      </c>
      <c r="F38" s="3" t="s">
        <v>11</v>
      </c>
      <c r="G38" s="3" t="s">
        <v>11</v>
      </c>
      <c r="H38" s="3" t="s">
        <v>11</v>
      </c>
      <c r="I38" s="3" t="s">
        <v>11</v>
      </c>
      <c r="J38" s="3" t="s">
        <v>11</v>
      </c>
      <c r="K38" s="3" t="s">
        <v>11</v>
      </c>
      <c r="L38" s="3" t="s">
        <v>11</v>
      </c>
      <c r="M38" s="3" t="s">
        <v>11</v>
      </c>
      <c r="N38" s="3" t="s">
        <v>11</v>
      </c>
      <c r="O38" s="3" t="s">
        <v>11</v>
      </c>
      <c r="P38" s="3" t="s">
        <v>11</v>
      </c>
      <c r="Q38" s="3" t="s">
        <v>11</v>
      </c>
      <c r="R38" s="3" t="s">
        <v>11</v>
      </c>
      <c r="S38" s="3" t="s">
        <v>11</v>
      </c>
      <c r="T38" s="3" t="s">
        <v>11</v>
      </c>
      <c r="U38" s="3" t="s">
        <v>11</v>
      </c>
      <c r="V38" s="3" t="s">
        <v>11</v>
      </c>
      <c r="W38" s="3" t="s">
        <v>11</v>
      </c>
      <c r="X38" s="3" t="s">
        <v>11</v>
      </c>
      <c r="Y38" s="3" t="s">
        <v>11</v>
      </c>
      <c r="Z38" s="3" t="s">
        <v>11</v>
      </c>
      <c r="AA38" s="3" t="s">
        <v>11</v>
      </c>
    </row>
    <row r="39" spans="1:27" x14ac:dyDescent="0.25">
      <c r="C39" s="8" t="s">
        <v>33</v>
      </c>
      <c r="D39" s="3">
        <v>5149958</v>
      </c>
      <c r="E39" s="3"/>
      <c r="F39" s="3" t="s">
        <v>11</v>
      </c>
      <c r="G39" s="3" t="s">
        <v>11</v>
      </c>
      <c r="H39" s="3" t="s">
        <v>11</v>
      </c>
      <c r="I39" s="3" t="s">
        <v>11</v>
      </c>
      <c r="J39" s="3" t="s">
        <v>11</v>
      </c>
      <c r="K39" s="3" t="s">
        <v>11</v>
      </c>
      <c r="L39" s="3" t="s">
        <v>11</v>
      </c>
      <c r="M39" s="3" t="s">
        <v>11</v>
      </c>
      <c r="N39" s="3" t="s">
        <v>11</v>
      </c>
      <c r="O39" s="3" t="s">
        <v>11</v>
      </c>
      <c r="P39" s="3" t="s">
        <v>11</v>
      </c>
      <c r="Q39" s="3" t="s">
        <v>11</v>
      </c>
      <c r="R39" s="3" t="s">
        <v>11</v>
      </c>
      <c r="S39" s="3" t="s">
        <v>11</v>
      </c>
      <c r="T39" s="3" t="s">
        <v>11</v>
      </c>
      <c r="U39" s="3" t="s">
        <v>11</v>
      </c>
      <c r="V39" s="3" t="s">
        <v>11</v>
      </c>
      <c r="W39" s="3" t="s">
        <v>11</v>
      </c>
      <c r="X39" s="3" t="s">
        <v>11</v>
      </c>
      <c r="Y39" s="3" t="s">
        <v>11</v>
      </c>
      <c r="Z39" s="3" t="s">
        <v>11</v>
      </c>
      <c r="AA39" s="3" t="s">
        <v>11</v>
      </c>
    </row>
    <row r="40" spans="1:27" x14ac:dyDescent="0.25"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</row>
    <row r="41" spans="1:27" ht="26.25" x14ac:dyDescent="0.4">
      <c r="A41" s="16"/>
      <c r="B41" s="16"/>
      <c r="C41" s="13" t="s">
        <v>47</v>
      </c>
      <c r="D41" s="13"/>
      <c r="E41" s="13"/>
      <c r="F41" s="13"/>
      <c r="G41" s="13"/>
      <c r="H41" s="13"/>
      <c r="I41" s="13"/>
      <c r="J41" s="13"/>
      <c r="K41" s="13"/>
      <c r="L41" s="13"/>
      <c r="M41" s="13"/>
      <c r="N41" s="13"/>
      <c r="O41" s="13"/>
      <c r="P41" s="13"/>
      <c r="Q41" s="13"/>
      <c r="R41" s="13"/>
      <c r="S41" s="13"/>
      <c r="T41" s="13"/>
      <c r="U41" s="13"/>
      <c r="V41" s="13"/>
      <c r="W41" s="13"/>
      <c r="X41" s="13"/>
      <c r="Y41" s="13"/>
      <c r="Z41" s="13"/>
      <c r="AA41" s="13"/>
    </row>
    <row r="43" spans="1:27" ht="15.75" thickBot="1" x14ac:dyDescent="0.3">
      <c r="D43" s="11">
        <v>1</v>
      </c>
      <c r="E43" s="11">
        <f>+D43+1</f>
        <v>2</v>
      </c>
      <c r="F43" s="11">
        <f t="shared" ref="F43" si="1">+E43+1</f>
        <v>3</v>
      </c>
      <c r="G43" s="11">
        <f t="shared" ref="G43" si="2">+F43+1</f>
        <v>4</v>
      </c>
      <c r="H43" s="11">
        <f t="shared" ref="H43" si="3">+G43+1</f>
        <v>5</v>
      </c>
      <c r="I43" s="11">
        <f t="shared" ref="I43" si="4">+H43+1</f>
        <v>6</v>
      </c>
      <c r="J43" s="11">
        <f t="shared" ref="J43" si="5">+I43+1</f>
        <v>7</v>
      </c>
      <c r="K43" s="11">
        <f t="shared" ref="K43" si="6">+J43+1</f>
        <v>8</v>
      </c>
      <c r="L43" s="11">
        <f t="shared" ref="L43" si="7">+K43+1</f>
        <v>9</v>
      </c>
      <c r="M43" s="11">
        <f t="shared" ref="M43" si="8">+L43+1</f>
        <v>10</v>
      </c>
      <c r="N43" s="11">
        <f t="shared" ref="N43" si="9">+M43+1</f>
        <v>11</v>
      </c>
      <c r="O43" s="11">
        <f t="shared" ref="O43" si="10">+N43+1</f>
        <v>12</v>
      </c>
      <c r="P43" s="11">
        <f t="shared" ref="P43" si="11">+O43+1</f>
        <v>13</v>
      </c>
      <c r="Q43" s="11">
        <f t="shared" ref="Q43" si="12">+P43+1</f>
        <v>14</v>
      </c>
      <c r="R43" s="11">
        <f t="shared" ref="R43" si="13">+Q43+1</f>
        <v>15</v>
      </c>
      <c r="S43" s="11">
        <f t="shared" ref="S43" si="14">+R43+1</f>
        <v>16</v>
      </c>
      <c r="T43" s="11">
        <f t="shared" ref="T43" si="15">+S43+1</f>
        <v>17</v>
      </c>
      <c r="U43" s="11">
        <f t="shared" ref="U43" si="16">+T43+1</f>
        <v>18</v>
      </c>
      <c r="V43" s="11">
        <f t="shared" ref="V43" si="17">+U43+1</f>
        <v>19</v>
      </c>
      <c r="W43" s="11">
        <f t="shared" ref="W43" si="18">+V43+1</f>
        <v>20</v>
      </c>
      <c r="X43" s="11">
        <f t="shared" ref="X43" si="19">+W43+1</f>
        <v>21</v>
      </c>
      <c r="Y43" s="11">
        <f t="shared" ref="Y43" si="20">+X43+1</f>
        <v>22</v>
      </c>
      <c r="Z43" s="11">
        <f t="shared" ref="Z43" si="21">+Y43+1</f>
        <v>23</v>
      </c>
      <c r="AA43" s="11">
        <f t="shared" ref="AA43" si="22">+Z43+1</f>
        <v>24</v>
      </c>
    </row>
    <row r="44" spans="1:27" ht="15.75" thickBot="1" x14ac:dyDescent="0.3">
      <c r="C44" s="8" t="s">
        <v>9</v>
      </c>
      <c r="D44" s="17">
        <f>E16/D16</f>
        <v>1.3012915774801588</v>
      </c>
      <c r="E44" s="17">
        <f t="shared" ref="E44:AA55" si="23">F16/E16</f>
        <v>1.1246587173026841</v>
      </c>
      <c r="F44" s="17">
        <f t="shared" si="23"/>
        <v>1.190576689885863</v>
      </c>
      <c r="G44" s="17">
        <f t="shared" si="23"/>
        <v>1.0820522294435739</v>
      </c>
      <c r="H44" s="17">
        <f t="shared" si="23"/>
        <v>1.0512625611529816</v>
      </c>
      <c r="I44" s="17">
        <f t="shared" si="23"/>
        <v>1.0277184756874356</v>
      </c>
      <c r="J44" s="17">
        <f t="shared" si="23"/>
        <v>1.0363301118089652</v>
      </c>
      <c r="K44" s="17">
        <f t="shared" si="23"/>
        <v>1.0133705836531304</v>
      </c>
      <c r="L44" s="17">
        <f t="shared" si="23"/>
        <v>1.032640555775838</v>
      </c>
      <c r="M44" s="17">
        <f t="shared" si="23"/>
        <v>1.0158707834855716</v>
      </c>
      <c r="N44" s="17">
        <f t="shared" si="23"/>
        <v>1.012960894723592</v>
      </c>
      <c r="O44" s="17">
        <f t="shared" si="23"/>
        <v>1.0052417823156539</v>
      </c>
      <c r="P44" s="17">
        <f t="shared" si="23"/>
        <v>1.0022483715925834</v>
      </c>
      <c r="Q44" s="17">
        <f t="shared" si="23"/>
        <v>1.000732899770701</v>
      </c>
      <c r="R44" s="17">
        <f t="shared" si="23"/>
        <v>1.0008146884299423</v>
      </c>
      <c r="S44" s="21">
        <f t="shared" si="23"/>
        <v>1.0001408106099334</v>
      </c>
      <c r="T44" s="21">
        <f t="shared" si="23"/>
        <v>1.0000545369032479</v>
      </c>
      <c r="U44" s="21">
        <f t="shared" si="23"/>
        <v>1.0000297457795289</v>
      </c>
      <c r="V44" s="21">
        <f t="shared" si="23"/>
        <v>1.0000086246612614</v>
      </c>
      <c r="W44" s="21">
        <f t="shared" si="23"/>
        <v>1.0000008828317275</v>
      </c>
      <c r="X44" s="21">
        <f t="shared" si="23"/>
        <v>1.0000003395503647</v>
      </c>
      <c r="Y44" s="21">
        <f t="shared" si="23"/>
        <v>1.0000005432803991</v>
      </c>
      <c r="Z44" s="26">
        <f t="shared" si="23"/>
        <v>1.0000010865602078</v>
      </c>
      <c r="AA44" s="17"/>
    </row>
    <row r="45" spans="1:27" ht="15.75" thickBot="1" x14ac:dyDescent="0.3">
      <c r="C45" s="8" t="s">
        <v>10</v>
      </c>
      <c r="D45" s="17">
        <f t="shared" ref="D45:S67" si="24">E17/D17</f>
        <v>1.397843474603863</v>
      </c>
      <c r="E45" s="17">
        <f t="shared" si="24"/>
        <v>1.1976672026460404</v>
      </c>
      <c r="F45" s="17">
        <f t="shared" si="24"/>
        <v>1.0506283449602367</v>
      </c>
      <c r="G45" s="17">
        <f t="shared" si="24"/>
        <v>1.096459630106658</v>
      </c>
      <c r="H45" s="17">
        <f t="shared" si="24"/>
        <v>1.0504620680676733</v>
      </c>
      <c r="I45" s="17">
        <f t="shared" si="24"/>
        <v>1.0545883531491473</v>
      </c>
      <c r="J45" s="17">
        <f t="shared" si="24"/>
        <v>1.0294387420970976</v>
      </c>
      <c r="K45" s="17">
        <f t="shared" si="24"/>
        <v>1.0194501031645753</v>
      </c>
      <c r="L45" s="17">
        <f t="shared" si="24"/>
        <v>1.0279419903750018</v>
      </c>
      <c r="M45" s="17">
        <f t="shared" si="24"/>
        <v>1.0144792847964694</v>
      </c>
      <c r="N45" s="17">
        <f t="shared" si="24"/>
        <v>1.0102202979972967</v>
      </c>
      <c r="O45" s="17">
        <f t="shared" si="24"/>
        <v>1.0018480647702701</v>
      </c>
      <c r="P45" s="17">
        <f t="shared" si="24"/>
        <v>1.0009273021144072</v>
      </c>
      <c r="Q45" s="17">
        <f t="shared" si="24"/>
        <v>1.0011147811795797</v>
      </c>
      <c r="R45" s="24">
        <f t="shared" si="24"/>
        <v>1.0002437490166975</v>
      </c>
      <c r="S45" s="22">
        <f t="shared" si="24"/>
        <v>1.0001061383615621</v>
      </c>
      <c r="T45" s="22">
        <f t="shared" si="23"/>
        <v>1.0000553191724522</v>
      </c>
      <c r="U45" s="22">
        <f t="shared" si="23"/>
        <v>1.0000303928487149</v>
      </c>
      <c r="V45" s="22">
        <f t="shared" si="23"/>
        <v>1.0000125740246364</v>
      </c>
      <c r="W45" s="22">
        <f t="shared" si="23"/>
        <v>1.0000034394881545</v>
      </c>
      <c r="X45" s="22">
        <f t="shared" si="23"/>
        <v>1.0000005638485778</v>
      </c>
      <c r="Y45" s="23">
        <f t="shared" si="23"/>
        <v>1.0000006202330858</v>
      </c>
      <c r="Z45" s="17"/>
      <c r="AA45" s="17"/>
    </row>
    <row r="46" spans="1:27" ht="15.75" thickBot="1" x14ac:dyDescent="0.3">
      <c r="C46" s="8" t="s">
        <v>12</v>
      </c>
      <c r="D46" s="20">
        <f t="shared" si="24"/>
        <v>1.143045368392186</v>
      </c>
      <c r="E46" s="17">
        <f t="shared" si="23"/>
        <v>1.1683938167607899</v>
      </c>
      <c r="F46" s="17">
        <f t="shared" si="23"/>
        <v>1.1550797887684707</v>
      </c>
      <c r="G46" s="17">
        <f t="shared" si="23"/>
        <v>1.1147778465170493</v>
      </c>
      <c r="H46" s="17">
        <f t="shared" si="23"/>
        <v>1.1392271013619784</v>
      </c>
      <c r="I46" s="17">
        <f t="shared" si="23"/>
        <v>1.0662613235004927</v>
      </c>
      <c r="J46" s="17">
        <f t="shared" si="23"/>
        <v>1.0364234986866303</v>
      </c>
      <c r="K46" s="17">
        <f t="shared" si="23"/>
        <v>1.028200680405553</v>
      </c>
      <c r="L46" s="17">
        <f t="shared" si="23"/>
        <v>1.0386012746656099</v>
      </c>
      <c r="M46" s="17">
        <f t="shared" si="23"/>
        <v>1.0185848290972479</v>
      </c>
      <c r="N46" s="17">
        <f t="shared" si="23"/>
        <v>1.0135350696573762</v>
      </c>
      <c r="O46" s="17">
        <f t="shared" si="23"/>
        <v>1.0032694613315258</v>
      </c>
      <c r="P46" s="17">
        <f t="shared" si="23"/>
        <v>1.0019731713222637</v>
      </c>
      <c r="Q46" s="24">
        <f t="shared" si="23"/>
        <v>1.000791035148511</v>
      </c>
      <c r="R46" s="25">
        <f t="shared" si="23"/>
        <v>1.000390530712457</v>
      </c>
      <c r="S46" s="22">
        <f t="shared" si="23"/>
        <v>1.0001550737008389</v>
      </c>
      <c r="T46" s="22">
        <f t="shared" si="23"/>
        <v>1.0000707066838439</v>
      </c>
      <c r="U46" s="22">
        <f t="shared" si="23"/>
        <v>1.0000494070106611</v>
      </c>
      <c r="V46" s="22">
        <f t="shared" si="23"/>
        <v>1.0000096789191122</v>
      </c>
      <c r="W46" s="22">
        <f t="shared" si="23"/>
        <v>1.0000099313165298</v>
      </c>
      <c r="X46" s="23">
        <f t="shared" si="23"/>
        <v>1.000003029863088</v>
      </c>
      <c r="Y46" s="17"/>
      <c r="Z46" s="17"/>
      <c r="AA46" s="17"/>
    </row>
    <row r="47" spans="1:27" ht="15.75" thickBot="1" x14ac:dyDescent="0.3">
      <c r="C47" s="8" t="s">
        <v>13</v>
      </c>
      <c r="D47" s="17">
        <f t="shared" si="24"/>
        <v>2.1684497209408224</v>
      </c>
      <c r="E47" s="17">
        <f t="shared" si="23"/>
        <v>1.138885510441046</v>
      </c>
      <c r="F47" s="17">
        <f t="shared" si="23"/>
        <v>1.0515939618862589</v>
      </c>
      <c r="G47" s="17">
        <f t="shared" si="23"/>
        <v>1.0732501710809856</v>
      </c>
      <c r="H47" s="17">
        <f t="shared" si="23"/>
        <v>1.0534814246286308</v>
      </c>
      <c r="I47" s="17">
        <f t="shared" si="23"/>
        <v>1.0152064266534555</v>
      </c>
      <c r="J47" s="17">
        <f t="shared" si="23"/>
        <v>1.0169601637036425</v>
      </c>
      <c r="K47" s="17">
        <f t="shared" si="23"/>
        <v>1.0324830583908882</v>
      </c>
      <c r="L47" s="17">
        <f t="shared" si="23"/>
        <v>1.0055281623986299</v>
      </c>
      <c r="M47" s="17">
        <f t="shared" si="23"/>
        <v>1.0157558962827034</v>
      </c>
      <c r="N47" s="17">
        <f t="shared" si="23"/>
        <v>1.0103006033934834</v>
      </c>
      <c r="O47" s="17">
        <f t="shared" si="23"/>
        <v>1.0039562865275089</v>
      </c>
      <c r="P47" s="24">
        <f t="shared" si="23"/>
        <v>1.0009541331441711</v>
      </c>
      <c r="Q47" s="25">
        <f t="shared" si="23"/>
        <v>1.0004479919689557</v>
      </c>
      <c r="R47" s="25">
        <f t="shared" si="23"/>
        <v>1.0002438152255848</v>
      </c>
      <c r="S47" s="22">
        <f t="shared" si="23"/>
        <v>1.0001016034588139</v>
      </c>
      <c r="T47" s="22">
        <f t="shared" si="23"/>
        <v>1.0000601234040576</v>
      </c>
      <c r="U47" s="22">
        <f t="shared" si="23"/>
        <v>1.0000212217718318</v>
      </c>
      <c r="V47" s="22">
        <f t="shared" si="23"/>
        <v>1.0000046245010485</v>
      </c>
      <c r="W47" s="23">
        <f t="shared" si="23"/>
        <v>1.0000000513831073</v>
      </c>
      <c r="X47" s="17"/>
      <c r="Y47" s="17"/>
      <c r="Z47" s="17"/>
      <c r="AA47" s="17"/>
    </row>
    <row r="48" spans="1:27" ht="15.75" thickBot="1" x14ac:dyDescent="0.3">
      <c r="C48" s="8" t="s">
        <v>14</v>
      </c>
      <c r="D48" s="17">
        <f t="shared" si="24"/>
        <v>1.1834975754654893</v>
      </c>
      <c r="E48" s="17">
        <f t="shared" si="23"/>
        <v>1.150740819200929</v>
      </c>
      <c r="F48" s="17">
        <f t="shared" si="23"/>
        <v>1.0555869724225908</v>
      </c>
      <c r="G48" s="17">
        <f t="shared" si="23"/>
        <v>1.0953923038640156</v>
      </c>
      <c r="H48" s="17">
        <f t="shared" si="23"/>
        <v>1.0341864912071259</v>
      </c>
      <c r="I48" s="17">
        <f t="shared" si="23"/>
        <v>1.0655642970193888</v>
      </c>
      <c r="J48" s="17">
        <f t="shared" si="23"/>
        <v>1.0322631755313523</v>
      </c>
      <c r="K48" s="17">
        <f t="shared" si="23"/>
        <v>1.013910766793447</v>
      </c>
      <c r="L48" s="17">
        <f t="shared" si="23"/>
        <v>1.0436139717553812</v>
      </c>
      <c r="M48" s="17">
        <f t="shared" si="23"/>
        <v>1.0074464630229387</v>
      </c>
      <c r="N48" s="17">
        <f t="shared" si="23"/>
        <v>1.0080183017710052</v>
      </c>
      <c r="O48" s="24">
        <f t="shared" si="23"/>
        <v>1.0026821333777534</v>
      </c>
      <c r="P48" s="25">
        <f t="shared" si="23"/>
        <v>1.0013275947617746</v>
      </c>
      <c r="Q48" s="25">
        <f t="shared" si="23"/>
        <v>1.0005761072015265</v>
      </c>
      <c r="R48" s="25">
        <f t="shared" si="23"/>
        <v>1.0003394187639973</v>
      </c>
      <c r="S48" s="22">
        <f t="shared" si="23"/>
        <v>1.0001902233494717</v>
      </c>
      <c r="T48" s="22">
        <f t="shared" si="23"/>
        <v>1.0000741450654977</v>
      </c>
      <c r="U48" s="22">
        <f t="shared" si="23"/>
        <v>1.000037323686839</v>
      </c>
      <c r="V48" s="23">
        <f t="shared" si="23"/>
        <v>1.0000151489582678</v>
      </c>
      <c r="W48" s="17"/>
      <c r="X48" s="17"/>
      <c r="Y48" s="17"/>
      <c r="Z48" s="17"/>
      <c r="AA48" s="17"/>
    </row>
    <row r="49" spans="3:27" ht="15.75" thickBot="1" x14ac:dyDescent="0.3">
      <c r="C49" s="8" t="s">
        <v>15</v>
      </c>
      <c r="D49" s="17">
        <f t="shared" si="24"/>
        <v>1.4518264969574284</v>
      </c>
      <c r="E49" s="17">
        <f t="shared" si="23"/>
        <v>1.1842969248831126</v>
      </c>
      <c r="F49" s="17">
        <f t="shared" si="23"/>
        <v>1.0660674657558071</v>
      </c>
      <c r="G49" s="17">
        <f t="shared" si="23"/>
        <v>1.1445446166772939</v>
      </c>
      <c r="H49" s="17">
        <f t="shared" si="23"/>
        <v>1.1641766123813611</v>
      </c>
      <c r="I49" s="17">
        <f t="shared" si="23"/>
        <v>1.0590550924021385</v>
      </c>
      <c r="J49" s="17">
        <f t="shared" si="23"/>
        <v>1.3303074237254098</v>
      </c>
      <c r="K49" s="17">
        <f t="shared" si="23"/>
        <v>1.0500694064646503</v>
      </c>
      <c r="L49" s="17">
        <f t="shared" si="23"/>
        <v>1.0118986469183739</v>
      </c>
      <c r="M49" s="17">
        <f t="shared" si="23"/>
        <v>1.0071869704351923</v>
      </c>
      <c r="N49" s="24">
        <f t="shared" si="23"/>
        <v>1.0046378984614917</v>
      </c>
      <c r="O49" s="25">
        <f t="shared" si="23"/>
        <v>1.0020475555732093</v>
      </c>
      <c r="P49" s="25">
        <f t="shared" si="23"/>
        <v>1.0012117803114662</v>
      </c>
      <c r="Q49" s="25">
        <f t="shared" si="23"/>
        <v>1.000622957825855</v>
      </c>
      <c r="R49" s="25">
        <f t="shared" si="23"/>
        <v>1.0003159241732908</v>
      </c>
      <c r="S49" s="22">
        <f t="shared" si="23"/>
        <v>1.0001289360765289</v>
      </c>
      <c r="T49" s="22">
        <f t="shared" si="23"/>
        <v>1.0000836213581978</v>
      </c>
      <c r="U49" s="23">
        <f t="shared" si="23"/>
        <v>1.0000363274148516</v>
      </c>
      <c r="V49" s="17"/>
      <c r="W49" s="17"/>
      <c r="X49" s="17"/>
      <c r="Y49" s="17"/>
      <c r="Z49" s="17"/>
      <c r="AA49" s="17"/>
    </row>
    <row r="50" spans="3:27" ht="15.75" thickBot="1" x14ac:dyDescent="0.3">
      <c r="C50" s="8" t="s">
        <v>16</v>
      </c>
      <c r="D50" s="17">
        <f t="shared" si="24"/>
        <v>1.3704256495167788</v>
      </c>
      <c r="E50" s="17">
        <f t="shared" si="23"/>
        <v>1.1477889113957596</v>
      </c>
      <c r="F50" s="17">
        <f t="shared" si="23"/>
        <v>1.1973103987058131</v>
      </c>
      <c r="G50" s="17">
        <f t="shared" si="23"/>
        <v>1.0409776928589223</v>
      </c>
      <c r="H50" s="17">
        <f t="shared" si="23"/>
        <v>1.0257579191372272</v>
      </c>
      <c r="I50" s="17">
        <f t="shared" si="23"/>
        <v>1.08949255571551</v>
      </c>
      <c r="J50" s="17">
        <f t="shared" si="23"/>
        <v>1.0559230107191739</v>
      </c>
      <c r="K50" s="17">
        <f t="shared" si="23"/>
        <v>1.0525811215520411</v>
      </c>
      <c r="L50" s="17">
        <f t="shared" si="23"/>
        <v>1.0485717501384544</v>
      </c>
      <c r="M50" s="24">
        <f t="shared" si="23"/>
        <v>1.0123312322465765</v>
      </c>
      <c r="N50" s="25">
        <f t="shared" si="23"/>
        <v>1.0069843669603553</v>
      </c>
      <c r="O50" s="25">
        <f t="shared" si="23"/>
        <v>1.0029116297278267</v>
      </c>
      <c r="P50" s="25">
        <f t="shared" si="23"/>
        <v>1.0013404044578647</v>
      </c>
      <c r="Q50" s="25">
        <f t="shared" si="23"/>
        <v>1.0006061665856998</v>
      </c>
      <c r="R50" s="25">
        <f t="shared" si="23"/>
        <v>1.0004325160088623</v>
      </c>
      <c r="S50" s="22">
        <f t="shared" si="23"/>
        <v>1.0002204555022243</v>
      </c>
      <c r="T50" s="23">
        <f t="shared" si="23"/>
        <v>1.0001012081970706</v>
      </c>
      <c r="U50" s="17"/>
      <c r="V50" s="17"/>
      <c r="W50" s="17"/>
      <c r="X50" s="17"/>
      <c r="Y50" s="17"/>
      <c r="Z50" s="17"/>
      <c r="AA50" s="17"/>
    </row>
    <row r="51" spans="3:27" ht="15.75" thickBot="1" x14ac:dyDescent="0.3">
      <c r="C51" s="8" t="s">
        <v>17</v>
      </c>
      <c r="D51" s="17">
        <f t="shared" si="24"/>
        <v>1.3880941299121192</v>
      </c>
      <c r="E51" s="17">
        <f t="shared" si="23"/>
        <v>1.0794259877141008</v>
      </c>
      <c r="F51" s="17">
        <f t="shared" si="23"/>
        <v>1.1466301978803581</v>
      </c>
      <c r="G51" s="17">
        <f t="shared" si="23"/>
        <v>1.0412538771179445</v>
      </c>
      <c r="H51" s="17">
        <f t="shared" si="23"/>
        <v>1.0554969233721696</v>
      </c>
      <c r="I51" s="17">
        <f t="shared" si="23"/>
        <v>1.0300371505401527</v>
      </c>
      <c r="J51" s="17">
        <f t="shared" si="23"/>
        <v>1.0467347688705695</v>
      </c>
      <c r="K51" s="17">
        <f t="shared" si="23"/>
        <v>1.0124615928948197</v>
      </c>
      <c r="L51" s="24">
        <f t="shared" si="23"/>
        <v>1.0202100316495222</v>
      </c>
      <c r="M51" s="25">
        <f t="shared" si="23"/>
        <v>1.0090809565257854</v>
      </c>
      <c r="N51" s="25">
        <f t="shared" si="23"/>
        <v>1.0040333656536411</v>
      </c>
      <c r="O51" s="25">
        <f t="shared" si="23"/>
        <v>1.0025513595513595</v>
      </c>
      <c r="P51" s="25">
        <f t="shared" si="23"/>
        <v>1.0011413901080328</v>
      </c>
      <c r="Q51" s="25">
        <f t="shared" si="23"/>
        <v>1.0006511347360092</v>
      </c>
      <c r="R51" s="25">
        <f t="shared" si="23"/>
        <v>1.0003368411559628</v>
      </c>
      <c r="S51" s="23">
        <f t="shared" si="23"/>
        <v>1.0001285674818392</v>
      </c>
      <c r="T51" s="17"/>
      <c r="U51" s="17"/>
      <c r="V51" s="17"/>
      <c r="W51" s="17"/>
      <c r="X51" s="17"/>
      <c r="Y51" s="17"/>
      <c r="Z51" s="17"/>
      <c r="AA51" s="17"/>
    </row>
    <row r="52" spans="3:27" ht="15.75" thickBot="1" x14ac:dyDescent="0.3">
      <c r="C52" s="8" t="s">
        <v>18</v>
      </c>
      <c r="D52" s="17">
        <f t="shared" si="24"/>
        <v>1.4427678949597629</v>
      </c>
      <c r="E52" s="17">
        <f t="shared" si="23"/>
        <v>1.2156635737421764</v>
      </c>
      <c r="F52" s="17">
        <f t="shared" si="23"/>
        <v>1.1175775315365621</v>
      </c>
      <c r="G52" s="17">
        <f t="shared" si="23"/>
        <v>1.0336047241914059</v>
      </c>
      <c r="H52" s="17">
        <f t="shared" si="23"/>
        <v>1.0763592386606122</v>
      </c>
      <c r="I52" s="17">
        <f t="shared" si="23"/>
        <v>1.0160885816870338</v>
      </c>
      <c r="J52" s="17">
        <f t="shared" si="23"/>
        <v>1.0536442000224586</v>
      </c>
      <c r="K52" s="24">
        <f t="shared" si="23"/>
        <v>1.0367824678773878</v>
      </c>
      <c r="L52" s="25">
        <f t="shared" si="23"/>
        <v>1.0184661066083869</v>
      </c>
      <c r="M52" s="25">
        <f t="shared" si="23"/>
        <v>1.0071501153387958</v>
      </c>
      <c r="N52" s="25">
        <f t="shared" si="23"/>
        <v>1.0034189498780488</v>
      </c>
      <c r="O52" s="25">
        <f t="shared" si="23"/>
        <v>1.001987443046001</v>
      </c>
      <c r="P52" s="25">
        <f t="shared" si="23"/>
        <v>1.0010178315735545</v>
      </c>
      <c r="Q52" s="25">
        <f t="shared" si="23"/>
        <v>1.0005312716346058</v>
      </c>
      <c r="R52" s="23">
        <f t="shared" si="23"/>
        <v>1.000252903638372</v>
      </c>
      <c r="S52" s="17"/>
      <c r="T52" s="17"/>
      <c r="U52" s="17"/>
      <c r="V52" s="17"/>
      <c r="W52" s="17"/>
      <c r="X52" s="17"/>
      <c r="Y52" s="17"/>
      <c r="Z52" s="17"/>
      <c r="AA52" s="17"/>
    </row>
    <row r="53" spans="3:27" ht="15.75" thickBot="1" x14ac:dyDescent="0.3">
      <c r="C53" s="8" t="s">
        <v>19</v>
      </c>
      <c r="D53" s="17">
        <f t="shared" si="24"/>
        <v>1.4786330818471181</v>
      </c>
      <c r="E53" s="17">
        <f t="shared" si="23"/>
        <v>1.2194576025714545</v>
      </c>
      <c r="F53" s="17">
        <f t="shared" si="23"/>
        <v>1.1645781278289771</v>
      </c>
      <c r="G53" s="17">
        <f t="shared" si="23"/>
        <v>1.0667966617897691</v>
      </c>
      <c r="H53" s="17">
        <f t="shared" si="23"/>
        <v>1.0571187667010582</v>
      </c>
      <c r="I53" s="17">
        <f t="shared" si="23"/>
        <v>1.0443695042105772</v>
      </c>
      <c r="J53" s="24">
        <f t="shared" si="23"/>
        <v>1.0869804818561384</v>
      </c>
      <c r="K53" s="25">
        <f t="shared" si="23"/>
        <v>1.0412332717110526</v>
      </c>
      <c r="L53" s="25">
        <f t="shared" si="23"/>
        <v>1.0161642102745603</v>
      </c>
      <c r="M53" s="25">
        <f t="shared" si="23"/>
        <v>1.0088887215824522</v>
      </c>
      <c r="N53" s="25">
        <f t="shared" si="23"/>
        <v>1.0037809084186362</v>
      </c>
      <c r="O53" s="25">
        <f t="shared" si="23"/>
        <v>1.0022508157658327</v>
      </c>
      <c r="P53" s="25">
        <f t="shared" si="23"/>
        <v>1.0012609312605625</v>
      </c>
      <c r="Q53" s="23">
        <f t="shared" si="23"/>
        <v>1.000582271016011</v>
      </c>
      <c r="R53" s="17"/>
      <c r="S53" s="17"/>
      <c r="T53" s="17"/>
      <c r="U53" s="17"/>
      <c r="V53" s="17"/>
      <c r="W53" s="17"/>
      <c r="X53" s="17"/>
      <c r="Y53" s="17"/>
      <c r="Z53" s="17"/>
      <c r="AA53" s="17"/>
    </row>
    <row r="54" spans="3:27" ht="15.75" thickBot="1" x14ac:dyDescent="0.3">
      <c r="C54" s="8" t="s">
        <v>20</v>
      </c>
      <c r="D54" s="17">
        <f t="shared" si="24"/>
        <v>1.249783340393875</v>
      </c>
      <c r="E54" s="17">
        <f t="shared" si="23"/>
        <v>1.2125815343270272</v>
      </c>
      <c r="F54" s="17">
        <f t="shared" si="23"/>
        <v>1.0370206942514737</v>
      </c>
      <c r="G54" s="17">
        <f t="shared" si="23"/>
        <v>1.1263533752480643</v>
      </c>
      <c r="H54" s="17">
        <f t="shared" si="23"/>
        <v>1.0348913969801727</v>
      </c>
      <c r="I54" s="24">
        <f t="shared" si="23"/>
        <v>1.1513759224217863</v>
      </c>
      <c r="J54" s="25">
        <f t="shared" si="23"/>
        <v>1.0809369236308592</v>
      </c>
      <c r="K54" s="25">
        <f t="shared" si="23"/>
        <v>1.0342361407930407</v>
      </c>
      <c r="L54" s="25">
        <f t="shared" si="23"/>
        <v>1.0175853786971953</v>
      </c>
      <c r="M54" s="25">
        <f t="shared" si="23"/>
        <v>1.0101395674994758</v>
      </c>
      <c r="N54" s="25">
        <f t="shared" si="23"/>
        <v>1.0041042517375645</v>
      </c>
      <c r="O54" s="25">
        <f t="shared" si="23"/>
        <v>1.001997467923661</v>
      </c>
      <c r="P54" s="23">
        <f t="shared" si="23"/>
        <v>1.001008891539426</v>
      </c>
      <c r="Q54" s="17"/>
      <c r="R54" s="17"/>
      <c r="S54" s="17"/>
      <c r="T54" s="17"/>
      <c r="U54" s="17"/>
      <c r="V54" s="17"/>
      <c r="W54" s="17"/>
      <c r="X54" s="17"/>
      <c r="Y54" s="17"/>
      <c r="Z54" s="17"/>
      <c r="AA54" s="17"/>
    </row>
    <row r="55" spans="3:27" ht="15.75" thickBot="1" x14ac:dyDescent="0.3">
      <c r="C55" s="8" t="s">
        <v>21</v>
      </c>
      <c r="D55" s="17">
        <f t="shared" si="24"/>
        <v>1.451561479435888</v>
      </c>
      <c r="E55" s="17">
        <f t="shared" si="23"/>
        <v>1.224328187841724</v>
      </c>
      <c r="F55" s="17">
        <f t="shared" si="23"/>
        <v>1.0499789967119229</v>
      </c>
      <c r="G55" s="17">
        <f t="shared" si="23"/>
        <v>1.1021532917659973</v>
      </c>
      <c r="H55" s="24">
        <f t="shared" si="23"/>
        <v>1.124222466127041</v>
      </c>
      <c r="I55" s="25">
        <f t="shared" si="23"/>
        <v>1.110895398816844</v>
      </c>
      <c r="J55" s="25">
        <f t="shared" si="23"/>
        <v>1.0677574548873756</v>
      </c>
      <c r="K55" s="25">
        <f t="shared" si="23"/>
        <v>1.0261442201406932</v>
      </c>
      <c r="L55" s="25">
        <f t="shared" si="23"/>
        <v>1.0124790074253751</v>
      </c>
      <c r="M55" s="25">
        <f t="shared" si="23"/>
        <v>1.0064312955524908</v>
      </c>
      <c r="N55" s="25">
        <f t="shared" si="23"/>
        <v>1.0027678914931175</v>
      </c>
      <c r="O55" s="23">
        <f t="shared" si="23"/>
        <v>1.0019491711248354</v>
      </c>
      <c r="P55" s="17"/>
      <c r="Q55" s="17"/>
      <c r="R55" s="17"/>
      <c r="S55" s="17"/>
      <c r="T55" s="17"/>
      <c r="U55" s="17"/>
      <c r="V55" s="17"/>
      <c r="W55" s="17"/>
      <c r="X55" s="17"/>
      <c r="Y55" s="17"/>
      <c r="Z55" s="17"/>
      <c r="AA55" s="17"/>
    </row>
    <row r="56" spans="3:27" ht="15.75" thickBot="1" x14ac:dyDescent="0.3">
      <c r="C56" s="8" t="s">
        <v>22</v>
      </c>
      <c r="D56" s="17">
        <f t="shared" si="24"/>
        <v>1.4892898459571287</v>
      </c>
      <c r="E56" s="17">
        <f t="shared" ref="E55:AA66" si="25">F28/E28</f>
        <v>1.2140041793509107</v>
      </c>
      <c r="F56" s="17">
        <f t="shared" si="25"/>
        <v>1.148151198019943</v>
      </c>
      <c r="G56" s="24">
        <f t="shared" si="25"/>
        <v>1.2293751028964821</v>
      </c>
      <c r="H56" s="25">
        <f t="shared" si="25"/>
        <v>1.1581184787858423</v>
      </c>
      <c r="I56" s="25">
        <f t="shared" si="25"/>
        <v>1.1335099791450478</v>
      </c>
      <c r="J56" s="25">
        <f t="shared" si="25"/>
        <v>1.0616542453682762</v>
      </c>
      <c r="K56" s="25">
        <f t="shared" si="25"/>
        <v>1.0330363263693227</v>
      </c>
      <c r="L56" s="25">
        <f t="shared" si="25"/>
        <v>1.0159657591259501</v>
      </c>
      <c r="M56" s="25">
        <f t="shared" si="25"/>
        <v>1.0072968831924349</v>
      </c>
      <c r="N56" s="23">
        <f t="shared" si="25"/>
        <v>1.0027861082065734</v>
      </c>
      <c r="O56" s="17"/>
      <c r="P56" s="17"/>
      <c r="Q56" s="17"/>
      <c r="R56" s="17"/>
      <c r="S56" s="17"/>
      <c r="T56" s="17"/>
      <c r="U56" s="17"/>
      <c r="V56" s="17"/>
      <c r="W56" s="17"/>
      <c r="X56" s="17"/>
      <c r="Y56" s="17"/>
      <c r="Z56" s="17"/>
      <c r="AA56" s="17"/>
    </row>
    <row r="57" spans="3:27" ht="15.75" thickBot="1" x14ac:dyDescent="0.3">
      <c r="C57" s="8" t="s">
        <v>23</v>
      </c>
      <c r="D57" s="17">
        <f t="shared" si="24"/>
        <v>1.4032420365322222</v>
      </c>
      <c r="E57" s="17">
        <f t="shared" si="25"/>
        <v>1.0961716861611503</v>
      </c>
      <c r="F57" s="24">
        <f t="shared" si="25"/>
        <v>1.454243412089361</v>
      </c>
      <c r="G57" s="25">
        <f t="shared" si="25"/>
        <v>1.2576993809591477</v>
      </c>
      <c r="H57" s="25">
        <f t="shared" si="25"/>
        <v>1.1164983718536077</v>
      </c>
      <c r="I57" s="25">
        <f t="shared" si="25"/>
        <v>1.1261163930543581</v>
      </c>
      <c r="J57" s="25">
        <f t="shared" si="25"/>
        <v>1.0477415008726498</v>
      </c>
      <c r="K57" s="25">
        <f t="shared" si="25"/>
        <v>1.0253029209553763</v>
      </c>
      <c r="L57" s="25">
        <f t="shared" si="25"/>
        <v>1.0114831545950385</v>
      </c>
      <c r="M57" s="23">
        <f t="shared" si="25"/>
        <v>1.0061605637803352</v>
      </c>
      <c r="N57" s="17"/>
      <c r="O57" s="17"/>
      <c r="P57" s="17"/>
      <c r="Q57" s="17"/>
      <c r="R57" s="17"/>
      <c r="S57" s="17"/>
      <c r="T57" s="17"/>
      <c r="U57" s="17"/>
      <c r="V57" s="17"/>
      <c r="W57" s="17"/>
      <c r="X57" s="17"/>
      <c r="Y57" s="17"/>
      <c r="Z57" s="17"/>
      <c r="AA57" s="17"/>
    </row>
    <row r="58" spans="3:27" ht="15.75" thickBot="1" x14ac:dyDescent="0.3">
      <c r="C58" s="8" t="s">
        <v>24</v>
      </c>
      <c r="D58" s="17">
        <f t="shared" si="24"/>
        <v>1.3961072368588461</v>
      </c>
      <c r="E58" s="24">
        <f t="shared" si="25"/>
        <v>1.8221804761731177</v>
      </c>
      <c r="F58" s="25">
        <f t="shared" si="25"/>
        <v>1.4050057341921687</v>
      </c>
      <c r="G58" s="25">
        <f t="shared" si="25"/>
        <v>1.1835013379982839</v>
      </c>
      <c r="H58" s="25">
        <f t="shared" si="25"/>
        <v>1.1516767889529751</v>
      </c>
      <c r="I58" s="25">
        <f t="shared" si="25"/>
        <v>1.1417312273979405</v>
      </c>
      <c r="J58" s="25">
        <f t="shared" si="25"/>
        <v>1.0484786646865891</v>
      </c>
      <c r="K58" s="25">
        <f t="shared" si="25"/>
        <v>1.0223036546074806</v>
      </c>
      <c r="L58" s="23">
        <f t="shared" si="25"/>
        <v>1.0149252120488621</v>
      </c>
      <c r="M58" s="17"/>
      <c r="N58" s="17"/>
      <c r="O58" s="17"/>
      <c r="P58" s="17"/>
      <c r="Q58" s="17"/>
      <c r="R58" s="17"/>
      <c r="S58" s="17"/>
      <c r="T58" s="17"/>
      <c r="U58" s="17"/>
      <c r="V58" s="17"/>
      <c r="W58" s="17"/>
      <c r="X58" s="17"/>
      <c r="Y58" s="17"/>
      <c r="Z58" s="17"/>
      <c r="AA58" s="17"/>
    </row>
    <row r="59" spans="3:27" ht="15.75" thickBot="1" x14ac:dyDescent="0.3">
      <c r="C59" s="8" t="s">
        <v>25</v>
      </c>
      <c r="D59" s="24">
        <f t="shared" si="24"/>
        <v>1.9405587804563977</v>
      </c>
      <c r="E59" s="25">
        <f t="shared" si="25"/>
        <v>1.3515628624506153</v>
      </c>
      <c r="F59" s="25">
        <f t="shared" si="25"/>
        <v>1.2369911412005219</v>
      </c>
      <c r="G59" s="25">
        <f t="shared" si="25"/>
        <v>1.1348300824873645</v>
      </c>
      <c r="H59" s="25">
        <f t="shared" si="25"/>
        <v>1.0956306307062871</v>
      </c>
      <c r="I59" s="25">
        <f t="shared" si="25"/>
        <v>1.0891213608333172</v>
      </c>
      <c r="J59" s="25">
        <f t="shared" si="25"/>
        <v>1.0409652791143011</v>
      </c>
      <c r="K59" s="23">
        <f t="shared" si="25"/>
        <v>1.019980953892927</v>
      </c>
      <c r="L59" s="17"/>
      <c r="M59" s="17"/>
      <c r="N59" s="17"/>
      <c r="O59" s="17"/>
      <c r="P59" s="17"/>
      <c r="Q59" s="17"/>
      <c r="R59" s="17"/>
      <c r="S59" s="17"/>
      <c r="T59" s="17"/>
      <c r="U59" s="17"/>
      <c r="V59" s="17"/>
      <c r="W59" s="17"/>
      <c r="X59" s="17"/>
      <c r="Y59" s="17"/>
      <c r="Z59" s="17"/>
      <c r="AA59" s="17"/>
    </row>
    <row r="60" spans="3:27" ht="15.75" thickBot="1" x14ac:dyDescent="0.3">
      <c r="C60" s="8" t="s">
        <v>26</v>
      </c>
      <c r="D60" s="25">
        <f t="shared" si="24"/>
        <v>1.638921316120675</v>
      </c>
      <c r="E60" s="25">
        <f t="shared" si="25"/>
        <v>1.4570995275741396</v>
      </c>
      <c r="F60" s="25">
        <f t="shared" si="25"/>
        <v>1.2515122916443193</v>
      </c>
      <c r="G60" s="25">
        <f t="shared" si="25"/>
        <v>1.1484948900396847</v>
      </c>
      <c r="H60" s="25">
        <f t="shared" si="25"/>
        <v>1.0926630343866159</v>
      </c>
      <c r="I60" s="25">
        <f t="shared" si="25"/>
        <v>1.0716184017939847</v>
      </c>
      <c r="J60" s="23">
        <f t="shared" si="25"/>
        <v>1.0451543214147678</v>
      </c>
      <c r="K60" s="17"/>
      <c r="L60" s="17"/>
      <c r="M60" s="17"/>
      <c r="N60" s="17"/>
      <c r="O60" s="17"/>
      <c r="P60" s="17"/>
      <c r="Q60" s="17"/>
      <c r="R60" s="17"/>
      <c r="S60" s="17"/>
      <c r="T60" s="17"/>
      <c r="U60" s="17"/>
      <c r="V60" s="17"/>
      <c r="W60" s="17"/>
      <c r="X60" s="17"/>
      <c r="Y60" s="17"/>
      <c r="Z60" s="17"/>
      <c r="AA60" s="17"/>
    </row>
    <row r="61" spans="3:27" ht="15.75" thickBot="1" x14ac:dyDescent="0.3">
      <c r="C61" s="8" t="s">
        <v>27</v>
      </c>
      <c r="D61" s="25">
        <f t="shared" si="24"/>
        <v>2.6132352114120492</v>
      </c>
      <c r="E61" s="25">
        <f t="shared" si="25"/>
        <v>1.4253529688858719</v>
      </c>
      <c r="F61" s="25">
        <f t="shared" si="25"/>
        <v>1.2876192995197422</v>
      </c>
      <c r="G61" s="25">
        <f t="shared" si="25"/>
        <v>1.1878671879790692</v>
      </c>
      <c r="H61" s="25">
        <f t="shared" si="25"/>
        <v>1.1169011074773301</v>
      </c>
      <c r="I61" s="23">
        <f t="shared" si="25"/>
        <v>1.1125445870416415</v>
      </c>
      <c r="J61" s="17"/>
      <c r="K61" s="17"/>
      <c r="L61" s="17"/>
      <c r="M61" s="17"/>
      <c r="N61" s="17"/>
      <c r="O61" s="17"/>
      <c r="P61" s="17"/>
      <c r="Q61" s="17"/>
      <c r="R61" s="17"/>
      <c r="S61" s="17"/>
      <c r="T61" s="17"/>
      <c r="U61" s="17"/>
      <c r="V61" s="17"/>
      <c r="W61" s="17"/>
      <c r="X61" s="17"/>
      <c r="Y61" s="17"/>
      <c r="Z61" s="17"/>
      <c r="AA61" s="17"/>
    </row>
    <row r="62" spans="3:27" ht="15.75" thickBot="1" x14ac:dyDescent="0.3">
      <c r="C62" s="8" t="s">
        <v>28</v>
      </c>
      <c r="D62" s="25">
        <f t="shared" si="24"/>
        <v>3.1625421461443097</v>
      </c>
      <c r="E62" s="25">
        <f t="shared" si="25"/>
        <v>1.1465056451455924</v>
      </c>
      <c r="F62" s="25">
        <f t="shared" si="25"/>
        <v>1.1490357680913015</v>
      </c>
      <c r="G62" s="25">
        <f t="shared" si="25"/>
        <v>1.1039994698655597</v>
      </c>
      <c r="H62" s="23">
        <f t="shared" si="25"/>
        <v>1.0528314845585036</v>
      </c>
      <c r="I62" s="17"/>
      <c r="J62" s="17"/>
      <c r="K62" s="17"/>
      <c r="L62" s="17"/>
      <c r="M62" s="17"/>
      <c r="N62" s="17"/>
      <c r="O62" s="17"/>
      <c r="P62" s="17"/>
      <c r="Q62" s="17"/>
      <c r="R62" s="17"/>
      <c r="S62" s="17"/>
      <c r="T62" s="17"/>
      <c r="U62" s="17"/>
      <c r="V62" s="17"/>
      <c r="W62" s="17"/>
      <c r="X62" s="17"/>
      <c r="Y62" s="17"/>
      <c r="Z62" s="17"/>
      <c r="AA62" s="17"/>
    </row>
    <row r="63" spans="3:27" ht="15.75" thickBot="1" x14ac:dyDescent="0.3">
      <c r="C63" s="8" t="s">
        <v>29</v>
      </c>
      <c r="D63" s="25">
        <f t="shared" si="24"/>
        <v>1.7569238204890927</v>
      </c>
      <c r="E63" s="25">
        <f t="shared" si="25"/>
        <v>1.3092273715587079</v>
      </c>
      <c r="F63" s="25">
        <f t="shared" si="25"/>
        <v>1.2173439738075305</v>
      </c>
      <c r="G63" s="23">
        <f t="shared" si="25"/>
        <v>1.158476031194515</v>
      </c>
      <c r="H63" s="17"/>
      <c r="I63" s="17"/>
      <c r="J63" s="17"/>
      <c r="K63" s="17"/>
      <c r="L63" s="17"/>
      <c r="M63" s="17"/>
      <c r="N63" s="17"/>
      <c r="O63" s="17"/>
      <c r="P63" s="17"/>
      <c r="Q63" s="17"/>
      <c r="R63" s="17"/>
      <c r="S63" s="17"/>
      <c r="T63" s="17"/>
      <c r="U63" s="17"/>
      <c r="V63" s="17"/>
      <c r="W63" s="17"/>
      <c r="X63" s="17"/>
      <c r="Y63" s="17"/>
      <c r="Z63" s="17"/>
      <c r="AA63" s="17"/>
    </row>
    <row r="64" spans="3:27" ht="15.75" thickBot="1" x14ac:dyDescent="0.3">
      <c r="C64" s="8" t="s">
        <v>30</v>
      </c>
      <c r="D64" s="25">
        <f t="shared" si="24"/>
        <v>2.3320316702756823</v>
      </c>
      <c r="E64" s="25">
        <f t="shared" si="25"/>
        <v>1.4704632523310948</v>
      </c>
      <c r="F64" s="23">
        <f t="shared" si="25"/>
        <v>1.2039490929733609</v>
      </c>
      <c r="G64" s="17"/>
      <c r="H64" s="17"/>
      <c r="I64" s="17"/>
      <c r="J64" s="17"/>
      <c r="K64" s="17"/>
      <c r="L64" s="17"/>
      <c r="M64" s="17"/>
      <c r="N64" s="17"/>
      <c r="O64" s="17"/>
      <c r="P64" s="17"/>
      <c r="Q64" s="17"/>
      <c r="R64" s="17"/>
      <c r="S64" s="17"/>
      <c r="T64" s="17"/>
      <c r="U64" s="17"/>
      <c r="V64" s="17"/>
      <c r="W64" s="17"/>
      <c r="X64" s="17"/>
      <c r="Y64" s="17"/>
      <c r="Z64" s="17"/>
      <c r="AA64" s="17"/>
    </row>
    <row r="65" spans="2:27" ht="15.75" thickBot="1" x14ac:dyDescent="0.3">
      <c r="C65" s="8" t="s">
        <v>31</v>
      </c>
      <c r="D65" s="25">
        <f t="shared" si="24"/>
        <v>1.9802275637769955</v>
      </c>
      <c r="E65" s="23">
        <f t="shared" si="25"/>
        <v>1.3122222739068592</v>
      </c>
      <c r="F65" s="17"/>
      <c r="G65" s="17"/>
      <c r="H65" s="17"/>
      <c r="I65" s="17"/>
      <c r="J65" s="17"/>
      <c r="K65" s="17"/>
      <c r="L65" s="17"/>
      <c r="M65" s="17"/>
      <c r="N65" s="17"/>
      <c r="O65" s="17"/>
      <c r="P65" s="17"/>
      <c r="Q65" s="17"/>
      <c r="R65" s="17"/>
      <c r="S65" s="17"/>
      <c r="T65" s="17"/>
      <c r="U65" s="17"/>
      <c r="V65" s="17"/>
      <c r="W65" s="17"/>
      <c r="X65" s="17"/>
      <c r="Y65" s="17"/>
      <c r="Z65" s="17"/>
      <c r="AA65" s="17"/>
    </row>
    <row r="66" spans="2:27" ht="15.75" thickBot="1" x14ac:dyDescent="0.3">
      <c r="C66" s="8" t="s">
        <v>32</v>
      </c>
      <c r="D66" s="23">
        <f>E38/D38</f>
        <v>1.8921818735410534</v>
      </c>
      <c r="E66" s="17"/>
      <c r="F66" s="17"/>
      <c r="G66" s="17"/>
      <c r="H66" s="17"/>
      <c r="I66" s="17"/>
      <c r="J66" s="17"/>
      <c r="K66" s="17"/>
      <c r="L66" s="17"/>
      <c r="M66" s="17"/>
      <c r="N66" s="17"/>
      <c r="O66" s="17"/>
      <c r="P66" s="17"/>
      <c r="Q66" s="17"/>
      <c r="R66" s="17"/>
      <c r="S66" s="17"/>
      <c r="T66" s="17"/>
      <c r="U66" s="17"/>
      <c r="V66" s="17"/>
      <c r="W66" s="17"/>
      <c r="X66" s="17"/>
      <c r="Y66" s="17"/>
      <c r="Z66" s="17"/>
      <c r="AA66" s="17"/>
    </row>
    <row r="67" spans="2:27" x14ac:dyDescent="0.25">
      <c r="C67" s="8" t="s">
        <v>33</v>
      </c>
      <c r="D67" s="17"/>
      <c r="E67" s="17"/>
      <c r="F67" s="17"/>
      <c r="G67" s="17"/>
      <c r="H67" s="17"/>
      <c r="I67" s="17"/>
      <c r="J67" s="17"/>
      <c r="K67" s="17"/>
      <c r="L67" s="17"/>
      <c r="M67" s="17"/>
      <c r="N67" s="17"/>
      <c r="O67" s="17"/>
      <c r="P67" s="17"/>
      <c r="Q67" s="17"/>
      <c r="R67" s="17"/>
      <c r="S67" s="17"/>
      <c r="T67" s="17"/>
      <c r="U67" s="17"/>
      <c r="V67" s="17"/>
      <c r="W67" s="17"/>
      <c r="X67" s="17"/>
      <c r="Y67" s="17"/>
      <c r="Z67" s="17"/>
      <c r="AA67" s="17"/>
    </row>
    <row r="68" spans="2:27" x14ac:dyDescent="0.25">
      <c r="C68" s="8" t="s">
        <v>49</v>
      </c>
      <c r="D68" s="18">
        <f>MEDIAN(D44:D66)</f>
        <v>1.4518264969574284</v>
      </c>
      <c r="E68" s="18">
        <f t="shared" ref="E68:AA68" si="26">MEDIAN(E44:E66)</f>
        <v>1.2132928568389689</v>
      </c>
      <c r="F68" s="18">
        <f t="shared" si="26"/>
        <v>1.1550797887684707</v>
      </c>
      <c r="G68" s="18">
        <f t="shared" si="26"/>
        <v>1.1093886581913046</v>
      </c>
      <c r="H68" s="18">
        <f t="shared" si="26"/>
        <v>1.0763592386606122</v>
      </c>
      <c r="I68" s="18">
        <f t="shared" si="26"/>
        <v>1.0689398626472388</v>
      </c>
      <c r="J68" s="18">
        <f t="shared" si="26"/>
        <v>1.0477415008726498</v>
      </c>
      <c r="K68" s="18">
        <f t="shared" si="26"/>
        <v>1.027172450273123</v>
      </c>
      <c r="L68" s="18">
        <f t="shared" si="26"/>
        <v>1.0175853786971953</v>
      </c>
      <c r="M68" s="18">
        <f t="shared" si="26"/>
        <v>1.008984839054119</v>
      </c>
      <c r="N68" s="18">
        <f t="shared" si="26"/>
        <v>1.0046378984614917</v>
      </c>
      <c r="O68" s="18">
        <f t="shared" si="26"/>
        <v>1.0024010876585963</v>
      </c>
      <c r="P68" s="18">
        <f t="shared" si="26"/>
        <v>1.0012117803114662</v>
      </c>
      <c r="Q68" s="18">
        <f t="shared" si="26"/>
        <v>1.0006145622057774</v>
      </c>
      <c r="R68" s="18">
        <f t="shared" si="26"/>
        <v>1.0003368411559628</v>
      </c>
      <c r="S68" s="18">
        <f t="shared" si="26"/>
        <v>1.0001348733432311</v>
      </c>
      <c r="T68" s="18">
        <f t="shared" si="26"/>
        <v>1.0000707066838439</v>
      </c>
      <c r="U68" s="18">
        <f t="shared" si="26"/>
        <v>1.0000333601317832</v>
      </c>
      <c r="V68" s="18">
        <f t="shared" si="26"/>
        <v>1.0000096789191122</v>
      </c>
      <c r="W68" s="18">
        <f t="shared" si="26"/>
        <v>1.000002161159941</v>
      </c>
      <c r="X68" s="18">
        <f t="shared" si="26"/>
        <v>1.0000005638485778</v>
      </c>
      <c r="Y68" s="18">
        <f t="shared" si="26"/>
        <v>1.0000005817567423</v>
      </c>
      <c r="Z68" s="18">
        <f t="shared" si="26"/>
        <v>1.0000010865602078</v>
      </c>
      <c r="AA68" s="18"/>
    </row>
    <row r="69" spans="2:27" x14ac:dyDescent="0.25">
      <c r="C69" s="8" t="s">
        <v>50</v>
      </c>
      <c r="D69" s="19">
        <f>AVERAGE(D44:D66)</f>
        <v>1.6796730996291283</v>
      </c>
      <c r="E69" s="19">
        <f t="shared" ref="E69:AA69" si="27">AVERAGE(E44:E66)</f>
        <v>1.2576672287438593</v>
      </c>
      <c r="F69" s="19">
        <f t="shared" si="27"/>
        <v>1.1731657658158374</v>
      </c>
      <c r="G69" s="19">
        <f t="shared" si="27"/>
        <v>1.1210929952040893</v>
      </c>
      <c r="H69" s="19">
        <f t="shared" si="27"/>
        <v>1.086892782447326</v>
      </c>
      <c r="I69" s="19">
        <f t="shared" si="27"/>
        <v>1.0780719461705697</v>
      </c>
      <c r="J69" s="19">
        <f t="shared" si="27"/>
        <v>1.0657467039409561</v>
      </c>
      <c r="K69" s="19">
        <f t="shared" si="27"/>
        <v>1.0288467043541492</v>
      </c>
      <c r="L69" s="19">
        <f t="shared" si="27"/>
        <v>1.0224050141634786</v>
      </c>
      <c r="M69" s="19">
        <f t="shared" si="27"/>
        <v>1.0104859687741763</v>
      </c>
      <c r="N69" s="19">
        <f t="shared" si="27"/>
        <v>1.0067345314117064</v>
      </c>
      <c r="O69" s="19">
        <f t="shared" si="27"/>
        <v>1.0027244309196199</v>
      </c>
      <c r="P69" s="19">
        <f t="shared" si="27"/>
        <v>1.0013101638351005</v>
      </c>
      <c r="Q69" s="19">
        <f t="shared" si="27"/>
        <v>1.0006656617067455</v>
      </c>
      <c r="R69" s="19">
        <f t="shared" si="27"/>
        <v>1.000374487458352</v>
      </c>
      <c r="S69" s="19">
        <f t="shared" si="27"/>
        <v>1.0001464760676515</v>
      </c>
      <c r="T69" s="19">
        <f t="shared" si="27"/>
        <v>1.0000713801120527</v>
      </c>
      <c r="U69" s="19">
        <f t="shared" si="27"/>
        <v>1.0000340697520711</v>
      </c>
      <c r="V69" s="19">
        <f t="shared" si="27"/>
        <v>1.0000101302128652</v>
      </c>
      <c r="W69" s="19">
        <f t="shared" si="27"/>
        <v>1.0000035762548798</v>
      </c>
      <c r="X69" s="19">
        <f t="shared" si="27"/>
        <v>1.0000013110873434</v>
      </c>
      <c r="Y69" s="19">
        <f t="shared" si="27"/>
        <v>1.0000005817567423</v>
      </c>
      <c r="Z69" s="19">
        <f t="shared" si="27"/>
        <v>1.0000010865602078</v>
      </c>
      <c r="AA69" s="19"/>
    </row>
    <row r="70" spans="2:27" x14ac:dyDescent="0.25">
      <c r="C70" s="8" t="s">
        <v>48</v>
      </c>
      <c r="D70">
        <f>D69*0.8</f>
        <v>1.3437384797033027</v>
      </c>
      <c r="E70">
        <f t="shared" ref="E70:AA70" si="28">E69*0.8</f>
        <v>1.0061337829950874</v>
      </c>
      <c r="F70">
        <f t="shared" si="28"/>
        <v>0.93853261265266996</v>
      </c>
      <c r="G70">
        <f t="shared" si="28"/>
        <v>0.89687439616327147</v>
      </c>
      <c r="H70">
        <f t="shared" si="28"/>
        <v>0.86951422595786088</v>
      </c>
      <c r="I70">
        <f t="shared" si="28"/>
        <v>0.86245755693645576</v>
      </c>
      <c r="J70">
        <f t="shared" si="28"/>
        <v>0.85259736315276491</v>
      </c>
      <c r="K70">
        <f t="shared" si="28"/>
        <v>0.82307736348331939</v>
      </c>
      <c r="L70">
        <f t="shared" si="28"/>
        <v>0.81792401133078296</v>
      </c>
      <c r="M70">
        <f t="shared" si="28"/>
        <v>0.80838877501934103</v>
      </c>
      <c r="N70">
        <f t="shared" si="28"/>
        <v>0.80538762512936524</v>
      </c>
      <c r="O70">
        <f t="shared" si="28"/>
        <v>0.80217954473569597</v>
      </c>
      <c r="P70">
        <f t="shared" si="28"/>
        <v>0.80104813106808048</v>
      </c>
      <c r="Q70">
        <f t="shared" si="28"/>
        <v>0.80053252936539643</v>
      </c>
      <c r="R70">
        <f t="shared" si="28"/>
        <v>0.8002995899666816</v>
      </c>
      <c r="S70">
        <f t="shared" si="28"/>
        <v>0.8001171808541212</v>
      </c>
      <c r="T70">
        <f t="shared" si="28"/>
        <v>0.80005710408964215</v>
      </c>
      <c r="U70">
        <f t="shared" si="28"/>
        <v>0.8000272558016569</v>
      </c>
      <c r="V70">
        <f t="shared" si="28"/>
        <v>0.80000810417029222</v>
      </c>
      <c r="W70">
        <f t="shared" si="28"/>
        <v>0.80000286100390383</v>
      </c>
      <c r="X70">
        <f t="shared" si="28"/>
        <v>0.80000104886987478</v>
      </c>
      <c r="Y70">
        <f t="shared" si="28"/>
        <v>0.80000046540539393</v>
      </c>
      <c r="Z70">
        <f t="shared" si="28"/>
        <v>0.80000086924816627</v>
      </c>
    </row>
    <row r="71" spans="2:27" x14ac:dyDescent="0.25">
      <c r="C71" s="8" t="s">
        <v>51</v>
      </c>
      <c r="D71">
        <f>D69*1.2</f>
        <v>2.015607719554954</v>
      </c>
      <c r="E71">
        <f t="shared" ref="E71:AA71" si="29">E69*1.2</f>
        <v>1.5092006744926312</v>
      </c>
      <c r="F71">
        <f t="shared" si="29"/>
        <v>1.4077989189790048</v>
      </c>
      <c r="G71">
        <f t="shared" si="29"/>
        <v>1.3453115942449072</v>
      </c>
      <c r="H71">
        <f t="shared" si="29"/>
        <v>1.3042713389367913</v>
      </c>
      <c r="I71">
        <f t="shared" si="29"/>
        <v>1.2936863354046835</v>
      </c>
      <c r="J71">
        <f t="shared" si="29"/>
        <v>1.2788960447291473</v>
      </c>
      <c r="K71">
        <f t="shared" si="29"/>
        <v>1.234616045224979</v>
      </c>
      <c r="L71">
        <f t="shared" si="29"/>
        <v>1.2268860169961744</v>
      </c>
      <c r="M71">
        <f t="shared" si="29"/>
        <v>1.2125831625290115</v>
      </c>
      <c r="N71">
        <f t="shared" si="29"/>
        <v>1.2080814376940476</v>
      </c>
      <c r="O71">
        <f t="shared" si="29"/>
        <v>1.2032693171035438</v>
      </c>
      <c r="P71">
        <f t="shared" si="29"/>
        <v>1.2015721966021207</v>
      </c>
      <c r="Q71">
        <f t="shared" si="29"/>
        <v>1.2007987940480946</v>
      </c>
      <c r="R71">
        <f t="shared" si="29"/>
        <v>1.2004493849500224</v>
      </c>
      <c r="S71">
        <f t="shared" si="29"/>
        <v>1.2001757712811818</v>
      </c>
      <c r="T71">
        <f t="shared" si="29"/>
        <v>1.2000856561344631</v>
      </c>
      <c r="U71">
        <f t="shared" si="29"/>
        <v>1.2000408837024852</v>
      </c>
      <c r="V71">
        <f t="shared" si="29"/>
        <v>1.2000121562554382</v>
      </c>
      <c r="W71">
        <f t="shared" si="29"/>
        <v>1.2000042915058557</v>
      </c>
      <c r="X71">
        <f t="shared" si="29"/>
        <v>1.2000015733048119</v>
      </c>
      <c r="Y71">
        <f t="shared" si="29"/>
        <v>1.2000006981080908</v>
      </c>
      <c r="Z71">
        <f t="shared" si="29"/>
        <v>1.2000013038722492</v>
      </c>
    </row>
    <row r="72" spans="2:27" x14ac:dyDescent="0.25">
      <c r="C72" s="8"/>
    </row>
    <row r="76" spans="2:27" x14ac:dyDescent="0.25">
      <c r="J76" s="1"/>
    </row>
    <row r="77" spans="2:27" x14ac:dyDescent="0.25">
      <c r="F77" s="14" t="s">
        <v>38</v>
      </c>
      <c r="G77" s="14"/>
      <c r="H77" s="14"/>
      <c r="I77" s="14"/>
      <c r="J77" s="15" t="s">
        <v>39</v>
      </c>
      <c r="K77" s="15"/>
      <c r="L77" s="15"/>
      <c r="M77" s="15"/>
    </row>
    <row r="78" spans="2:27" x14ac:dyDescent="0.25">
      <c r="D78" s="4" t="s">
        <v>34</v>
      </c>
      <c r="E78" s="4" t="s">
        <v>35</v>
      </c>
      <c r="F78" s="4" t="s">
        <v>40</v>
      </c>
      <c r="G78" s="4" t="s">
        <v>41</v>
      </c>
      <c r="H78" s="4" t="s">
        <v>42</v>
      </c>
      <c r="I78" s="4" t="s">
        <v>43</v>
      </c>
      <c r="J78" s="4" t="s">
        <v>40</v>
      </c>
      <c r="K78" s="4" t="s">
        <v>41</v>
      </c>
      <c r="L78" s="4" t="s">
        <v>42</v>
      </c>
      <c r="M78" s="4" t="s">
        <v>43</v>
      </c>
    </row>
    <row r="79" spans="2:27" x14ac:dyDescent="0.25">
      <c r="B79">
        <v>24</v>
      </c>
      <c r="C79" s="8" t="s">
        <v>9</v>
      </c>
      <c r="D79" s="1">
        <v>30470484.27272727</v>
      </c>
      <c r="E79" s="1" cm="1">
        <f t="array" ref="E79">INDEX(D16:AA16,$B79)</f>
        <v>14725385</v>
      </c>
      <c r="F79" s="5"/>
      <c r="G79" s="6"/>
      <c r="I79" s="1"/>
      <c r="J79" s="1"/>
      <c r="K79" s="5"/>
    </row>
    <row r="80" spans="2:27" x14ac:dyDescent="0.25">
      <c r="B80">
        <f>+B79-1</f>
        <v>23</v>
      </c>
      <c r="C80" s="8" t="s">
        <v>10</v>
      </c>
      <c r="D80" s="1">
        <v>35502399.818181813</v>
      </c>
      <c r="E80" s="1" cm="1">
        <f t="array" ref="E80">INDEX(D17:AA17,$B80)</f>
        <v>17735279</v>
      </c>
      <c r="F80" s="5"/>
      <c r="G80" s="6"/>
      <c r="I80" s="1"/>
      <c r="J80" s="1"/>
      <c r="K80" s="5"/>
    </row>
    <row r="81" spans="2:27" ht="26.25" x14ac:dyDescent="0.4">
      <c r="B81">
        <f t="shared" ref="B81:B102" si="30">+B80-1</f>
        <v>22</v>
      </c>
      <c r="C81" s="8" t="s">
        <v>12</v>
      </c>
      <c r="D81" s="1">
        <v>15118898.818181816</v>
      </c>
      <c r="E81" s="1" cm="1">
        <f t="array" ref="E81">INDEX(D18:AA18,$B81)</f>
        <v>11881761</v>
      </c>
      <c r="F81" s="5"/>
      <c r="G81" s="6"/>
      <c r="I81" s="1"/>
      <c r="J81" s="1"/>
      <c r="K81" s="5"/>
      <c r="Z81" s="2"/>
      <c r="AA81" s="2"/>
    </row>
    <row r="82" spans="2:27" x14ac:dyDescent="0.25">
      <c r="B82">
        <f t="shared" si="30"/>
        <v>21</v>
      </c>
      <c r="C82" s="8" t="s">
        <v>13</v>
      </c>
      <c r="D82" s="1">
        <v>47069939.18181818</v>
      </c>
      <c r="E82" s="1" cm="1">
        <f t="array" ref="E82">INDEX(D19:AA19,$B82)</f>
        <v>19461650</v>
      </c>
      <c r="F82" s="5"/>
      <c r="G82" s="6"/>
      <c r="I82" s="1"/>
      <c r="J82" s="1"/>
      <c r="K82" s="5"/>
    </row>
    <row r="83" spans="2:27" x14ac:dyDescent="0.25">
      <c r="B83">
        <f t="shared" si="30"/>
        <v>20</v>
      </c>
      <c r="C83" s="8" t="s">
        <v>14</v>
      </c>
      <c r="D83" s="1">
        <v>10724970.895859487</v>
      </c>
      <c r="E83" s="1" cm="1">
        <f t="array" ref="E83">INDEX(D20:AA20,$B83)</f>
        <v>11816173</v>
      </c>
      <c r="F83" s="5"/>
      <c r="G83" s="6"/>
      <c r="I83" s="1"/>
      <c r="J83" s="1"/>
      <c r="K83" s="5"/>
      <c r="Z83" s="11">
        <f>+Y110+1</f>
        <v>23</v>
      </c>
      <c r="AA83" s="11">
        <f t="shared" ref="F83:AA110" si="31">+Z83+1</f>
        <v>24</v>
      </c>
    </row>
    <row r="84" spans="2:27" x14ac:dyDescent="0.25">
      <c r="B84">
        <f t="shared" si="30"/>
        <v>19</v>
      </c>
      <c r="C84" s="8" t="s">
        <v>15</v>
      </c>
      <c r="D84" s="1">
        <v>19800248.774532568</v>
      </c>
      <c r="E84" s="1" cm="1">
        <f t="array" ref="E84">INDEX(D21:AA21,$B84)</f>
        <v>13048471</v>
      </c>
      <c r="F84" s="5"/>
      <c r="G84" s="6"/>
      <c r="I84" s="1"/>
      <c r="J84" s="1"/>
      <c r="K84" s="5"/>
      <c r="Z84" s="1">
        <v>14725369</v>
      </c>
      <c r="AA84" s="1">
        <v>14725385</v>
      </c>
    </row>
    <row r="85" spans="2:27" x14ac:dyDescent="0.25">
      <c r="B85">
        <f t="shared" si="30"/>
        <v>18</v>
      </c>
      <c r="C85" s="8" t="s">
        <v>16</v>
      </c>
      <c r="D85" s="1">
        <v>28289118.255445365</v>
      </c>
      <c r="E85" s="1" cm="1">
        <f t="array" ref="E85">INDEX(D22:AA22,$B85)</f>
        <v>10840140</v>
      </c>
      <c r="F85" s="5"/>
      <c r="G85" s="6"/>
      <c r="I85" s="1"/>
      <c r="J85" s="1"/>
      <c r="K85" s="5"/>
      <c r="Z85" s="1">
        <v>17735279</v>
      </c>
      <c r="AA85" s="7">
        <v>17735298.270448435</v>
      </c>
    </row>
    <row r="86" spans="2:27" x14ac:dyDescent="0.25">
      <c r="B86">
        <f t="shared" si="30"/>
        <v>17</v>
      </c>
      <c r="C86" s="8" t="s">
        <v>17</v>
      </c>
      <c r="D86" s="1">
        <v>30704505.89934551</v>
      </c>
      <c r="E86" s="1" cm="1">
        <f t="array" ref="E86">INDEX(D23:AA23,$B86)</f>
        <v>14111136</v>
      </c>
      <c r="F86" s="5"/>
      <c r="G86" s="6"/>
      <c r="I86" s="1"/>
      <c r="J86" s="1"/>
      <c r="K86" s="5"/>
      <c r="Z86" s="7">
        <v>11881768.369461289</v>
      </c>
      <c r="AA86" s="7">
        <v>11881781.279717997</v>
      </c>
    </row>
    <row r="87" spans="2:27" x14ac:dyDescent="0.25">
      <c r="B87">
        <f t="shared" si="30"/>
        <v>16</v>
      </c>
      <c r="C87" s="8" t="s">
        <v>18</v>
      </c>
      <c r="D87" s="1">
        <v>18880428.334744815</v>
      </c>
      <c r="E87" s="1" cm="1">
        <f t="array" ref="E87">INDEX(D24:AA24,$B87)</f>
        <v>15729334</v>
      </c>
      <c r="F87" s="5"/>
      <c r="G87" s="6"/>
      <c r="I87" s="1"/>
      <c r="J87" s="1"/>
      <c r="K87" s="5"/>
      <c r="Z87" s="7">
        <v>19461719.53929998</v>
      </c>
      <c r="AA87" s="7">
        <v>19461740.685630009</v>
      </c>
    </row>
    <row r="88" spans="2:27" x14ac:dyDescent="0.25">
      <c r="B88">
        <f t="shared" si="30"/>
        <v>15</v>
      </c>
      <c r="C88" s="8" t="s">
        <v>19</v>
      </c>
      <c r="D88" s="1">
        <v>17119243.330428012</v>
      </c>
      <c r="E88" s="1" cm="1">
        <f t="array" ref="E88">INDEX(D25:AA25,$B88)</f>
        <v>14343596</v>
      </c>
      <c r="F88" s="5"/>
      <c r="G88" s="6"/>
      <c r="I88" s="1"/>
      <c r="J88" s="1"/>
      <c r="K88" s="5"/>
      <c r="Z88" s="7">
        <v>11816225.652630745</v>
      </c>
      <c r="AA88" s="7">
        <v>11816238.491671344</v>
      </c>
    </row>
    <row r="89" spans="2:27" x14ac:dyDescent="0.25">
      <c r="B89">
        <f t="shared" si="30"/>
        <v>14</v>
      </c>
      <c r="C89" s="8" t="s">
        <v>20</v>
      </c>
      <c r="D89" s="1">
        <v>41471482.106259212</v>
      </c>
      <c r="E89" s="1" cm="1">
        <f t="array" ref="E89">INDEX(D26:AA26,$B89)</f>
        <v>15119935</v>
      </c>
      <c r="F89" s="5"/>
      <c r="G89" s="6"/>
      <c r="I89" s="1"/>
      <c r="J89" s="1"/>
      <c r="K89" s="5"/>
      <c r="Z89" s="7">
        <v>13048812.291191489</v>
      </c>
      <c r="AA89" s="7">
        <v>13048826.469511684</v>
      </c>
    </row>
    <row r="90" spans="2:27" x14ac:dyDescent="0.25">
      <c r="B90">
        <f t="shared" si="30"/>
        <v>13</v>
      </c>
      <c r="C90" s="8" t="s">
        <v>21</v>
      </c>
      <c r="D90" s="1">
        <v>35368087.422613502</v>
      </c>
      <c r="E90" s="1" cm="1">
        <f t="array" ref="E90">INDEX(D27:AA27,$B90)</f>
        <v>18730024</v>
      </c>
      <c r="F90" s="5"/>
      <c r="G90" s="6"/>
      <c r="I90" s="1"/>
      <c r="J90" s="1"/>
      <c r="K90" s="5"/>
      <c r="Z90" s="7">
        <v>10840852.363102341</v>
      </c>
      <c r="AA90" s="7">
        <v>10840864.142341137</v>
      </c>
    </row>
    <row r="91" spans="2:27" x14ac:dyDescent="0.25">
      <c r="B91">
        <f t="shared" si="30"/>
        <v>12</v>
      </c>
      <c r="C91" s="8" t="s">
        <v>22</v>
      </c>
      <c r="D91" s="1">
        <v>26145159.833583504</v>
      </c>
      <c r="E91" s="1" cm="1">
        <f t="array" ref="E91">INDEX(D28:AA28,$B91)</f>
        <v>19627354</v>
      </c>
      <c r="F91" s="5"/>
      <c r="G91" s="6"/>
      <c r="I91" s="1"/>
      <c r="J91" s="1"/>
      <c r="K91" s="5"/>
      <c r="Z91" s="7">
        <v>14112501.766265061</v>
      </c>
      <c r="AA91" s="7">
        <v>14112517.100347912</v>
      </c>
    </row>
    <row r="92" spans="2:27" x14ac:dyDescent="0.25">
      <c r="B92">
        <f t="shared" si="30"/>
        <v>11</v>
      </c>
      <c r="C92" s="8" t="s">
        <v>23</v>
      </c>
      <c r="D92" s="1">
        <v>46483438.979684092</v>
      </c>
      <c r="E92" s="1" cm="1">
        <f t="array" ref="E92">INDEX(D29:AA29,$B92)</f>
        <v>20049671</v>
      </c>
      <c r="F92" s="5"/>
      <c r="G92" s="6"/>
      <c r="I92" s="1"/>
      <c r="J92" s="1"/>
      <c r="K92" s="5"/>
      <c r="Z92" s="7">
        <v>15732987.547067953</v>
      </c>
      <c r="AA92" s="1" t="s">
        <v>11</v>
      </c>
    </row>
    <row r="93" spans="2:27" x14ac:dyDescent="0.25">
      <c r="B93">
        <f t="shared" si="30"/>
        <v>10</v>
      </c>
      <c r="C93" s="8" t="s">
        <v>24</v>
      </c>
      <c r="D93" s="1">
        <v>28927094.426070891</v>
      </c>
      <c r="E93" s="1" cm="1">
        <f t="array" ref="E93">INDEX(D30:AA30,$B93)</f>
        <v>20688336</v>
      </c>
      <c r="F93" s="5"/>
      <c r="G93" s="6"/>
      <c r="I93" s="1"/>
      <c r="J93" s="1"/>
      <c r="K93" s="5"/>
      <c r="Z93" s="1" t="s">
        <v>11</v>
      </c>
      <c r="AA93" s="1" t="s">
        <v>11</v>
      </c>
    </row>
    <row r="94" spans="2:27" x14ac:dyDescent="0.25">
      <c r="B94">
        <f t="shared" si="30"/>
        <v>9</v>
      </c>
      <c r="C94" s="8" t="s">
        <v>25</v>
      </c>
      <c r="D94" s="1">
        <v>62474506.661254242</v>
      </c>
      <c r="E94" s="1" cm="1">
        <f t="array" ref="E94">INDEX(D31:AA31,$B94)</f>
        <v>25647723</v>
      </c>
      <c r="F94" s="5"/>
      <c r="G94" s="6"/>
      <c r="I94" s="1"/>
      <c r="J94" s="1"/>
      <c r="K94" s="5"/>
      <c r="Z94" s="1" t="s">
        <v>11</v>
      </c>
      <c r="AA94" s="1" t="s">
        <v>11</v>
      </c>
    </row>
    <row r="95" spans="2:27" x14ac:dyDescent="0.25">
      <c r="B95">
        <f t="shared" si="30"/>
        <v>8</v>
      </c>
      <c r="C95" s="8" t="s">
        <v>26</v>
      </c>
      <c r="D95" s="1">
        <v>40231086.53669332</v>
      </c>
      <c r="E95" s="1" cm="1">
        <f t="array" ref="E95">INDEX(D32:AA32,$B95)</f>
        <v>26811464</v>
      </c>
      <c r="F95" s="5"/>
      <c r="G95" s="6"/>
      <c r="I95" s="1"/>
      <c r="J95" s="1"/>
      <c r="K95" s="5"/>
      <c r="Z95" s="1" t="s">
        <v>11</v>
      </c>
      <c r="AA95" s="1" t="s">
        <v>11</v>
      </c>
    </row>
    <row r="96" spans="2:27" x14ac:dyDescent="0.25">
      <c r="B96">
        <f t="shared" si="30"/>
        <v>7</v>
      </c>
      <c r="C96" s="8" t="s">
        <v>27</v>
      </c>
      <c r="D96" s="1">
        <v>50080346.078834943</v>
      </c>
      <c r="E96" s="1" cm="1">
        <f t="array" ref="E96">INDEX(D33:AA33,$B96)</f>
        <v>21399003</v>
      </c>
      <c r="F96" s="5"/>
      <c r="G96" s="6"/>
      <c r="I96" s="1"/>
      <c r="J96" s="1"/>
      <c r="K96" s="5"/>
      <c r="Z96" s="1" t="s">
        <v>11</v>
      </c>
      <c r="AA96" s="1" t="s">
        <v>11</v>
      </c>
    </row>
    <row r="97" spans="2:27" x14ac:dyDescent="0.25">
      <c r="B97">
        <f t="shared" si="30"/>
        <v>6</v>
      </c>
      <c r="C97" s="8" t="s">
        <v>28</v>
      </c>
      <c r="D97" s="1">
        <v>68225324.210713387</v>
      </c>
      <c r="E97" s="1" cm="1">
        <f t="array" ref="E97">INDEX(D34:AA34,$B97)</f>
        <v>33589263</v>
      </c>
      <c r="F97" s="5"/>
      <c r="G97" s="6"/>
      <c r="I97" s="1"/>
      <c r="J97" s="1"/>
      <c r="K97" s="5"/>
      <c r="Z97" s="1" t="s">
        <v>11</v>
      </c>
      <c r="AA97" s="1" t="s">
        <v>11</v>
      </c>
    </row>
    <row r="98" spans="2:27" x14ac:dyDescent="0.25">
      <c r="B98">
        <f t="shared" si="30"/>
        <v>5</v>
      </c>
      <c r="C98" s="8" t="s">
        <v>29</v>
      </c>
      <c r="D98" s="1">
        <v>46727119.66625829</v>
      </c>
      <c r="E98" s="1" cm="1">
        <f t="array" ref="E98">INDEX(D35:AA35,$B98)</f>
        <v>21705785</v>
      </c>
      <c r="F98" s="5"/>
      <c r="G98" s="6"/>
      <c r="I98" s="1"/>
      <c r="J98" s="1"/>
      <c r="K98" s="5"/>
      <c r="Z98" s="1" t="s">
        <v>11</v>
      </c>
      <c r="AA98" s="1" t="s">
        <v>11</v>
      </c>
    </row>
    <row r="99" spans="2:27" x14ac:dyDescent="0.25">
      <c r="B99">
        <f t="shared" si="30"/>
        <v>4</v>
      </c>
      <c r="C99" s="8" t="s">
        <v>30</v>
      </c>
      <c r="D99" s="1">
        <v>63421725.274842381</v>
      </c>
      <c r="E99" s="1" cm="1">
        <f t="array" ref="E99">INDEX(D36:AA36,$B99)</f>
        <v>17306094</v>
      </c>
      <c r="F99" s="5"/>
      <c r="G99" s="6"/>
      <c r="I99" s="1"/>
      <c r="J99" s="1"/>
      <c r="K99" s="5"/>
      <c r="Z99" s="1" t="s">
        <v>11</v>
      </c>
      <c r="AA99" s="1" t="s">
        <v>11</v>
      </c>
    </row>
    <row r="100" spans="2:27" x14ac:dyDescent="0.25">
      <c r="B100">
        <f t="shared" si="30"/>
        <v>3</v>
      </c>
      <c r="C100" s="8" t="s">
        <v>31</v>
      </c>
      <c r="D100" s="1">
        <v>44130894.45352187</v>
      </c>
      <c r="E100" s="1" cm="1">
        <f t="array" ref="E100">INDEX(D37:AA37,$B100)</f>
        <v>15374462</v>
      </c>
      <c r="F100" s="5"/>
      <c r="G100" s="6"/>
      <c r="I100" s="1"/>
      <c r="J100" s="1"/>
      <c r="K100" s="5"/>
      <c r="Z100" s="1" t="s">
        <v>11</v>
      </c>
      <c r="AA100" s="1" t="s">
        <v>11</v>
      </c>
    </row>
    <row r="101" spans="2:27" x14ac:dyDescent="0.25">
      <c r="B101">
        <f t="shared" si="30"/>
        <v>2</v>
      </c>
      <c r="C101" s="8" t="s">
        <v>32</v>
      </c>
      <c r="D101" s="1">
        <v>35850380.695277527</v>
      </c>
      <c r="E101" s="1" cm="1">
        <f t="array" ref="E101">INDEX(D38:AA38,$B101)</f>
        <v>9321834</v>
      </c>
      <c r="F101" s="5"/>
      <c r="G101" s="6"/>
      <c r="I101" s="1"/>
      <c r="J101" s="1"/>
      <c r="K101" s="5"/>
      <c r="Z101" s="1" t="s">
        <v>11</v>
      </c>
      <c r="AA101" s="1" t="s">
        <v>11</v>
      </c>
    </row>
    <row r="102" spans="2:27" x14ac:dyDescent="0.25">
      <c r="B102">
        <f t="shared" si="30"/>
        <v>1</v>
      </c>
      <c r="C102" s="8" t="s">
        <v>33</v>
      </c>
      <c r="D102" s="1">
        <v>55736822.584780522</v>
      </c>
      <c r="E102" s="1" cm="1">
        <f t="array" ref="E102">INDEX(D39:AA39,$B102)</f>
        <v>5149958</v>
      </c>
      <c r="F102" s="5"/>
      <c r="G102" s="6"/>
      <c r="I102" s="1"/>
      <c r="J102" s="1"/>
      <c r="K102" s="5"/>
      <c r="Z102" s="1" t="s">
        <v>11</v>
      </c>
      <c r="AA102" s="1" t="s">
        <v>11</v>
      </c>
    </row>
    <row r="103" spans="2:27" x14ac:dyDescent="0.25">
      <c r="Z103" s="1" t="s">
        <v>11</v>
      </c>
      <c r="AA103" s="1" t="s">
        <v>11</v>
      </c>
    </row>
    <row r="104" spans="2:27" x14ac:dyDescent="0.25">
      <c r="Z104" s="1" t="s">
        <v>11</v>
      </c>
      <c r="AA104" s="1" t="s">
        <v>11</v>
      </c>
    </row>
    <row r="105" spans="2:27" x14ac:dyDescent="0.25">
      <c r="Z105" s="1" t="s">
        <v>11</v>
      </c>
      <c r="AA105" s="1" t="s">
        <v>11</v>
      </c>
    </row>
    <row r="106" spans="2:27" x14ac:dyDescent="0.25">
      <c r="Z106" s="1" t="s">
        <v>11</v>
      </c>
      <c r="AA106" s="1" t="s">
        <v>11</v>
      </c>
    </row>
    <row r="107" spans="2:27" x14ac:dyDescent="0.25">
      <c r="Z107" s="1" t="s">
        <v>11</v>
      </c>
      <c r="AA107" s="1" t="s">
        <v>11</v>
      </c>
    </row>
    <row r="108" spans="2:27" ht="26.25" x14ac:dyDescent="0.4">
      <c r="C108" s="2" t="s">
        <v>36</v>
      </c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</row>
    <row r="110" spans="2:27" x14ac:dyDescent="0.25">
      <c r="D110" s="11">
        <v>1</v>
      </c>
      <c r="E110" s="11">
        <f>+D110+1</f>
        <v>2</v>
      </c>
      <c r="F110" s="11">
        <f t="shared" si="31"/>
        <v>3</v>
      </c>
      <c r="G110" s="11">
        <f t="shared" si="31"/>
        <v>4</v>
      </c>
      <c r="H110" s="11">
        <f t="shared" si="31"/>
        <v>5</v>
      </c>
      <c r="I110" s="11">
        <f t="shared" si="31"/>
        <v>6</v>
      </c>
      <c r="J110" s="11">
        <f t="shared" si="31"/>
        <v>7</v>
      </c>
      <c r="K110" s="11">
        <f t="shared" si="31"/>
        <v>8</v>
      </c>
      <c r="L110" s="11">
        <f t="shared" si="31"/>
        <v>9</v>
      </c>
      <c r="M110" s="11">
        <f t="shared" si="31"/>
        <v>10</v>
      </c>
      <c r="N110" s="11">
        <f t="shared" si="31"/>
        <v>11</v>
      </c>
      <c r="O110" s="11">
        <f t="shared" si="31"/>
        <v>12</v>
      </c>
      <c r="P110" s="11">
        <f t="shared" si="31"/>
        <v>13</v>
      </c>
      <c r="Q110" s="11">
        <f t="shared" si="31"/>
        <v>14</v>
      </c>
      <c r="R110" s="11">
        <f t="shared" si="31"/>
        <v>15</v>
      </c>
      <c r="S110" s="11">
        <f t="shared" si="31"/>
        <v>16</v>
      </c>
      <c r="T110" s="11">
        <f t="shared" si="31"/>
        <v>17</v>
      </c>
      <c r="U110" s="11">
        <f t="shared" si="31"/>
        <v>18</v>
      </c>
      <c r="V110" s="11">
        <f t="shared" si="31"/>
        <v>19</v>
      </c>
      <c r="W110" s="11">
        <f t="shared" si="31"/>
        <v>20</v>
      </c>
      <c r="X110" s="11">
        <f t="shared" si="31"/>
        <v>21</v>
      </c>
      <c r="Y110" s="11">
        <f t="shared" si="31"/>
        <v>22</v>
      </c>
    </row>
    <row r="111" spans="2:27" x14ac:dyDescent="0.25">
      <c r="C111" s="8" t="s">
        <v>9</v>
      </c>
      <c r="D111" s="1">
        <v>6418198</v>
      </c>
      <c r="E111" s="1">
        <v>8351947</v>
      </c>
      <c r="F111" s="1">
        <v>9393090</v>
      </c>
      <c r="G111" s="1">
        <v>11183194</v>
      </c>
      <c r="H111" s="1">
        <v>12100800</v>
      </c>
      <c r="I111" s="1">
        <v>12721118</v>
      </c>
      <c r="J111" s="1">
        <v>13073728</v>
      </c>
      <c r="K111" s="1">
        <v>13548698</v>
      </c>
      <c r="L111" s="1">
        <v>13729852</v>
      </c>
      <c r="M111" s="1">
        <v>14178002</v>
      </c>
      <c r="N111" s="1">
        <v>14403018</v>
      </c>
      <c r="O111" s="1">
        <v>14589694</v>
      </c>
      <c r="P111" s="1">
        <v>14666170</v>
      </c>
      <c r="Q111" s="1">
        <v>14699145</v>
      </c>
      <c r="R111" s="1">
        <v>14709918</v>
      </c>
      <c r="S111" s="1">
        <v>14721902</v>
      </c>
      <c r="T111" s="1">
        <v>14723975</v>
      </c>
      <c r="U111" s="1">
        <v>14724778</v>
      </c>
      <c r="V111" s="1">
        <v>14725216</v>
      </c>
      <c r="W111" s="1">
        <v>14725343</v>
      </c>
      <c r="X111" s="1">
        <v>14725356</v>
      </c>
      <c r="Y111" s="1">
        <v>14725361</v>
      </c>
    </row>
    <row r="112" spans="2:27" x14ac:dyDescent="0.25">
      <c r="C112" s="8" t="s">
        <v>10</v>
      </c>
      <c r="D112" s="1">
        <v>7475822</v>
      </c>
      <c r="E112" s="1">
        <v>10450029</v>
      </c>
      <c r="F112" s="1">
        <v>12515657</v>
      </c>
      <c r="G112" s="1">
        <v>13149304</v>
      </c>
      <c r="H112" s="1">
        <v>14417681</v>
      </c>
      <c r="I112" s="1">
        <v>15145227</v>
      </c>
      <c r="J112" s="1">
        <v>15971980</v>
      </c>
      <c r="K112" s="1">
        <v>16442175</v>
      </c>
      <c r="L112" s="1">
        <v>16761977</v>
      </c>
      <c r="M112" s="1">
        <v>17230340</v>
      </c>
      <c r="N112" s="1">
        <v>17479823</v>
      </c>
      <c r="O112" s="1">
        <v>17658472</v>
      </c>
      <c r="P112" s="1">
        <v>17691106</v>
      </c>
      <c r="Q112" s="1">
        <v>17707511</v>
      </c>
      <c r="R112" s="1">
        <v>17727251</v>
      </c>
      <c r="S112" s="1">
        <v>17731572</v>
      </c>
      <c r="T112" s="1">
        <v>17733454</v>
      </c>
      <c r="U112" s="1">
        <v>17734435</v>
      </c>
      <c r="V112" s="1">
        <v>17734974</v>
      </c>
      <c r="W112" s="1">
        <v>17735197</v>
      </c>
      <c r="X112" s="1">
        <v>17735258</v>
      </c>
      <c r="Y112" s="1">
        <v>17735268</v>
      </c>
    </row>
    <row r="113" spans="3:25" x14ac:dyDescent="0.25">
      <c r="C113" s="8" t="s">
        <v>12</v>
      </c>
      <c r="D113" s="1">
        <v>4944676</v>
      </c>
      <c r="E113" s="1">
        <v>5651989</v>
      </c>
      <c r="F113" s="1">
        <v>6603749</v>
      </c>
      <c r="G113" s="1">
        <v>7627857</v>
      </c>
      <c r="H113" s="1">
        <v>8503366</v>
      </c>
      <c r="I113" s="1">
        <v>9687265</v>
      </c>
      <c r="J113" s="1">
        <v>10329156</v>
      </c>
      <c r="K113" s="1">
        <v>10705380</v>
      </c>
      <c r="L113" s="1">
        <v>11007279</v>
      </c>
      <c r="M113" s="1">
        <v>11432174</v>
      </c>
      <c r="N113" s="1">
        <v>11644639</v>
      </c>
      <c r="O113" s="1">
        <v>11802250</v>
      </c>
      <c r="P113" s="1">
        <v>11840837</v>
      </c>
      <c r="Q113" s="1">
        <v>11864201</v>
      </c>
      <c r="R113" s="1">
        <v>11873586</v>
      </c>
      <c r="S113" s="1">
        <v>11878223</v>
      </c>
      <c r="T113" s="1">
        <v>11880065</v>
      </c>
      <c r="U113" s="1">
        <v>11880905</v>
      </c>
      <c r="V113" s="1">
        <v>11881492</v>
      </c>
      <c r="W113" s="1">
        <v>11881607</v>
      </c>
      <c r="X113" s="1">
        <v>11881725</v>
      </c>
      <c r="Y113" s="1">
        <v>11881761</v>
      </c>
    </row>
    <row r="114" spans="3:25" x14ac:dyDescent="0.25">
      <c r="C114" s="8" t="s">
        <v>13</v>
      </c>
      <c r="D114" s="1">
        <v>5990844</v>
      </c>
      <c r="E114" s="1">
        <v>12990844</v>
      </c>
      <c r="F114" s="1">
        <v>14795084</v>
      </c>
      <c r="G114" s="1">
        <v>15558421</v>
      </c>
      <c r="H114" s="1">
        <v>16698078</v>
      </c>
      <c r="I114" s="1">
        <v>17591115</v>
      </c>
      <c r="J114" s="1">
        <v>17858613</v>
      </c>
      <c r="K114" s="1">
        <v>18161498</v>
      </c>
      <c r="L114" s="1">
        <v>18751439</v>
      </c>
      <c r="M114" s="1">
        <v>18855100</v>
      </c>
      <c r="N114" s="1">
        <v>19152179</v>
      </c>
      <c r="O114" s="1">
        <v>19349458</v>
      </c>
      <c r="P114" s="1">
        <v>19426010</v>
      </c>
      <c r="Q114" s="1">
        <v>19444545</v>
      </c>
      <c r="R114" s="1">
        <v>19453256</v>
      </c>
      <c r="S114" s="1">
        <v>19457999</v>
      </c>
      <c r="T114" s="1">
        <v>19459976</v>
      </c>
      <c r="U114" s="1">
        <v>19461146</v>
      </c>
      <c r="V114" s="1">
        <v>19461559</v>
      </c>
      <c r="W114" s="1">
        <v>19461649</v>
      </c>
      <c r="X114" s="1">
        <v>19461650</v>
      </c>
      <c r="Y114" s="7">
        <v>19461708.966134965</v>
      </c>
    </row>
    <row r="115" spans="3:25" x14ac:dyDescent="0.25">
      <c r="C115" s="8" t="s">
        <v>14</v>
      </c>
      <c r="D115" s="1">
        <v>6106533</v>
      </c>
      <c r="E115" s="1">
        <v>7227067</v>
      </c>
      <c r="F115" s="1">
        <v>8316481</v>
      </c>
      <c r="G115" s="1">
        <v>8778769</v>
      </c>
      <c r="H115" s="1">
        <v>9616196</v>
      </c>
      <c r="I115" s="1">
        <v>9944940</v>
      </c>
      <c r="J115" s="1">
        <v>10596973</v>
      </c>
      <c r="K115" s="1">
        <v>10938865</v>
      </c>
      <c r="L115" s="1">
        <v>11091033</v>
      </c>
      <c r="M115" s="1">
        <v>11574757</v>
      </c>
      <c r="N115" s="1">
        <v>11660948</v>
      </c>
      <c r="O115" s="1">
        <v>11754449</v>
      </c>
      <c r="P115" s="1">
        <v>11785976</v>
      </c>
      <c r="Q115" s="1">
        <v>11801623</v>
      </c>
      <c r="R115" s="1">
        <v>11808422</v>
      </c>
      <c r="S115" s="1">
        <v>11812430</v>
      </c>
      <c r="T115" s="1">
        <v>11814677</v>
      </c>
      <c r="U115" s="1">
        <v>11815553</v>
      </c>
      <c r="V115" s="1">
        <v>11815994</v>
      </c>
      <c r="W115" s="1">
        <v>11816173</v>
      </c>
      <c r="X115" s="7">
        <v>11816183.431692421</v>
      </c>
      <c r="Y115" s="7">
        <v>11816219.233110443</v>
      </c>
    </row>
    <row r="116" spans="3:25" x14ac:dyDescent="0.25">
      <c r="C116" s="8" t="s">
        <v>15</v>
      </c>
      <c r="D116" s="1">
        <v>3511339</v>
      </c>
      <c r="E116" s="1">
        <v>5097855</v>
      </c>
      <c r="F116" s="1">
        <v>6037374</v>
      </c>
      <c r="G116" s="1">
        <v>6436248</v>
      </c>
      <c r="H116" s="1">
        <v>7366573</v>
      </c>
      <c r="I116" s="1">
        <v>8575992</v>
      </c>
      <c r="J116" s="1">
        <v>9082448</v>
      </c>
      <c r="K116" s="3">
        <v>12082448</v>
      </c>
      <c r="L116" s="1">
        <v>12687409</v>
      </c>
      <c r="M116" s="1">
        <v>12838372</v>
      </c>
      <c r="N116" s="1">
        <v>12930641</v>
      </c>
      <c r="O116" s="1">
        <v>12990612</v>
      </c>
      <c r="P116" s="1">
        <v>13017211</v>
      </c>
      <c r="Q116" s="1">
        <v>13032985</v>
      </c>
      <c r="R116" s="1">
        <v>13041104</v>
      </c>
      <c r="S116" s="1">
        <v>13045224</v>
      </c>
      <c r="T116" s="1">
        <v>13046906</v>
      </c>
      <c r="U116" s="1">
        <v>13047997</v>
      </c>
      <c r="V116" s="1">
        <v>13048471</v>
      </c>
      <c r="W116" s="7">
        <v>13048635.071795821</v>
      </c>
      <c r="X116" s="7">
        <v>13048764.661921002</v>
      </c>
      <c r="Y116" s="7">
        <v>13048804.197891396</v>
      </c>
    </row>
    <row r="117" spans="3:25" x14ac:dyDescent="0.25">
      <c r="C117" s="8" t="s">
        <v>16</v>
      </c>
      <c r="D117" s="1">
        <v>4141271</v>
      </c>
      <c r="E117" s="1">
        <v>5675304</v>
      </c>
      <c r="F117" s="1">
        <v>6514051</v>
      </c>
      <c r="G117" s="1">
        <v>7799341</v>
      </c>
      <c r="H117" s="1">
        <v>8118940</v>
      </c>
      <c r="I117" s="1">
        <v>8328067</v>
      </c>
      <c r="J117" s="1">
        <v>9073367</v>
      </c>
      <c r="K117" s="1">
        <v>9580777</v>
      </c>
      <c r="L117" s="1">
        <v>10084545</v>
      </c>
      <c r="M117" s="1">
        <v>10574369</v>
      </c>
      <c r="N117" s="1">
        <v>10704764</v>
      </c>
      <c r="O117" s="1">
        <v>10779530</v>
      </c>
      <c r="P117" s="1">
        <v>10810916</v>
      </c>
      <c r="Q117" s="1">
        <v>10825407</v>
      </c>
      <c r="R117" s="1">
        <v>10831969</v>
      </c>
      <c r="S117" s="1">
        <v>10836654</v>
      </c>
      <c r="T117" s="1">
        <v>10839043</v>
      </c>
      <c r="U117" s="1">
        <v>10840140</v>
      </c>
      <c r="V117" s="7">
        <v>10840675.578912549</v>
      </c>
      <c r="W117" s="7">
        <v>10840839.803854488</v>
      </c>
      <c r="X117" s="7">
        <v>10840840.360890523</v>
      </c>
      <c r="Y117" s="7">
        <v>10840846.473482942</v>
      </c>
    </row>
    <row r="118" spans="3:25" x14ac:dyDescent="0.25">
      <c r="C118" s="8" t="s">
        <v>17</v>
      </c>
      <c r="D118" s="1">
        <v>6591656</v>
      </c>
      <c r="E118" s="1">
        <v>9149839</v>
      </c>
      <c r="F118" s="1">
        <v>9876574</v>
      </c>
      <c r="G118" s="1">
        <v>11324778</v>
      </c>
      <c r="H118" s="1">
        <v>11791969</v>
      </c>
      <c r="I118" s="1">
        <v>12446387</v>
      </c>
      <c r="J118" s="1">
        <v>12820241</v>
      </c>
      <c r="K118" s="1">
        <v>13419392</v>
      </c>
      <c r="L118" s="1">
        <v>13586619</v>
      </c>
      <c r="M118" s="1">
        <v>13861205</v>
      </c>
      <c r="N118" s="1">
        <v>13987078</v>
      </c>
      <c r="O118" s="1">
        <v>14043493</v>
      </c>
      <c r="P118" s="1">
        <v>14079323</v>
      </c>
      <c r="Q118" s="1">
        <v>14095393</v>
      </c>
      <c r="R118" s="1">
        <v>14104571</v>
      </c>
      <c r="S118" s="1">
        <v>14109322</v>
      </c>
      <c r="T118" s="1">
        <v>14111136</v>
      </c>
      <c r="U118" s="7">
        <v>14111984.409531439</v>
      </c>
      <c r="V118" s="7">
        <v>14112283.890844673</v>
      </c>
      <c r="W118" s="7">
        <v>14112349.153116323</v>
      </c>
      <c r="X118" s="7">
        <v>14112489.307322742</v>
      </c>
      <c r="Y118" s="7">
        <v>14112494.099223634</v>
      </c>
    </row>
    <row r="119" spans="3:25" x14ac:dyDescent="0.25">
      <c r="C119" s="8" t="s">
        <v>18</v>
      </c>
      <c r="D119" s="1">
        <v>6289704</v>
      </c>
      <c r="E119" s="1">
        <v>9074583</v>
      </c>
      <c r="F119" s="1">
        <v>11031640</v>
      </c>
      <c r="G119" s="1">
        <v>12328713</v>
      </c>
      <c r="H119" s="1">
        <v>12743016</v>
      </c>
      <c r="I119" s="1">
        <v>13716063</v>
      </c>
      <c r="J119" s="1">
        <v>13936735</v>
      </c>
      <c r="K119" s="1">
        <v>14684360</v>
      </c>
      <c r="L119" s="1">
        <v>15224487</v>
      </c>
      <c r="M119" s="1">
        <v>15505624</v>
      </c>
      <c r="N119" s="1">
        <v>15616491</v>
      </c>
      <c r="O119" s="1">
        <v>15669883</v>
      </c>
      <c r="P119" s="1">
        <v>15701026</v>
      </c>
      <c r="Q119" s="1">
        <v>15717007</v>
      </c>
      <c r="R119" s="1">
        <v>15725357</v>
      </c>
      <c r="S119" s="1">
        <v>15729334</v>
      </c>
      <c r="T119" s="7">
        <v>15731356.280863388</v>
      </c>
      <c r="U119" s="7">
        <v>15732522.6833052</v>
      </c>
      <c r="V119" s="7">
        <v>15732856.555311924</v>
      </c>
      <c r="W119" s="7">
        <v>15732929.31192356</v>
      </c>
      <c r="X119" s="7">
        <v>15732930.120330354</v>
      </c>
      <c r="Y119" s="7">
        <v>15732977.788954591</v>
      </c>
    </row>
    <row r="120" spans="3:25" x14ac:dyDescent="0.25">
      <c r="C120" s="8" t="s">
        <v>19</v>
      </c>
      <c r="D120" s="1">
        <v>4959185</v>
      </c>
      <c r="E120" s="1">
        <v>7332815</v>
      </c>
      <c r="F120" s="1">
        <v>8942057</v>
      </c>
      <c r="G120" s="1">
        <v>10413724</v>
      </c>
      <c r="H120" s="1">
        <v>11109326</v>
      </c>
      <c r="I120" s="1">
        <v>11743877</v>
      </c>
      <c r="J120" s="1">
        <v>12264947</v>
      </c>
      <c r="K120" s="1">
        <v>13331758</v>
      </c>
      <c r="L120" s="1">
        <v>13881470</v>
      </c>
      <c r="M120" s="1">
        <v>14105853</v>
      </c>
      <c r="N120" s="1">
        <v>14231236</v>
      </c>
      <c r="O120" s="1">
        <v>14285043</v>
      </c>
      <c r="P120" s="1">
        <v>14317196</v>
      </c>
      <c r="Q120" s="1">
        <v>14335249</v>
      </c>
      <c r="R120" s="1">
        <v>14343596</v>
      </c>
      <c r="S120" s="7">
        <v>14348127.488708317</v>
      </c>
      <c r="T120" s="7">
        <v>14349977.479972247</v>
      </c>
      <c r="U120" s="7">
        <v>14350771.308851147</v>
      </c>
      <c r="V120" s="7">
        <v>14351198.183730569</v>
      </c>
      <c r="W120" s="7">
        <v>14351415.589432947</v>
      </c>
      <c r="X120" s="7">
        <v>14351558.117883816</v>
      </c>
      <c r="Y120" s="7">
        <v>14351562.990960609</v>
      </c>
    </row>
    <row r="121" spans="3:25" x14ac:dyDescent="0.25">
      <c r="C121" s="8" t="s">
        <v>20</v>
      </c>
      <c r="D121" s="1">
        <v>6194048</v>
      </c>
      <c r="E121" s="1">
        <v>7741218</v>
      </c>
      <c r="F121" s="1">
        <v>9386858</v>
      </c>
      <c r="G121" s="1">
        <v>9734366</v>
      </c>
      <c r="H121" s="1">
        <v>10964336</v>
      </c>
      <c r="I121" s="1">
        <v>11346897</v>
      </c>
      <c r="J121" s="1">
        <v>13064544</v>
      </c>
      <c r="K121" s="1">
        <v>14121948</v>
      </c>
      <c r="L121" s="1">
        <v>14605429</v>
      </c>
      <c r="M121" s="1">
        <v>14862271</v>
      </c>
      <c r="N121" s="1">
        <v>15012968</v>
      </c>
      <c r="O121" s="1">
        <v>15074585</v>
      </c>
      <c r="P121" s="1">
        <v>15104696</v>
      </c>
      <c r="Q121" s="1">
        <v>15119935</v>
      </c>
      <c r="R121" s="7">
        <v>15129354.081834668</v>
      </c>
      <c r="S121" s="7">
        <v>15133042.848713083</v>
      </c>
      <c r="T121" s="7">
        <v>15135173.741706759</v>
      </c>
      <c r="U121" s="7">
        <v>15136439.365491601</v>
      </c>
      <c r="V121" s="7">
        <v>15136889.610679818</v>
      </c>
      <c r="W121" s="7">
        <v>15137118.918788835</v>
      </c>
      <c r="X121" s="7">
        <v>15137269.250308167</v>
      </c>
      <c r="Y121" s="1" t="s">
        <v>11</v>
      </c>
    </row>
    <row r="122" spans="3:25" x14ac:dyDescent="0.25">
      <c r="C122" s="8" t="s">
        <v>21</v>
      </c>
      <c r="D122" s="1">
        <v>6500694</v>
      </c>
      <c r="E122" s="1">
        <v>9436157</v>
      </c>
      <c r="F122" s="1">
        <v>11552953</v>
      </c>
      <c r="G122" s="1">
        <v>12130358</v>
      </c>
      <c r="H122" s="1">
        <v>13369514</v>
      </c>
      <c r="I122" s="1">
        <v>15030308</v>
      </c>
      <c r="J122" s="1">
        <v>16697100</v>
      </c>
      <c r="K122" s="1">
        <v>17828453</v>
      </c>
      <c r="L122" s="1">
        <v>18294564</v>
      </c>
      <c r="M122" s="1">
        <v>18522862</v>
      </c>
      <c r="N122" s="1">
        <v>18641988</v>
      </c>
      <c r="O122" s="1">
        <v>18693587</v>
      </c>
      <c r="P122" s="1">
        <v>18730024</v>
      </c>
      <c r="Q122" s="7">
        <v>18748920.562746845</v>
      </c>
      <c r="R122" s="7">
        <v>18758881.33242131</v>
      </c>
      <c r="S122" s="7">
        <v>18766207.251712956</v>
      </c>
      <c r="T122" s="7">
        <v>18768199.066203389</v>
      </c>
      <c r="U122" s="7">
        <v>18770098.561793141</v>
      </c>
      <c r="V122" s="7">
        <v>18770656.893006694</v>
      </c>
      <c r="W122" s="7">
        <v>18770892.915708907</v>
      </c>
      <c r="X122" s="1" t="s">
        <v>11</v>
      </c>
      <c r="Y122" s="1" t="s">
        <v>11</v>
      </c>
    </row>
    <row r="123" spans="3:25" x14ac:dyDescent="0.25">
      <c r="C123" s="8" t="s">
        <v>22</v>
      </c>
      <c r="D123" s="1">
        <v>5205434</v>
      </c>
      <c r="E123" s="1">
        <v>7752400</v>
      </c>
      <c r="F123" s="1">
        <v>9411446</v>
      </c>
      <c r="G123" s="1">
        <v>10805763</v>
      </c>
      <c r="H123" s="1">
        <v>13284336</v>
      </c>
      <c r="I123" s="1">
        <v>15384835</v>
      </c>
      <c r="J123" s="1">
        <v>17438864</v>
      </c>
      <c r="K123" s="1">
        <v>18514044</v>
      </c>
      <c r="L123" s="1">
        <v>19125680</v>
      </c>
      <c r="M123" s="1">
        <v>19431036</v>
      </c>
      <c r="N123" s="1">
        <v>19572822</v>
      </c>
      <c r="O123" s="1">
        <v>19627354</v>
      </c>
      <c r="P123" s="7">
        <v>19663626.621461019</v>
      </c>
      <c r="Q123" s="7">
        <v>19683640.88148693</v>
      </c>
      <c r="R123" s="7">
        <v>19699211.333274852</v>
      </c>
      <c r="S123" s="7">
        <v>19705846.838391908</v>
      </c>
      <c r="T123" s="7">
        <v>19708902.696989302</v>
      </c>
      <c r="U123" s="7">
        <v>19710296.248141207</v>
      </c>
      <c r="V123" s="7">
        <v>19711031.909065876</v>
      </c>
      <c r="W123" s="1" t="s">
        <v>11</v>
      </c>
      <c r="X123" s="1" t="s">
        <v>11</v>
      </c>
      <c r="Y123" s="1" t="s">
        <v>11</v>
      </c>
    </row>
    <row r="124" spans="3:25" x14ac:dyDescent="0.25">
      <c r="C124" s="8" t="s">
        <v>23</v>
      </c>
      <c r="D124" s="1">
        <v>5184519</v>
      </c>
      <c r="E124" s="1">
        <v>7275135</v>
      </c>
      <c r="F124" s="1">
        <v>7974797</v>
      </c>
      <c r="G124" s="1">
        <v>11597296</v>
      </c>
      <c r="H124" s="1">
        <v>14585912</v>
      </c>
      <c r="I124" s="1">
        <v>16285147</v>
      </c>
      <c r="J124" s="1">
        <v>18338971</v>
      </c>
      <c r="K124" s="1">
        <v>19214501</v>
      </c>
      <c r="L124" s="1">
        <v>19700684</v>
      </c>
      <c r="M124" s="1">
        <v>19926910</v>
      </c>
      <c r="N124" s="1">
        <v>20049671</v>
      </c>
      <c r="O124" s="7">
        <v>20321044.693592474</v>
      </c>
      <c r="P124" s="7">
        <v>20372890.985065077</v>
      </c>
      <c r="Q124" s="7">
        <v>20413090.189308412</v>
      </c>
      <c r="R124" s="7">
        <v>20424976.140072867</v>
      </c>
      <c r="S124" s="7">
        <v>20432952.720556766</v>
      </c>
      <c r="T124" s="7">
        <v>20435579.733834587</v>
      </c>
      <c r="U124" s="7">
        <v>20436694.227069344</v>
      </c>
      <c r="V124" s="1" t="s">
        <v>11</v>
      </c>
      <c r="W124" s="1" t="s">
        <v>11</v>
      </c>
      <c r="X124" s="1" t="s">
        <v>11</v>
      </c>
      <c r="Y124" s="1" t="s">
        <v>11</v>
      </c>
    </row>
    <row r="125" spans="3:25" x14ac:dyDescent="0.25">
      <c r="C125" s="8" t="s">
        <v>24</v>
      </c>
      <c r="D125" s="1">
        <v>3419011</v>
      </c>
      <c r="E125" s="1">
        <v>4773306</v>
      </c>
      <c r="F125" s="1">
        <v>8697825</v>
      </c>
      <c r="G125" s="1">
        <v>12220494</v>
      </c>
      <c r="H125" s="1">
        <v>14462971</v>
      </c>
      <c r="I125" s="1">
        <v>16656668</v>
      </c>
      <c r="J125" s="1">
        <v>19017438</v>
      </c>
      <c r="K125" s="1">
        <v>19939378</v>
      </c>
      <c r="L125" s="1">
        <v>20384099</v>
      </c>
      <c r="M125" s="1">
        <v>20688336</v>
      </c>
      <c r="N125" s="7">
        <v>20898106.779323835</v>
      </c>
      <c r="O125" s="7">
        <v>21111691.658187851</v>
      </c>
      <c r="P125" s="7">
        <v>21152841.95796442</v>
      </c>
      <c r="Q125" s="7">
        <v>21178474.555380639</v>
      </c>
      <c r="R125" s="7">
        <v>21190675.627089337</v>
      </c>
      <c r="S125" s="7">
        <v>21197868.140018951</v>
      </c>
      <c r="T125" s="7">
        <v>21200593.496546071</v>
      </c>
      <c r="U125" s="1" t="s">
        <v>11</v>
      </c>
      <c r="V125" s="1" t="s">
        <v>11</v>
      </c>
      <c r="W125" s="1" t="s">
        <v>11</v>
      </c>
      <c r="X125" s="1" t="s">
        <v>11</v>
      </c>
      <c r="Y125" s="1" t="s">
        <v>11</v>
      </c>
    </row>
    <row r="126" spans="3:25" x14ac:dyDescent="0.25">
      <c r="C126" s="8" t="s">
        <v>25</v>
      </c>
      <c r="D126" s="1">
        <v>5498188</v>
      </c>
      <c r="E126" s="1">
        <v>10669557</v>
      </c>
      <c r="F126" s="1">
        <v>14420577</v>
      </c>
      <c r="G126" s="1">
        <v>17838126</v>
      </c>
      <c r="H126" s="1">
        <v>20243242</v>
      </c>
      <c r="I126" s="1">
        <v>22179116</v>
      </c>
      <c r="J126" s="1">
        <v>24155749</v>
      </c>
      <c r="K126" s="1">
        <v>25145296</v>
      </c>
      <c r="L126" s="1">
        <v>25647723</v>
      </c>
      <c r="M126" s="7">
        <v>26098747.921675768</v>
      </c>
      <c r="N126" s="7">
        <v>26335749.516929939</v>
      </c>
      <c r="O126" s="7">
        <v>26408644.013982724</v>
      </c>
      <c r="P126" s="7">
        <v>26457448.898615569</v>
      </c>
      <c r="Q126" s="7">
        <v>26487647.169072233</v>
      </c>
      <c r="R126" s="7">
        <v>26503070.158301111</v>
      </c>
      <c r="S126" s="7">
        <v>26509530.255591664</v>
      </c>
      <c r="T126" s="1" t="s">
        <v>11</v>
      </c>
      <c r="U126" s="1" t="s">
        <v>11</v>
      </c>
      <c r="V126" s="1" t="s">
        <v>11</v>
      </c>
      <c r="W126" s="1" t="s">
        <v>11</v>
      </c>
      <c r="X126" s="1" t="s">
        <v>11</v>
      </c>
      <c r="Y126" s="1" t="s">
        <v>11</v>
      </c>
    </row>
    <row r="127" spans="3:25" x14ac:dyDescent="0.25">
      <c r="C127" s="8" t="s">
        <v>26</v>
      </c>
      <c r="D127" s="1">
        <v>6382667</v>
      </c>
      <c r="E127" s="1">
        <v>10460689</v>
      </c>
      <c r="F127" s="1">
        <v>15242265</v>
      </c>
      <c r="G127" s="1">
        <v>19075882</v>
      </c>
      <c r="H127" s="1">
        <v>21908553</v>
      </c>
      <c r="I127" s="1">
        <v>23938666</v>
      </c>
      <c r="J127" s="1">
        <v>25653115</v>
      </c>
      <c r="K127" s="1">
        <v>26811464</v>
      </c>
      <c r="L127" s="7">
        <v>28221240.847572174</v>
      </c>
      <c r="M127" s="7">
        <v>29142397.83352071</v>
      </c>
      <c r="N127" s="7">
        <v>29351843.385160837</v>
      </c>
      <c r="O127" s="7">
        <v>29651827.971327163</v>
      </c>
      <c r="P127" s="7">
        <v>29731358.128840461</v>
      </c>
      <c r="Q127" s="7">
        <v>29798205.269866269</v>
      </c>
      <c r="R127" s="7">
        <v>29821776.69759728</v>
      </c>
      <c r="S127" s="1" t="s">
        <v>11</v>
      </c>
      <c r="T127" s="1" t="s">
        <v>11</v>
      </c>
      <c r="U127" s="1" t="s">
        <v>11</v>
      </c>
      <c r="V127" s="1" t="s">
        <v>11</v>
      </c>
      <c r="W127" s="1" t="s">
        <v>11</v>
      </c>
      <c r="X127" s="1" t="s">
        <v>11</v>
      </c>
      <c r="Y127" s="1" t="s">
        <v>11</v>
      </c>
    </row>
    <row r="128" spans="3:25" x14ac:dyDescent="0.25">
      <c r="C128" s="8" t="s">
        <v>27</v>
      </c>
      <c r="D128" s="1">
        <v>3022770</v>
      </c>
      <c r="E128" s="1">
        <v>7899209</v>
      </c>
      <c r="F128" s="1">
        <v>11259161</v>
      </c>
      <c r="G128" s="1">
        <v>14497513</v>
      </c>
      <c r="H128" s="1">
        <v>17221120</v>
      </c>
      <c r="I128" s="1">
        <v>19234288</v>
      </c>
      <c r="J128" s="1">
        <v>21399003</v>
      </c>
      <c r="K128" s="7">
        <v>22420623.520398337</v>
      </c>
      <c r="L128" s="7">
        <v>23161318.556421932</v>
      </c>
      <c r="M128" s="7">
        <v>23450348.822668999</v>
      </c>
      <c r="N128" s="7">
        <v>23594816.192262162</v>
      </c>
      <c r="O128" s="7">
        <v>23660553.903288014</v>
      </c>
      <c r="P128" s="7">
        <v>23709000.202297911</v>
      </c>
      <c r="Q128" s="7">
        <v>23738895.621809669</v>
      </c>
      <c r="R128" s="1" t="s">
        <v>11</v>
      </c>
      <c r="S128" s="1" t="s">
        <v>11</v>
      </c>
      <c r="T128" s="1" t="s">
        <v>11</v>
      </c>
      <c r="U128" s="1" t="s">
        <v>11</v>
      </c>
      <c r="V128" s="1" t="s">
        <v>11</v>
      </c>
      <c r="W128" s="1" t="s">
        <v>11</v>
      </c>
      <c r="X128" s="1" t="s">
        <v>11</v>
      </c>
      <c r="Y128" s="1" t="s">
        <v>11</v>
      </c>
    </row>
    <row r="129" spans="3:25" x14ac:dyDescent="0.25">
      <c r="C129" s="8" t="s">
        <v>28</v>
      </c>
      <c r="D129" s="1">
        <v>6936281</v>
      </c>
      <c r="E129" s="1">
        <v>21936281</v>
      </c>
      <c r="F129" s="1">
        <v>25150070</v>
      </c>
      <c r="G129" s="1">
        <v>28898330</v>
      </c>
      <c r="H129" s="1">
        <v>31903741</v>
      </c>
      <c r="I129" s="1">
        <v>33589263</v>
      </c>
      <c r="J129" s="7">
        <v>35791519.415994368</v>
      </c>
      <c r="K129" s="7">
        <v>37793088.939950541</v>
      </c>
      <c r="L129" s="7">
        <v>39020724.054758981</v>
      </c>
      <c r="M129" s="7">
        <v>39236436.954245813</v>
      </c>
      <c r="N129" s="7">
        <v>39592741.332454041</v>
      </c>
      <c r="O129" s="7">
        <v>40000570.458180428</v>
      </c>
      <c r="P129" s="7">
        <v>40080069.31377361</v>
      </c>
      <c r="Q129" s="1" t="s">
        <v>11</v>
      </c>
      <c r="R129" s="1" t="s">
        <v>11</v>
      </c>
      <c r="S129" s="1" t="s">
        <v>11</v>
      </c>
      <c r="T129" s="1" t="s">
        <v>11</v>
      </c>
      <c r="U129" s="1" t="s">
        <v>11</v>
      </c>
      <c r="V129" s="1" t="s">
        <v>11</v>
      </c>
      <c r="W129" s="1" t="s">
        <v>11</v>
      </c>
      <c r="X129" s="1" t="s">
        <v>11</v>
      </c>
      <c r="Y129" s="1" t="s">
        <v>11</v>
      </c>
    </row>
    <row r="130" spans="3:25" x14ac:dyDescent="0.25">
      <c r="C130" s="8" t="s">
        <v>29</v>
      </c>
      <c r="D130" s="1">
        <v>6691248</v>
      </c>
      <c r="E130" s="1">
        <v>11756013</v>
      </c>
      <c r="F130" s="1">
        <v>15391294</v>
      </c>
      <c r="G130" s="1">
        <v>18736499</v>
      </c>
      <c r="H130" s="1">
        <v>21705785</v>
      </c>
      <c r="I130" s="7">
        <v>25137870.705052555</v>
      </c>
      <c r="J130" s="7">
        <v>26253225.565145329</v>
      </c>
      <c r="K130" s="7">
        <v>34924860.866050549</v>
      </c>
      <c r="L130" s="7">
        <v>36209483.438978292</v>
      </c>
      <c r="M130" s="7">
        <v>36787595.329640098</v>
      </c>
      <c r="N130" s="7">
        <v>37320253.399395227</v>
      </c>
      <c r="O130" s="7">
        <v>37580911.744190052</v>
      </c>
      <c r="P130" s="1" t="s">
        <v>11</v>
      </c>
      <c r="Q130" s="1" t="s">
        <v>11</v>
      </c>
      <c r="R130" s="1" t="s">
        <v>11</v>
      </c>
      <c r="S130" s="1" t="s">
        <v>11</v>
      </c>
      <c r="T130" s="1" t="s">
        <v>11</v>
      </c>
      <c r="U130" s="1" t="s">
        <v>11</v>
      </c>
      <c r="V130" s="1" t="s">
        <v>11</v>
      </c>
      <c r="W130" s="1" t="s">
        <v>11</v>
      </c>
      <c r="X130" s="1" t="s">
        <v>11</v>
      </c>
      <c r="Y130" s="1" t="s">
        <v>11</v>
      </c>
    </row>
    <row r="131" spans="3:25" x14ac:dyDescent="0.25">
      <c r="C131" s="8" t="s">
        <v>30</v>
      </c>
      <c r="D131" s="1">
        <v>4191817</v>
      </c>
      <c r="E131" s="1">
        <v>9775450</v>
      </c>
      <c r="F131" s="1">
        <v>14374440</v>
      </c>
      <c r="G131" s="1">
        <v>17306094</v>
      </c>
      <c r="H131" s="7">
        <v>21275681.091986191</v>
      </c>
      <c r="I131" s="7">
        <v>24237832.499925278</v>
      </c>
      <c r="J131" s="7">
        <v>25973707.326520227</v>
      </c>
      <c r="K131" s="7">
        <v>26811701.60519572</v>
      </c>
      <c r="L131" s="7">
        <v>27490115.971591122</v>
      </c>
      <c r="M131" s="7">
        <v>27642085.797039248</v>
      </c>
      <c r="N131" s="7">
        <v>27982946.776782334</v>
      </c>
      <c r="O131" s="1" t="s">
        <v>11</v>
      </c>
      <c r="P131" s="1" t="s">
        <v>11</v>
      </c>
      <c r="Q131" s="1" t="s">
        <v>11</v>
      </c>
      <c r="R131" s="1" t="s">
        <v>11</v>
      </c>
      <c r="S131" s="1" t="s">
        <v>11</v>
      </c>
      <c r="T131" s="1" t="s">
        <v>11</v>
      </c>
      <c r="U131" s="1" t="s">
        <v>11</v>
      </c>
      <c r="V131" s="1" t="s">
        <v>11</v>
      </c>
      <c r="W131" s="1" t="s">
        <v>11</v>
      </c>
      <c r="X131" s="1" t="s">
        <v>11</v>
      </c>
      <c r="Y131" s="1" t="s">
        <v>11</v>
      </c>
    </row>
    <row r="132" spans="3:25" x14ac:dyDescent="0.25">
      <c r="C132" s="8" t="s">
        <v>31</v>
      </c>
      <c r="D132" s="1">
        <v>5916671</v>
      </c>
      <c r="E132" s="1">
        <v>11716355</v>
      </c>
      <c r="F132" s="1">
        <v>15374462</v>
      </c>
      <c r="G132" s="7">
        <v>16390213.741698958</v>
      </c>
      <c r="H132" s="7">
        <v>17971207.696592305</v>
      </c>
      <c r="I132" s="7">
        <v>19689805.623171106</v>
      </c>
      <c r="J132" s="7">
        <v>22173012.888306864</v>
      </c>
      <c r="K132" s="7">
        <v>22978560.925680678</v>
      </c>
      <c r="L132" s="7">
        <v>23724974.861968145</v>
      </c>
      <c r="M132" s="7">
        <v>24640789.133049667</v>
      </c>
      <c r="N132" s="1" t="s">
        <v>11</v>
      </c>
      <c r="O132" s="1" t="s">
        <v>11</v>
      </c>
      <c r="P132" s="1" t="s">
        <v>11</v>
      </c>
      <c r="Q132" s="1" t="s">
        <v>11</v>
      </c>
      <c r="R132" s="1" t="s">
        <v>11</v>
      </c>
      <c r="S132" s="1" t="s">
        <v>11</v>
      </c>
      <c r="T132" s="1" t="s">
        <v>11</v>
      </c>
      <c r="U132" s="1" t="s">
        <v>11</v>
      </c>
      <c r="V132" s="1" t="s">
        <v>11</v>
      </c>
      <c r="W132" s="1" t="s">
        <v>11</v>
      </c>
      <c r="X132" s="1" t="s">
        <v>11</v>
      </c>
      <c r="Y132" s="1" t="s">
        <v>11</v>
      </c>
    </row>
    <row r="133" spans="3:25" x14ac:dyDescent="0.25">
      <c r="C133" s="8" t="s">
        <v>32</v>
      </c>
      <c r="D133" s="1">
        <v>4926500</v>
      </c>
      <c r="E133" s="1">
        <v>9321834</v>
      </c>
      <c r="F133" s="7">
        <v>10218330.49389434</v>
      </c>
      <c r="G133" s="7">
        <v>12788366.213192735</v>
      </c>
      <c r="H133" s="7">
        <v>13312403.956044367</v>
      </c>
      <c r="I133" s="7">
        <v>14024370.28484544</v>
      </c>
      <c r="J133" s="7">
        <v>14646624.641249582</v>
      </c>
      <c r="K133" s="7">
        <v>15356673.446023054</v>
      </c>
      <c r="L133" s="7">
        <v>16164144.559123395</v>
      </c>
      <c r="M133" s="1" t="s">
        <v>11</v>
      </c>
      <c r="N133" s="1" t="s">
        <v>11</v>
      </c>
      <c r="O133" s="1" t="s">
        <v>11</v>
      </c>
      <c r="P133" s="1" t="s">
        <v>11</v>
      </c>
      <c r="Q133" s="1" t="s">
        <v>11</v>
      </c>
      <c r="R133" s="1" t="s">
        <v>11</v>
      </c>
      <c r="S133" s="1" t="s">
        <v>11</v>
      </c>
      <c r="T133" s="1" t="s">
        <v>11</v>
      </c>
      <c r="U133" s="1" t="s">
        <v>11</v>
      </c>
      <c r="V133" s="1" t="s">
        <v>11</v>
      </c>
      <c r="W133" s="1" t="s">
        <v>11</v>
      </c>
      <c r="X133" s="1" t="s">
        <v>11</v>
      </c>
      <c r="Y133" s="1" t="s">
        <v>11</v>
      </c>
    </row>
    <row r="134" spans="3:25" x14ac:dyDescent="0.25">
      <c r="C134" s="8" t="s">
        <v>33</v>
      </c>
      <c r="D134" s="1">
        <v>5149958</v>
      </c>
      <c r="E134" s="7">
        <v>9993796.2158816699</v>
      </c>
      <c r="F134" s="7">
        <v>12235686.410649884</v>
      </c>
      <c r="G134" s="7">
        <v>13674328.215469556</v>
      </c>
      <c r="H134" s="7">
        <v>15841381.480308346</v>
      </c>
      <c r="I134" s="7">
        <v>16394109.410252141</v>
      </c>
      <c r="J134" s="7">
        <v>16848529.133357372</v>
      </c>
      <c r="K134" s="7">
        <v>17392116.186231982</v>
      </c>
      <c r="L134" s="1" t="s">
        <v>11</v>
      </c>
      <c r="M134" s="1" t="s">
        <v>11</v>
      </c>
      <c r="N134" s="1" t="s">
        <v>11</v>
      </c>
      <c r="O134" s="1" t="s">
        <v>11</v>
      </c>
      <c r="P134" s="1" t="s">
        <v>11</v>
      </c>
      <c r="Q134" s="1" t="s">
        <v>11</v>
      </c>
      <c r="R134" s="1" t="s">
        <v>11</v>
      </c>
      <c r="S134" s="1" t="s">
        <v>11</v>
      </c>
      <c r="T134" s="1" t="s">
        <v>11</v>
      </c>
      <c r="U134" s="1" t="s">
        <v>11</v>
      </c>
      <c r="V134" s="1" t="s">
        <v>11</v>
      </c>
      <c r="W134" s="1" t="s">
        <v>11</v>
      </c>
      <c r="X134" s="1" t="s">
        <v>11</v>
      </c>
      <c r="Y134" s="1" t="s">
        <v>11</v>
      </c>
    </row>
  </sheetData>
  <mergeCells count="4">
    <mergeCell ref="C13:AA13"/>
    <mergeCell ref="F77:I77"/>
    <mergeCell ref="J77:M77"/>
    <mergeCell ref="C41:AA41"/>
  </mergeCells>
  <conditionalFormatting sqref="D44:D66">
    <cfRule type="colorScale" priority="2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J62:J66">
    <cfRule type="colorScale" priority="3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44:E66">
    <cfRule type="colorScale" priority="2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F44:F66">
    <cfRule type="colorScale" priority="2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G44:G66">
    <cfRule type="colorScale" priority="2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H44:H66">
    <cfRule type="colorScale" priority="2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I44:I66">
    <cfRule type="colorScale" priority="1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J44:J61">
    <cfRule type="colorScale" priority="1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K44:K61">
    <cfRule type="colorScale" priority="1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L44:L61">
    <cfRule type="colorScale" priority="1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M44:M61">
    <cfRule type="colorScale" priority="1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N44:N61">
    <cfRule type="colorScale" priority="1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O44:O61">
    <cfRule type="colorScale" priority="1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P44:P61">
    <cfRule type="colorScale" priority="1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Q44:Q61">
    <cfRule type="colorScale" priority="1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44:R61">
    <cfRule type="colorScale" priority="1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S44:S61">
    <cfRule type="colorScale" priority="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T44:T61">
    <cfRule type="colorScale" priority="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U44:U61">
    <cfRule type="colorScale" priority="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44:V61">
    <cfRule type="colorScale" priority="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W44:W61">
    <cfRule type="colorScale" priority="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X44:X61">
    <cfRule type="colorScale" priority="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Y44:Y46">
    <cfRule type="colorScale" priority="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Z44:Z46">
    <cfRule type="colorScale" priority="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44:AA46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770718-36FE-470E-AF0B-9B882F1AE2F6}">
  <dimension ref="A1:AC31"/>
  <sheetViews>
    <sheetView showGridLines="0" tabSelected="1" zoomScaleNormal="100" workbookViewId="0">
      <pane xSplit="2" ySplit="3" topLeftCell="C4" activePane="bottomRight" state="frozen"/>
      <selection pane="topRight" activeCell="C1" sqref="C1"/>
      <selection pane="bottomLeft" activeCell="A4" sqref="A4"/>
      <selection pane="bottomRight" activeCell="K21" sqref="K21"/>
    </sheetView>
  </sheetViews>
  <sheetFormatPr baseColWidth="10" defaultColWidth="8.7109375" defaultRowHeight="15" x14ac:dyDescent="0.25"/>
  <cols>
    <col min="1" max="2" width="10" style="33" customWidth="1"/>
    <col min="3" max="26" width="12" style="33" customWidth="1"/>
    <col min="27" max="27" width="12.7109375" style="33" bestFit="1" customWidth="1"/>
    <col min="28" max="29" width="12" style="33" customWidth="1"/>
    <col min="30" max="16384" width="8.7109375" style="33"/>
  </cols>
  <sheetData>
    <row r="1" spans="1:29" ht="25.5" customHeight="1" x14ac:dyDescent="0.25">
      <c r="A1" s="32" t="s">
        <v>53</v>
      </c>
      <c r="B1" s="32"/>
      <c r="C1" s="32"/>
      <c r="D1" s="32"/>
      <c r="E1" s="32"/>
      <c r="F1" s="32"/>
      <c r="G1" s="32"/>
      <c r="H1" s="32"/>
      <c r="I1" s="32"/>
      <c r="J1" s="32"/>
      <c r="K1" s="32"/>
      <c r="L1" s="32"/>
      <c r="M1" s="32"/>
      <c r="N1" s="32"/>
      <c r="O1" s="32"/>
      <c r="P1" s="32"/>
      <c r="Q1" s="32"/>
      <c r="R1" s="32"/>
      <c r="S1" s="32"/>
      <c r="T1" s="32"/>
      <c r="U1" s="32"/>
      <c r="V1" s="32"/>
      <c r="W1" s="32"/>
      <c r="X1" s="32"/>
      <c r="Y1" s="32"/>
      <c r="Z1" s="32"/>
      <c r="AA1" s="32"/>
      <c r="AB1" s="32"/>
      <c r="AC1" s="32"/>
    </row>
    <row r="2" spans="1:29" ht="15.75" customHeight="1" x14ac:dyDescent="0.25">
      <c r="A2" s="34" t="s">
        <v>54</v>
      </c>
      <c r="B2" s="34"/>
      <c r="C2" s="34"/>
      <c r="D2" s="34"/>
      <c r="E2" s="34"/>
      <c r="F2" s="34"/>
      <c r="G2" s="34"/>
      <c r="H2" s="34"/>
      <c r="I2" s="34"/>
      <c r="J2" s="34"/>
      <c r="K2" s="34"/>
      <c r="L2" s="34"/>
      <c r="M2" s="34"/>
      <c r="N2" s="34"/>
      <c r="O2" s="34"/>
      <c r="P2" s="34"/>
      <c r="Q2" s="34"/>
      <c r="R2" s="34"/>
      <c r="S2" s="34"/>
      <c r="T2" s="34"/>
      <c r="U2" s="34"/>
      <c r="V2" s="34"/>
      <c r="W2" s="34"/>
      <c r="X2" s="34"/>
      <c r="Y2" s="34"/>
      <c r="Z2" s="34"/>
      <c r="AA2" s="34"/>
      <c r="AB2" s="34"/>
      <c r="AC2" s="34"/>
    </row>
    <row r="3" spans="1:29" ht="31.5" customHeight="1" x14ac:dyDescent="0.25">
      <c r="A3" s="35" t="s">
        <v>55</v>
      </c>
      <c r="B3" s="35" t="s">
        <v>56</v>
      </c>
      <c r="C3" s="36" t="s">
        <v>57</v>
      </c>
      <c r="D3" s="36" t="s">
        <v>58</v>
      </c>
      <c r="E3" s="36" t="s">
        <v>59</v>
      </c>
      <c r="F3" s="36" t="s">
        <v>60</v>
      </c>
      <c r="G3" s="36" t="s">
        <v>61</v>
      </c>
      <c r="H3" s="36" t="s">
        <v>62</v>
      </c>
      <c r="I3" s="36" t="s">
        <v>63</v>
      </c>
      <c r="J3" s="36" t="s">
        <v>64</v>
      </c>
      <c r="K3" s="36" t="s">
        <v>65</v>
      </c>
      <c r="L3" s="36" t="s">
        <v>66</v>
      </c>
      <c r="M3" s="36" t="s">
        <v>67</v>
      </c>
      <c r="N3" s="36" t="s">
        <v>68</v>
      </c>
      <c r="O3" s="36" t="s">
        <v>69</v>
      </c>
      <c r="P3" s="36" t="s">
        <v>70</v>
      </c>
      <c r="Q3" s="36" t="s">
        <v>71</v>
      </c>
      <c r="R3" s="36" t="s">
        <v>72</v>
      </c>
      <c r="S3" s="36" t="s">
        <v>73</v>
      </c>
      <c r="T3" s="36" t="s">
        <v>74</v>
      </c>
      <c r="U3" s="36" t="s">
        <v>75</v>
      </c>
      <c r="V3" s="36" t="s">
        <v>76</v>
      </c>
      <c r="W3" s="36" t="s">
        <v>77</v>
      </c>
      <c r="X3" s="36" t="s">
        <v>78</v>
      </c>
      <c r="Y3" s="36" t="s">
        <v>79</v>
      </c>
      <c r="Z3" s="36" t="s">
        <v>80</v>
      </c>
      <c r="AA3" s="37" t="s">
        <v>82</v>
      </c>
      <c r="AB3" s="38" t="s">
        <v>83</v>
      </c>
      <c r="AC3" s="39" t="s">
        <v>84</v>
      </c>
    </row>
    <row r="4" spans="1:29" ht="15" customHeight="1" x14ac:dyDescent="0.25">
      <c r="A4" s="46" t="s">
        <v>85</v>
      </c>
      <c r="B4" s="47" t="s">
        <v>86</v>
      </c>
      <c r="C4" s="48"/>
      <c r="D4" s="48"/>
      <c r="E4" s="48"/>
      <c r="F4" s="48"/>
      <c r="G4" s="48"/>
      <c r="H4" s="48"/>
      <c r="I4" s="48"/>
      <c r="J4" s="48"/>
      <c r="K4" s="48"/>
      <c r="L4" s="48"/>
      <c r="M4" s="48"/>
      <c r="N4" s="48"/>
      <c r="O4" s="48"/>
      <c r="P4" s="48"/>
      <c r="Q4" s="48"/>
      <c r="R4" s="48">
        <f>IF(Triangulo1!S16=0,"-",Triangulo1!S16)</f>
        <v>14721902</v>
      </c>
      <c r="S4" s="48">
        <f>IF(Triangulo1!T16=0,"-",Triangulo1!T16)</f>
        <v>14723975</v>
      </c>
      <c r="T4" s="48">
        <f>IF(Triangulo1!U16=0,"-",Triangulo1!U16)</f>
        <v>14724778</v>
      </c>
      <c r="U4" s="48">
        <f>IF(Triangulo1!V16=0,"-",Triangulo1!V16)</f>
        <v>14725216</v>
      </c>
      <c r="V4" s="48">
        <f>IF(Triangulo1!W16=0,"-",Triangulo1!W16)</f>
        <v>14725343</v>
      </c>
      <c r="W4" s="48">
        <f>IF(Triangulo1!X16=0,"-",Triangulo1!X16)</f>
        <v>14725356</v>
      </c>
      <c r="X4" s="48">
        <f>IF(Triangulo1!Y16=0,"-",Triangulo1!Y16)</f>
        <v>14725361</v>
      </c>
      <c r="Y4" s="48">
        <f>IF(Triangulo1!Z16=0,"-",Triangulo1!Z16)</f>
        <v>14725369</v>
      </c>
      <c r="Z4" s="43">
        <f>IF(Triangulo1!AA16=0,"-",Triangulo1!AA16)</f>
        <v>14725385</v>
      </c>
      <c r="AA4" s="43" t="e">
        <f>#REF!</f>
        <v>#REF!</v>
      </c>
      <c r="AB4" s="45">
        <f>'[1]1_Triangulo'!AA4</f>
        <v>49970260</v>
      </c>
      <c r="AC4" s="44" t="e">
        <f t="shared" ref="AC4:AC28" si="0">AA4-AB4</f>
        <v>#REF!</v>
      </c>
    </row>
    <row r="5" spans="1:29" ht="15" customHeight="1" x14ac:dyDescent="0.25">
      <c r="A5" s="40" t="s">
        <v>87</v>
      </c>
      <c r="B5" s="41" t="s">
        <v>88</v>
      </c>
      <c r="C5" s="42"/>
      <c r="D5" s="42"/>
      <c r="E5" s="42"/>
      <c r="F5" s="42"/>
      <c r="G5" s="42"/>
      <c r="H5" s="42"/>
      <c r="I5" s="42"/>
      <c r="J5" s="42"/>
      <c r="K5" s="42"/>
      <c r="L5" s="42"/>
      <c r="M5" s="42"/>
      <c r="N5" s="42"/>
      <c r="O5" s="42"/>
      <c r="P5" s="42"/>
      <c r="Q5" s="42">
        <f>IF(Triangulo1!R17=0,"-",Triangulo1!R17)</f>
        <v>17727251</v>
      </c>
      <c r="R5" s="42">
        <f>IF(Triangulo1!S17=0,"-",Triangulo1!S17)</f>
        <v>17731572</v>
      </c>
      <c r="S5" s="42">
        <f>IF(Triangulo1!T17=0,"-",Triangulo1!T17)</f>
        <v>17733454</v>
      </c>
      <c r="T5" s="42">
        <f>IF(Triangulo1!U17=0,"-",Triangulo1!U17)</f>
        <v>17734435</v>
      </c>
      <c r="U5" s="42">
        <f>IF(Triangulo1!V17=0,"-",Triangulo1!V17)</f>
        <v>17734974</v>
      </c>
      <c r="V5" s="42">
        <f>IF(Triangulo1!W17=0,"-",Triangulo1!W17)</f>
        <v>17735197</v>
      </c>
      <c r="W5" s="42">
        <f>IF(Triangulo1!X17=0,"-",Triangulo1!X17)</f>
        <v>17735258</v>
      </c>
      <c r="X5" s="42">
        <f>IF(Triangulo1!Y17=0,"-",Triangulo1!Y17)</f>
        <v>17735268</v>
      </c>
      <c r="Y5" s="43">
        <f>IF(Triangulo1!Z17=0,"-",Triangulo1!Z17)</f>
        <v>17735279</v>
      </c>
      <c r="Z5" s="49" t="str">
        <f>IF(Triangulo1!AA17=0,"-",Triangulo1!AA17)</f>
        <v/>
      </c>
      <c r="AA5" s="49" t="e">
        <f>#REF!</f>
        <v>#REF!</v>
      </c>
      <c r="AB5" s="45">
        <f>'[1]1_Triangulo'!Z5</f>
        <v>50579274</v>
      </c>
      <c r="AC5" s="44" t="e">
        <f t="shared" si="0"/>
        <v>#REF!</v>
      </c>
    </row>
    <row r="6" spans="1:29" ht="15" customHeight="1" x14ac:dyDescent="0.25">
      <c r="A6" s="46" t="s">
        <v>89</v>
      </c>
      <c r="B6" s="47" t="s">
        <v>90</v>
      </c>
      <c r="C6" s="48"/>
      <c r="D6" s="48"/>
      <c r="E6" s="48"/>
      <c r="F6" s="48"/>
      <c r="G6" s="48"/>
      <c r="H6" s="48"/>
      <c r="I6" s="48"/>
      <c r="J6" s="48"/>
      <c r="K6" s="48"/>
      <c r="L6" s="48"/>
      <c r="M6" s="48"/>
      <c r="N6" s="48"/>
      <c r="O6" s="48"/>
      <c r="P6" s="48">
        <f>IF(Triangulo1!Q18=0,"-",Triangulo1!Q18)</f>
        <v>11864201</v>
      </c>
      <c r="Q6" s="48">
        <f>IF(Triangulo1!R18=0,"-",Triangulo1!R18)</f>
        <v>11873586</v>
      </c>
      <c r="R6" s="48">
        <f>IF(Triangulo1!S18=0,"-",Triangulo1!S18)</f>
        <v>11878223</v>
      </c>
      <c r="S6" s="48">
        <f>IF(Triangulo1!T18=0,"-",Triangulo1!T18)</f>
        <v>11880065</v>
      </c>
      <c r="T6" s="48">
        <f>IF(Triangulo1!U18=0,"-",Triangulo1!U18)</f>
        <v>11880905</v>
      </c>
      <c r="U6" s="48">
        <f>IF(Triangulo1!V18=0,"-",Triangulo1!V18)</f>
        <v>11881492</v>
      </c>
      <c r="V6" s="48">
        <f>IF(Triangulo1!W18=0,"-",Triangulo1!W18)</f>
        <v>11881607</v>
      </c>
      <c r="W6" s="48">
        <f>IF(Triangulo1!X18=0,"-",Triangulo1!X18)</f>
        <v>11881725</v>
      </c>
      <c r="X6" s="43">
        <f>IF(Triangulo1!Y18=0,"-",Triangulo1!Y18)</f>
        <v>11881761</v>
      </c>
      <c r="Y6" s="49" t="str">
        <f>IF(Triangulo1!Z18=0,"-",Triangulo1!Z18)</f>
        <v/>
      </c>
      <c r="Z6" s="49" t="str">
        <f>IF(Triangulo1!AA18=0,"-",Triangulo1!AA18)</f>
        <v/>
      </c>
      <c r="AA6" s="49" t="e">
        <f>#REF!</f>
        <v>#REF!</v>
      </c>
      <c r="AB6" s="45">
        <f>'[1]1_Triangulo'!Y6</f>
        <v>51107802</v>
      </c>
      <c r="AC6" s="44" t="e">
        <f t="shared" si="0"/>
        <v>#REF!</v>
      </c>
    </row>
    <row r="7" spans="1:29" ht="15" customHeight="1" x14ac:dyDescent="0.25">
      <c r="A7" s="40" t="s">
        <v>91</v>
      </c>
      <c r="B7" s="41" t="s">
        <v>92</v>
      </c>
      <c r="C7" s="42"/>
      <c r="D7" s="42"/>
      <c r="E7" s="42"/>
      <c r="F7" s="42"/>
      <c r="G7" s="42"/>
      <c r="H7" s="42"/>
      <c r="I7" s="42"/>
      <c r="J7" s="42"/>
      <c r="K7" s="42"/>
      <c r="L7" s="42"/>
      <c r="M7" s="42"/>
      <c r="N7" s="42"/>
      <c r="O7" s="42">
        <f>IF(Triangulo1!P19=0,"-",Triangulo1!P19)</f>
        <v>19426010</v>
      </c>
      <c r="P7" s="42">
        <f>IF(Triangulo1!Q19=0,"-",Triangulo1!Q19)</f>
        <v>19444545</v>
      </c>
      <c r="Q7" s="42">
        <f>IF(Triangulo1!R19=0,"-",Triangulo1!R19)</f>
        <v>19453256</v>
      </c>
      <c r="R7" s="42">
        <f>IF(Triangulo1!S19=0,"-",Triangulo1!S19)</f>
        <v>19457999</v>
      </c>
      <c r="S7" s="42">
        <f>IF(Triangulo1!T19=0,"-",Triangulo1!T19)</f>
        <v>19459976</v>
      </c>
      <c r="T7" s="42">
        <f>IF(Triangulo1!U19=0,"-",Triangulo1!U19)</f>
        <v>19461146</v>
      </c>
      <c r="U7" s="42">
        <f>IF(Triangulo1!V19=0,"-",Triangulo1!V19)</f>
        <v>19461559</v>
      </c>
      <c r="V7" s="42">
        <f>IF(Triangulo1!W19=0,"-",Triangulo1!W19)</f>
        <v>19461649</v>
      </c>
      <c r="W7" s="43">
        <f>IF(Triangulo1!X19=0,"-",Triangulo1!X19)</f>
        <v>19461650</v>
      </c>
      <c r="X7" s="49" t="str">
        <f>IF(Triangulo1!Y19=0,"-",Triangulo1!Y19)</f>
        <v/>
      </c>
      <c r="Y7" s="49" t="str">
        <f>IF(Triangulo1!Z19=0,"-",Triangulo1!Z19)</f>
        <v/>
      </c>
      <c r="Z7" s="49" t="str">
        <f>IF(Triangulo1!AA19=0,"-",Triangulo1!AA19)</f>
        <v/>
      </c>
      <c r="AA7" s="49" t="e">
        <f>#REF!</f>
        <v>#REF!</v>
      </c>
      <c r="AB7" s="45">
        <f>'[1]1_Triangulo'!X7</f>
        <v>51395178</v>
      </c>
      <c r="AC7" s="44" t="e">
        <f t="shared" si="0"/>
        <v>#REF!</v>
      </c>
    </row>
    <row r="8" spans="1:29" ht="15" customHeight="1" x14ac:dyDescent="0.25">
      <c r="A8" s="46" t="s">
        <v>93</v>
      </c>
      <c r="B8" s="47" t="s">
        <v>94</v>
      </c>
      <c r="C8" s="48"/>
      <c r="D8" s="48"/>
      <c r="E8" s="48"/>
      <c r="F8" s="48"/>
      <c r="G8" s="48"/>
      <c r="H8" s="48"/>
      <c r="I8" s="48"/>
      <c r="J8" s="48"/>
      <c r="K8" s="48"/>
      <c r="L8" s="48"/>
      <c r="M8" s="48"/>
      <c r="N8" s="48">
        <f>IF(Triangulo1!O20=0,"-",Triangulo1!O20)</f>
        <v>11754449</v>
      </c>
      <c r="O8" s="48">
        <f>IF(Triangulo1!P20=0,"-",Triangulo1!P20)</f>
        <v>11785976</v>
      </c>
      <c r="P8" s="48">
        <f>IF(Triangulo1!Q20=0,"-",Triangulo1!Q20)</f>
        <v>11801623</v>
      </c>
      <c r="Q8" s="48">
        <f>IF(Triangulo1!R20=0,"-",Triangulo1!R20)</f>
        <v>11808422</v>
      </c>
      <c r="R8" s="48">
        <f>IF(Triangulo1!S20=0,"-",Triangulo1!S20)</f>
        <v>11812430</v>
      </c>
      <c r="S8" s="48">
        <f>IF(Triangulo1!T20=0,"-",Triangulo1!T20)</f>
        <v>11814677</v>
      </c>
      <c r="T8" s="48">
        <f>IF(Triangulo1!U20=0,"-",Triangulo1!U20)</f>
        <v>11815553</v>
      </c>
      <c r="U8" s="48">
        <f>IF(Triangulo1!V20=0,"-",Triangulo1!V20)</f>
        <v>11815994</v>
      </c>
      <c r="V8" s="43">
        <f>IF(Triangulo1!W20=0,"-",Triangulo1!W20)</f>
        <v>11816173</v>
      </c>
      <c r="W8" s="49" t="str">
        <f>IF(Triangulo1!X20=0,"-",Triangulo1!X20)</f>
        <v/>
      </c>
      <c r="X8" s="49" t="str">
        <f>IF(Triangulo1!Y20=0,"-",Triangulo1!Y20)</f>
        <v/>
      </c>
      <c r="Y8" s="49" t="str">
        <f>IF(Triangulo1!Z20=0,"-",Triangulo1!Z20)</f>
        <v/>
      </c>
      <c r="Z8" s="49" t="str">
        <f>IF(Triangulo1!AA20=0,"-",Triangulo1!AA20)</f>
        <v/>
      </c>
      <c r="AA8" s="49" t="e">
        <f>#REF!</f>
        <v>#REF!</v>
      </c>
      <c r="AB8" s="45">
        <f>'[1]1_Triangulo'!W8</f>
        <v>52457834</v>
      </c>
      <c r="AC8" s="44" t="e">
        <f t="shared" si="0"/>
        <v>#REF!</v>
      </c>
    </row>
    <row r="9" spans="1:29" ht="15" customHeight="1" x14ac:dyDescent="0.25">
      <c r="A9" s="40" t="s">
        <v>95</v>
      </c>
      <c r="B9" s="41" t="s">
        <v>96</v>
      </c>
      <c r="C9" s="42"/>
      <c r="D9" s="42"/>
      <c r="E9" s="42"/>
      <c r="F9" s="42"/>
      <c r="G9" s="42"/>
      <c r="H9" s="42"/>
      <c r="I9" s="42"/>
      <c r="J9" s="42"/>
      <c r="K9" s="42"/>
      <c r="L9" s="42"/>
      <c r="M9" s="42">
        <f>IF(Triangulo1!N21=0,"-",Triangulo1!N21)</f>
        <v>12930641</v>
      </c>
      <c r="N9" s="42">
        <f>IF(Triangulo1!O21=0,"-",Triangulo1!O21)</f>
        <v>12990612</v>
      </c>
      <c r="O9" s="42">
        <f>IF(Triangulo1!P21=0,"-",Triangulo1!P21)</f>
        <v>13017211</v>
      </c>
      <c r="P9" s="42">
        <f>IF(Triangulo1!Q21=0,"-",Triangulo1!Q21)</f>
        <v>13032985</v>
      </c>
      <c r="Q9" s="42">
        <f>IF(Triangulo1!R21=0,"-",Triangulo1!R21)</f>
        <v>13041104</v>
      </c>
      <c r="R9" s="42">
        <f>IF(Triangulo1!S21=0,"-",Triangulo1!S21)</f>
        <v>13045224</v>
      </c>
      <c r="S9" s="42">
        <f>IF(Triangulo1!T21=0,"-",Triangulo1!T21)</f>
        <v>13046906</v>
      </c>
      <c r="T9" s="42">
        <f>IF(Triangulo1!U21=0,"-",Triangulo1!U21)</f>
        <v>13047997</v>
      </c>
      <c r="U9" s="43">
        <f>IF(Triangulo1!V21=0,"-",Triangulo1!V21)</f>
        <v>13048471</v>
      </c>
      <c r="V9" s="49" t="str">
        <f>IF(Triangulo1!W21=0,"-",Triangulo1!W21)</f>
        <v/>
      </c>
      <c r="W9" s="49" t="str">
        <f>IF(Triangulo1!X21=0,"-",Triangulo1!X21)</f>
        <v/>
      </c>
      <c r="X9" s="49" t="str">
        <f>IF(Triangulo1!Y21=0,"-",Triangulo1!Y21)</f>
        <v/>
      </c>
      <c r="Y9" s="49" t="str">
        <f>IF(Triangulo1!Z21=0,"-",Triangulo1!Z21)</f>
        <v/>
      </c>
      <c r="Z9" s="49" t="str">
        <f>IF(Triangulo1!AA21=0,"-",Triangulo1!AA21)</f>
        <v/>
      </c>
      <c r="AA9" s="49" t="e">
        <f>#REF!</f>
        <v>#REF!</v>
      </c>
      <c r="AB9" s="45">
        <f>'[1]1_Triangulo'!V9</f>
        <v>52189573</v>
      </c>
      <c r="AC9" s="44" t="e">
        <f t="shared" si="0"/>
        <v>#REF!</v>
      </c>
    </row>
    <row r="10" spans="1:29" ht="15" customHeight="1" x14ac:dyDescent="0.25">
      <c r="A10" s="46" t="s">
        <v>97</v>
      </c>
      <c r="B10" s="47" t="s">
        <v>98</v>
      </c>
      <c r="C10" s="48"/>
      <c r="D10" s="48"/>
      <c r="E10" s="48"/>
      <c r="F10" s="48"/>
      <c r="G10" s="48"/>
      <c r="H10" s="48"/>
      <c r="I10" s="48"/>
      <c r="J10" s="48"/>
      <c r="K10" s="48"/>
      <c r="L10" s="48">
        <f>IF(Triangulo1!M22=0,"-",Triangulo1!M22)</f>
        <v>10574369</v>
      </c>
      <c r="M10" s="48">
        <f>IF(Triangulo1!N22=0,"-",Triangulo1!N22)</f>
        <v>10704764</v>
      </c>
      <c r="N10" s="48">
        <f>IF(Triangulo1!O22=0,"-",Triangulo1!O22)</f>
        <v>10779530</v>
      </c>
      <c r="O10" s="48">
        <f>IF(Triangulo1!P22=0,"-",Triangulo1!P22)</f>
        <v>10810916</v>
      </c>
      <c r="P10" s="48">
        <f>IF(Triangulo1!Q22=0,"-",Triangulo1!Q22)</f>
        <v>10825407</v>
      </c>
      <c r="Q10" s="48">
        <f>IF(Triangulo1!R22=0,"-",Triangulo1!R22)</f>
        <v>10831969</v>
      </c>
      <c r="R10" s="48">
        <f>IF(Triangulo1!S22=0,"-",Triangulo1!S22)</f>
        <v>10836654</v>
      </c>
      <c r="S10" s="48">
        <f>IF(Triangulo1!T22=0,"-",Triangulo1!T22)</f>
        <v>10839043</v>
      </c>
      <c r="T10" s="43">
        <f>IF(Triangulo1!U22=0,"-",Triangulo1!U22)</f>
        <v>10840140</v>
      </c>
      <c r="U10" s="49" t="str">
        <f>IF(Triangulo1!V22=0,"-",Triangulo1!V22)</f>
        <v/>
      </c>
      <c r="V10" s="49" t="str">
        <f>IF(Triangulo1!W22=0,"-",Triangulo1!W22)</f>
        <v/>
      </c>
      <c r="W10" s="49" t="str">
        <f>IF(Triangulo1!X22=0,"-",Triangulo1!X22)</f>
        <v/>
      </c>
      <c r="X10" s="49" t="str">
        <f>IF(Triangulo1!Y22=0,"-",Triangulo1!Y22)</f>
        <v/>
      </c>
      <c r="Y10" s="49" t="str">
        <f>IF(Triangulo1!Z22=0,"-",Triangulo1!Z22)</f>
        <v/>
      </c>
      <c r="Z10" s="49" t="str">
        <f>IF(Triangulo1!AA22=0,"-",Triangulo1!AA22)</f>
        <v/>
      </c>
      <c r="AA10" s="49" t="e">
        <f>#REF!</f>
        <v>#REF!</v>
      </c>
      <c r="AB10" s="45">
        <f>'[1]1_Triangulo'!U10</f>
        <v>52496431</v>
      </c>
      <c r="AC10" s="44" t="e">
        <f t="shared" si="0"/>
        <v>#REF!</v>
      </c>
    </row>
    <row r="11" spans="1:29" ht="15" customHeight="1" x14ac:dyDescent="0.25">
      <c r="A11" s="40" t="s">
        <v>99</v>
      </c>
      <c r="B11" s="41" t="s">
        <v>100</v>
      </c>
      <c r="C11" s="42"/>
      <c r="D11" s="42"/>
      <c r="E11" s="42"/>
      <c r="F11" s="42"/>
      <c r="G11" s="42"/>
      <c r="H11" s="42"/>
      <c r="I11" s="42"/>
      <c r="J11" s="42"/>
      <c r="K11" s="42">
        <f>IF(Triangulo1!L23=0,"-",Triangulo1!L23)</f>
        <v>13586619</v>
      </c>
      <c r="L11" s="42">
        <f>IF(Triangulo1!M23=0,"-",Triangulo1!M23)</f>
        <v>13861205</v>
      </c>
      <c r="M11" s="42">
        <f>IF(Triangulo1!N23=0,"-",Triangulo1!N23)</f>
        <v>13987078</v>
      </c>
      <c r="N11" s="42">
        <f>IF(Triangulo1!O23=0,"-",Triangulo1!O23)</f>
        <v>14043493</v>
      </c>
      <c r="O11" s="42">
        <f>IF(Triangulo1!P23=0,"-",Triangulo1!P23)</f>
        <v>14079323</v>
      </c>
      <c r="P11" s="42">
        <f>IF(Triangulo1!Q23=0,"-",Triangulo1!Q23)</f>
        <v>14095393</v>
      </c>
      <c r="Q11" s="42">
        <f>IF(Triangulo1!R23=0,"-",Triangulo1!R23)</f>
        <v>14104571</v>
      </c>
      <c r="R11" s="42">
        <f>IF(Triangulo1!S23=0,"-",Triangulo1!S23)</f>
        <v>14109322</v>
      </c>
      <c r="S11" s="43">
        <f>IF(Triangulo1!T23=0,"-",Triangulo1!T23)</f>
        <v>14111136</v>
      </c>
      <c r="T11" s="49" t="str">
        <f>IF(Triangulo1!U23=0,"-",Triangulo1!U23)</f>
        <v/>
      </c>
      <c r="U11" s="49" t="str">
        <f>IF(Triangulo1!V23=0,"-",Triangulo1!V23)</f>
        <v/>
      </c>
      <c r="V11" s="49" t="str">
        <f>IF(Triangulo1!W23=0,"-",Triangulo1!W23)</f>
        <v/>
      </c>
      <c r="W11" s="49" t="str">
        <f>IF(Triangulo1!X23=0,"-",Triangulo1!X23)</f>
        <v/>
      </c>
      <c r="X11" s="49" t="str">
        <f>IF(Triangulo1!Y23=0,"-",Triangulo1!Y23)</f>
        <v/>
      </c>
      <c r="Y11" s="49" t="str">
        <f>IF(Triangulo1!Z23=0,"-",Triangulo1!Z23)</f>
        <v/>
      </c>
      <c r="Z11" s="49" t="str">
        <f>IF(Triangulo1!AA23=0,"-",Triangulo1!AA23)</f>
        <v/>
      </c>
      <c r="AA11" s="49" t="e">
        <f>#REF!</f>
        <v>#REF!</v>
      </c>
      <c r="AB11" s="45">
        <f>'[1]1_Triangulo'!T11</f>
        <v>52493077</v>
      </c>
      <c r="AC11" s="44" t="e">
        <f t="shared" si="0"/>
        <v>#REF!</v>
      </c>
    </row>
    <row r="12" spans="1:29" ht="15" customHeight="1" x14ac:dyDescent="0.25">
      <c r="A12" s="46" t="s">
        <v>101</v>
      </c>
      <c r="B12" s="47" t="s">
        <v>102</v>
      </c>
      <c r="C12" s="48"/>
      <c r="D12" s="48"/>
      <c r="E12" s="48"/>
      <c r="F12" s="48"/>
      <c r="G12" s="48"/>
      <c r="H12" s="48"/>
      <c r="I12" s="48"/>
      <c r="J12" s="48">
        <f>IF(Triangulo1!K24=0,"-",Triangulo1!K24)</f>
        <v>14684360</v>
      </c>
      <c r="K12" s="48">
        <f>IF(Triangulo1!L24=0,"-",Triangulo1!L24)</f>
        <v>15224487</v>
      </c>
      <c r="L12" s="48">
        <f>IF(Triangulo1!M24=0,"-",Triangulo1!M24)</f>
        <v>15505624</v>
      </c>
      <c r="M12" s="48">
        <f>IF(Triangulo1!N24=0,"-",Triangulo1!N24)</f>
        <v>15616491</v>
      </c>
      <c r="N12" s="48">
        <f>IF(Triangulo1!O24=0,"-",Triangulo1!O24)</f>
        <v>15669883</v>
      </c>
      <c r="O12" s="48">
        <f>IF(Triangulo1!P24=0,"-",Triangulo1!P24)</f>
        <v>15701026</v>
      </c>
      <c r="P12" s="48">
        <f>IF(Triangulo1!Q24=0,"-",Triangulo1!Q24)</f>
        <v>15717007</v>
      </c>
      <c r="Q12" s="48">
        <f>IF(Triangulo1!R24=0,"-",Triangulo1!R24)</f>
        <v>15725357</v>
      </c>
      <c r="R12" s="43">
        <f>IF(Triangulo1!S24=0,"-",Triangulo1!S24)</f>
        <v>15729334</v>
      </c>
      <c r="S12" s="49" t="str">
        <f>IF(Triangulo1!T24=0,"-",Triangulo1!T24)</f>
        <v/>
      </c>
      <c r="T12" s="49" t="str">
        <f>IF(Triangulo1!U24=0,"-",Triangulo1!U24)</f>
        <v/>
      </c>
      <c r="U12" s="49" t="str">
        <f>IF(Triangulo1!V24=0,"-",Triangulo1!V24)</f>
        <v/>
      </c>
      <c r="V12" s="49" t="str">
        <f>IF(Triangulo1!W24=0,"-",Triangulo1!W24)</f>
        <v/>
      </c>
      <c r="W12" s="49" t="str">
        <f>IF(Triangulo1!X24=0,"-",Triangulo1!X24)</f>
        <v/>
      </c>
      <c r="X12" s="49" t="str">
        <f>IF(Triangulo1!Y24=0,"-",Triangulo1!Y24)</f>
        <v/>
      </c>
      <c r="Y12" s="49" t="str">
        <f>IF(Triangulo1!Z24=0,"-",Triangulo1!Z24)</f>
        <v/>
      </c>
      <c r="Z12" s="49" t="str">
        <f>IF(Triangulo1!AA24=0,"-",Triangulo1!AA24)</f>
        <v/>
      </c>
      <c r="AA12" s="49" t="e">
        <f>#REF!</f>
        <v>#REF!</v>
      </c>
      <c r="AB12" s="45">
        <f>'[1]1_Triangulo'!S12</f>
        <v>52617714</v>
      </c>
      <c r="AC12" s="44" t="e">
        <f t="shared" si="0"/>
        <v>#REF!</v>
      </c>
    </row>
    <row r="13" spans="1:29" ht="15" customHeight="1" x14ac:dyDescent="0.25">
      <c r="A13" s="40" t="s">
        <v>103</v>
      </c>
      <c r="B13" s="41" t="s">
        <v>104</v>
      </c>
      <c r="C13" s="42"/>
      <c r="D13" s="42"/>
      <c r="E13" s="42"/>
      <c r="F13" s="42"/>
      <c r="G13" s="42"/>
      <c r="H13" s="42"/>
      <c r="I13" s="42">
        <f>IF(Triangulo1!J25=0,"-",Triangulo1!J25)</f>
        <v>12264947</v>
      </c>
      <c r="J13" s="42">
        <f>IF(Triangulo1!K25=0,"-",Triangulo1!K25)</f>
        <v>13331758</v>
      </c>
      <c r="K13" s="42">
        <f>IF(Triangulo1!L25=0,"-",Triangulo1!L25)</f>
        <v>13881470</v>
      </c>
      <c r="L13" s="42">
        <f>IF(Triangulo1!M25=0,"-",Triangulo1!M25)</f>
        <v>14105853</v>
      </c>
      <c r="M13" s="42">
        <f>IF(Triangulo1!N25=0,"-",Triangulo1!N25)</f>
        <v>14231236</v>
      </c>
      <c r="N13" s="42">
        <f>IF(Triangulo1!O25=0,"-",Triangulo1!O25)</f>
        <v>14285043</v>
      </c>
      <c r="O13" s="42">
        <f>IF(Triangulo1!P25=0,"-",Triangulo1!P25)</f>
        <v>14317196</v>
      </c>
      <c r="P13" s="42">
        <f>IF(Triangulo1!Q25=0,"-",Triangulo1!Q25)</f>
        <v>14335249</v>
      </c>
      <c r="Q13" s="43">
        <f>IF(Triangulo1!R25=0,"-",Triangulo1!R25)</f>
        <v>14343596</v>
      </c>
      <c r="R13" s="49" t="str">
        <f>IF(Triangulo1!S25=0,"-",Triangulo1!S25)</f>
        <v/>
      </c>
      <c r="S13" s="49" t="str">
        <f>IF(Triangulo1!T25=0,"-",Triangulo1!T25)</f>
        <v/>
      </c>
      <c r="T13" s="49" t="str">
        <f>IF(Triangulo1!U25=0,"-",Triangulo1!U25)</f>
        <v/>
      </c>
      <c r="U13" s="49" t="str">
        <f>IF(Triangulo1!V25=0,"-",Triangulo1!V25)</f>
        <v/>
      </c>
      <c r="V13" s="49" t="str">
        <f>IF(Triangulo1!W25=0,"-",Triangulo1!W25)</f>
        <v/>
      </c>
      <c r="W13" s="49" t="str">
        <f>IF(Triangulo1!X25=0,"-",Triangulo1!X25)</f>
        <v/>
      </c>
      <c r="X13" s="49" t="str">
        <f>IF(Triangulo1!Y25=0,"-",Triangulo1!Y25)</f>
        <v/>
      </c>
      <c r="Y13" s="49" t="str">
        <f>IF(Triangulo1!Z25=0,"-",Triangulo1!Z25)</f>
        <v/>
      </c>
      <c r="Z13" s="49" t="str">
        <f>IF(Triangulo1!AA25=0,"-",Triangulo1!AA25)</f>
        <v/>
      </c>
      <c r="AA13" s="49" t="e">
        <f>#REF!</f>
        <v>#REF!</v>
      </c>
      <c r="AB13" s="45">
        <f>'[1]1_Triangulo'!R13</f>
        <v>52625937</v>
      </c>
      <c r="AC13" s="44" t="e">
        <f t="shared" si="0"/>
        <v>#REF!</v>
      </c>
    </row>
    <row r="14" spans="1:29" ht="15" customHeight="1" x14ac:dyDescent="0.25">
      <c r="A14" s="46" t="s">
        <v>105</v>
      </c>
      <c r="B14" s="47" t="s">
        <v>106</v>
      </c>
      <c r="C14" s="48"/>
      <c r="D14" s="48"/>
      <c r="E14" s="48"/>
      <c r="F14" s="48"/>
      <c r="G14" s="48"/>
      <c r="H14" s="48">
        <f>IF(Triangulo1!I26=0,"-",Triangulo1!I26)</f>
        <v>11346897</v>
      </c>
      <c r="I14" s="48">
        <f>IF(Triangulo1!J26=0,"-",Triangulo1!J26)</f>
        <v>13064544</v>
      </c>
      <c r="J14" s="48">
        <f>IF(Triangulo1!K26=0,"-",Triangulo1!K26)</f>
        <v>14121948</v>
      </c>
      <c r="K14" s="48">
        <f>IF(Triangulo1!L26=0,"-",Triangulo1!L26)</f>
        <v>14605429</v>
      </c>
      <c r="L14" s="48">
        <f>IF(Triangulo1!M26=0,"-",Triangulo1!M26)</f>
        <v>14862271</v>
      </c>
      <c r="M14" s="48">
        <f>IF(Triangulo1!N26=0,"-",Triangulo1!N26)</f>
        <v>15012968</v>
      </c>
      <c r="N14" s="48">
        <f>IF(Triangulo1!O26=0,"-",Triangulo1!O26)</f>
        <v>15074585</v>
      </c>
      <c r="O14" s="48">
        <f>IF(Triangulo1!P26=0,"-",Triangulo1!P26)</f>
        <v>15104696</v>
      </c>
      <c r="P14" s="43">
        <f>IF(Triangulo1!Q26=0,"-",Triangulo1!Q26)</f>
        <v>15119935</v>
      </c>
      <c r="Q14" s="49" t="str">
        <f>IF(Triangulo1!R26=0,"-",Triangulo1!R26)</f>
        <v/>
      </c>
      <c r="R14" s="49" t="str">
        <f>IF(Triangulo1!S26=0,"-",Triangulo1!S26)</f>
        <v/>
      </c>
      <c r="S14" s="49" t="str">
        <f>IF(Triangulo1!T26=0,"-",Triangulo1!T26)</f>
        <v/>
      </c>
      <c r="T14" s="49" t="str">
        <f>IF(Triangulo1!U26=0,"-",Triangulo1!U26)</f>
        <v/>
      </c>
      <c r="U14" s="49" t="str">
        <f>IF(Triangulo1!V26=0,"-",Triangulo1!V26)</f>
        <v/>
      </c>
      <c r="V14" s="49" t="str">
        <f>IF(Triangulo1!W26=0,"-",Triangulo1!W26)</f>
        <v/>
      </c>
      <c r="W14" s="49" t="str">
        <f>IF(Triangulo1!X26=0,"-",Triangulo1!X26)</f>
        <v/>
      </c>
      <c r="X14" s="49" t="str">
        <f>IF(Triangulo1!Y26=0,"-",Triangulo1!Y26)</f>
        <v/>
      </c>
      <c r="Y14" s="49" t="str">
        <f>IF(Triangulo1!Z26=0,"-",Triangulo1!Z26)</f>
        <v/>
      </c>
      <c r="Z14" s="49" t="str">
        <f>IF(Triangulo1!AA26=0,"-",Triangulo1!AA26)</f>
        <v/>
      </c>
      <c r="AA14" s="49" t="e">
        <f>#REF!</f>
        <v>#REF!</v>
      </c>
      <c r="AB14" s="45">
        <f>'[1]1_Triangulo'!Q14</f>
        <v>52557910</v>
      </c>
      <c r="AC14" s="44" t="e">
        <f t="shared" si="0"/>
        <v>#REF!</v>
      </c>
    </row>
    <row r="15" spans="1:29" ht="15" customHeight="1" x14ac:dyDescent="0.25">
      <c r="A15" s="40" t="s">
        <v>107</v>
      </c>
      <c r="B15" s="41" t="s">
        <v>108</v>
      </c>
      <c r="C15" s="42"/>
      <c r="D15" s="42"/>
      <c r="E15" s="42"/>
      <c r="F15" s="42"/>
      <c r="G15" s="42">
        <f>IF(Triangulo1!H27=0,"-",Triangulo1!H27)</f>
        <v>13369514</v>
      </c>
      <c r="H15" s="42">
        <f>IF(Triangulo1!I27=0,"-",Triangulo1!I27)</f>
        <v>15030308</v>
      </c>
      <c r="I15" s="42">
        <f>IF(Triangulo1!J27=0,"-",Triangulo1!J27)</f>
        <v>16697100</v>
      </c>
      <c r="J15" s="42">
        <f>IF(Triangulo1!K27=0,"-",Triangulo1!K27)</f>
        <v>17828453</v>
      </c>
      <c r="K15" s="42">
        <f>IF(Triangulo1!L27=0,"-",Triangulo1!L27)</f>
        <v>18294564</v>
      </c>
      <c r="L15" s="42">
        <f>IF(Triangulo1!M27=0,"-",Triangulo1!M27)</f>
        <v>18522862</v>
      </c>
      <c r="M15" s="42">
        <f>IF(Triangulo1!N27=0,"-",Triangulo1!N27)</f>
        <v>18641988</v>
      </c>
      <c r="N15" s="42">
        <f>IF(Triangulo1!O27=0,"-",Triangulo1!O27)</f>
        <v>18693587</v>
      </c>
      <c r="O15" s="43">
        <f>IF(Triangulo1!P27=0,"-",Triangulo1!P27)</f>
        <v>18730024</v>
      </c>
      <c r="P15" s="49" t="str">
        <f>IF(Triangulo1!Q27=0,"-",Triangulo1!Q27)</f>
        <v/>
      </c>
      <c r="Q15" s="49" t="str">
        <f>IF(Triangulo1!R27=0,"-",Triangulo1!R27)</f>
        <v/>
      </c>
      <c r="R15" s="49" t="str">
        <f>IF(Triangulo1!S27=0,"-",Triangulo1!S27)</f>
        <v/>
      </c>
      <c r="S15" s="49" t="str">
        <f>IF(Triangulo1!T27=0,"-",Triangulo1!T27)</f>
        <v/>
      </c>
      <c r="T15" s="49" t="str">
        <f>IF(Triangulo1!U27=0,"-",Triangulo1!U27)</f>
        <v/>
      </c>
      <c r="U15" s="49" t="str">
        <f>IF(Triangulo1!V27=0,"-",Triangulo1!V27)</f>
        <v/>
      </c>
      <c r="V15" s="49" t="str">
        <f>IF(Triangulo1!W27=0,"-",Triangulo1!W27)</f>
        <v/>
      </c>
      <c r="W15" s="49" t="str">
        <f>IF(Triangulo1!X27=0,"-",Triangulo1!X27)</f>
        <v/>
      </c>
      <c r="X15" s="49" t="str">
        <f>IF(Triangulo1!Y27=0,"-",Triangulo1!Y27)</f>
        <v/>
      </c>
      <c r="Y15" s="49" t="str">
        <f>IF(Triangulo1!Z27=0,"-",Triangulo1!Z27)</f>
        <v/>
      </c>
      <c r="Z15" s="49" t="str">
        <f>IF(Triangulo1!AA27=0,"-",Triangulo1!AA27)</f>
        <v/>
      </c>
      <c r="AA15" s="49" t="e">
        <f>#REF!</f>
        <v>#REF!</v>
      </c>
      <c r="AB15" s="45">
        <f>'[1]1_Triangulo'!P15</f>
        <v>51927991</v>
      </c>
      <c r="AC15" s="44" t="e">
        <f t="shared" si="0"/>
        <v>#REF!</v>
      </c>
    </row>
    <row r="16" spans="1:29" ht="15" customHeight="1" x14ac:dyDescent="0.25">
      <c r="A16" s="46" t="s">
        <v>109</v>
      </c>
      <c r="B16" s="47" t="s">
        <v>110</v>
      </c>
      <c r="C16" s="48"/>
      <c r="D16" s="48"/>
      <c r="E16" s="48"/>
      <c r="F16" s="48">
        <f>IF(Triangulo1!G28=0,"-",Triangulo1!G28)</f>
        <v>10805763</v>
      </c>
      <c r="G16" s="48">
        <f>IF(Triangulo1!H28=0,"-",Triangulo1!H28)</f>
        <v>13284336</v>
      </c>
      <c r="H16" s="48">
        <f>IF(Triangulo1!I28=0,"-",Triangulo1!I28)</f>
        <v>15384835</v>
      </c>
      <c r="I16" s="48">
        <f>IF(Triangulo1!J28=0,"-",Triangulo1!J28)</f>
        <v>17438864</v>
      </c>
      <c r="J16" s="48">
        <f>IF(Triangulo1!K28=0,"-",Triangulo1!K28)</f>
        <v>18514044</v>
      </c>
      <c r="K16" s="48">
        <f>IF(Triangulo1!L28=0,"-",Triangulo1!L28)</f>
        <v>19125680</v>
      </c>
      <c r="L16" s="48">
        <f>IF(Triangulo1!M28=0,"-",Triangulo1!M28)</f>
        <v>19431036</v>
      </c>
      <c r="M16" s="48">
        <f>IF(Triangulo1!N28=0,"-",Triangulo1!N28)</f>
        <v>19572822</v>
      </c>
      <c r="N16" s="43">
        <f>IF(Triangulo1!O28=0,"-",Triangulo1!O28)</f>
        <v>19627354</v>
      </c>
      <c r="O16" s="49" t="str">
        <f>IF(Triangulo1!P28=0,"-",Triangulo1!P28)</f>
        <v/>
      </c>
      <c r="P16" s="49" t="str">
        <f>IF(Triangulo1!Q28=0,"-",Triangulo1!Q28)</f>
        <v/>
      </c>
      <c r="Q16" s="49" t="str">
        <f>IF(Triangulo1!R28=0,"-",Triangulo1!R28)</f>
        <v/>
      </c>
      <c r="R16" s="49" t="str">
        <f>IF(Triangulo1!S28=0,"-",Triangulo1!S28)</f>
        <v/>
      </c>
      <c r="S16" s="49" t="str">
        <f>IF(Triangulo1!T28=0,"-",Triangulo1!T28)</f>
        <v/>
      </c>
      <c r="T16" s="49" t="str">
        <f>IF(Triangulo1!U28=0,"-",Triangulo1!U28)</f>
        <v/>
      </c>
      <c r="U16" s="49" t="str">
        <f>IF(Triangulo1!V28=0,"-",Triangulo1!V28)</f>
        <v/>
      </c>
      <c r="V16" s="49" t="str">
        <f>IF(Triangulo1!W28=0,"-",Triangulo1!W28)</f>
        <v/>
      </c>
      <c r="W16" s="49" t="str">
        <f>IF(Triangulo1!X28=0,"-",Triangulo1!X28)</f>
        <v/>
      </c>
      <c r="X16" s="49" t="str">
        <f>IF(Triangulo1!Y28=0,"-",Triangulo1!Y28)</f>
        <v/>
      </c>
      <c r="Y16" s="49" t="str">
        <f>IF(Triangulo1!Z28=0,"-",Triangulo1!Z28)</f>
        <v/>
      </c>
      <c r="Z16" s="49" t="str">
        <f>IF(Triangulo1!AA28=0,"-",Triangulo1!AA28)</f>
        <v/>
      </c>
      <c r="AA16" s="49" t="e">
        <f>#REF!</f>
        <v>#REF!</v>
      </c>
      <c r="AB16" s="45">
        <f>'[1]1_Triangulo'!O16</f>
        <v>51522184</v>
      </c>
      <c r="AC16" s="44" t="e">
        <f t="shared" si="0"/>
        <v>#REF!</v>
      </c>
    </row>
    <row r="17" spans="1:29" ht="15" customHeight="1" x14ac:dyDescent="0.25">
      <c r="A17" s="40" t="s">
        <v>111</v>
      </c>
      <c r="B17" s="41" t="s">
        <v>112</v>
      </c>
      <c r="C17" s="42"/>
      <c r="D17" s="42"/>
      <c r="E17" s="42">
        <f>IF(Triangulo1!F29=0,"-",Triangulo1!F29)</f>
        <v>7974797</v>
      </c>
      <c r="F17" s="42">
        <f>IF(Triangulo1!G29=0,"-",Triangulo1!G29)</f>
        <v>11597296</v>
      </c>
      <c r="G17" s="42">
        <f>IF(Triangulo1!H29=0,"-",Triangulo1!H29)</f>
        <v>14585912</v>
      </c>
      <c r="H17" s="42">
        <f>IF(Triangulo1!I29=0,"-",Triangulo1!I29)</f>
        <v>16285147</v>
      </c>
      <c r="I17" s="42">
        <f>IF(Triangulo1!J29=0,"-",Triangulo1!J29)</f>
        <v>18338971</v>
      </c>
      <c r="J17" s="42">
        <f>IF(Triangulo1!K29=0,"-",Triangulo1!K29)</f>
        <v>19214501</v>
      </c>
      <c r="K17" s="42">
        <f>IF(Triangulo1!L29=0,"-",Triangulo1!L29)</f>
        <v>19700684</v>
      </c>
      <c r="L17" s="42">
        <f>IF(Triangulo1!M29=0,"-",Triangulo1!M29)</f>
        <v>19926910</v>
      </c>
      <c r="M17" s="43">
        <f>IF(Triangulo1!N29=0,"-",Triangulo1!N29)</f>
        <v>20049671</v>
      </c>
      <c r="N17" s="49" t="str">
        <f>IF(Triangulo1!O29=0,"-",Triangulo1!O29)</f>
        <v/>
      </c>
      <c r="O17" s="49" t="str">
        <f>IF(Triangulo1!P29=0,"-",Triangulo1!P29)</f>
        <v/>
      </c>
      <c r="P17" s="49" t="str">
        <f>IF(Triangulo1!Q29=0,"-",Triangulo1!Q29)</f>
        <v/>
      </c>
      <c r="Q17" s="49" t="str">
        <f>IF(Triangulo1!R29=0,"-",Triangulo1!R29)</f>
        <v/>
      </c>
      <c r="R17" s="49" t="str">
        <f>IF(Triangulo1!S29=0,"-",Triangulo1!S29)</f>
        <v/>
      </c>
      <c r="S17" s="49" t="str">
        <f>IF(Triangulo1!T29=0,"-",Triangulo1!T29)</f>
        <v/>
      </c>
      <c r="T17" s="49" t="str">
        <f>IF(Triangulo1!U29=0,"-",Triangulo1!U29)</f>
        <v/>
      </c>
      <c r="U17" s="49" t="str">
        <f>IF(Triangulo1!V29=0,"-",Triangulo1!V29)</f>
        <v/>
      </c>
      <c r="V17" s="49" t="str">
        <f>IF(Triangulo1!W29=0,"-",Triangulo1!W29)</f>
        <v/>
      </c>
      <c r="W17" s="49" t="str">
        <f>IF(Triangulo1!X29=0,"-",Triangulo1!X29)</f>
        <v/>
      </c>
      <c r="X17" s="49" t="str">
        <f>IF(Triangulo1!Y29=0,"-",Triangulo1!Y29)</f>
        <v/>
      </c>
      <c r="Y17" s="49" t="str">
        <f>IF(Triangulo1!Z29=0,"-",Triangulo1!Z29)</f>
        <v/>
      </c>
      <c r="Z17" s="49" t="str">
        <f>IF(Triangulo1!AA29=0,"-",Triangulo1!AA29)</f>
        <v/>
      </c>
      <c r="AA17" s="49" t="e">
        <f>#REF!</f>
        <v>#REF!</v>
      </c>
      <c r="AB17" s="45">
        <f>'[1]1_Triangulo'!N17</f>
        <v>51401276</v>
      </c>
      <c r="AC17" s="44" t="e">
        <f t="shared" si="0"/>
        <v>#REF!</v>
      </c>
    </row>
    <row r="18" spans="1:29" ht="15" customHeight="1" x14ac:dyDescent="0.25">
      <c r="A18" s="46" t="s">
        <v>113</v>
      </c>
      <c r="B18" s="47" t="s">
        <v>114</v>
      </c>
      <c r="C18" s="48"/>
      <c r="D18" s="48">
        <f>IF(Triangulo1!E30=0,"-",Triangulo1!E30)</f>
        <v>4773306</v>
      </c>
      <c r="E18" s="48">
        <f>IF(Triangulo1!F30=0,"-",Triangulo1!F30)</f>
        <v>8697825</v>
      </c>
      <c r="F18" s="48">
        <f>IF(Triangulo1!G30=0,"-",Triangulo1!G30)</f>
        <v>12220494</v>
      </c>
      <c r="G18" s="48">
        <f>IF(Triangulo1!H30=0,"-",Triangulo1!H30)</f>
        <v>14462971</v>
      </c>
      <c r="H18" s="48">
        <f>IF(Triangulo1!I30=0,"-",Triangulo1!I30)</f>
        <v>16656668</v>
      </c>
      <c r="I18" s="48">
        <f>IF(Triangulo1!J30=0,"-",Triangulo1!J30)</f>
        <v>19017438</v>
      </c>
      <c r="J18" s="48">
        <f>IF(Triangulo1!K30=0,"-",Triangulo1!K30)</f>
        <v>19939378</v>
      </c>
      <c r="K18" s="48">
        <f>IF(Triangulo1!L30=0,"-",Triangulo1!L30)</f>
        <v>20384099</v>
      </c>
      <c r="L18" s="43">
        <f>IF(Triangulo1!M30=0,"-",Triangulo1!M30)</f>
        <v>20688336</v>
      </c>
      <c r="M18" s="49" t="str">
        <f>IF(Triangulo1!N30=0,"-",Triangulo1!N30)</f>
        <v/>
      </c>
      <c r="N18" s="49" t="str">
        <f>IF(Triangulo1!O30=0,"-",Triangulo1!O30)</f>
        <v/>
      </c>
      <c r="O18" s="49" t="str">
        <f>IF(Triangulo1!P30=0,"-",Triangulo1!P30)</f>
        <v/>
      </c>
      <c r="P18" s="49" t="str">
        <f>IF(Triangulo1!Q30=0,"-",Triangulo1!Q30)</f>
        <v/>
      </c>
      <c r="Q18" s="49" t="str">
        <f>IF(Triangulo1!R30=0,"-",Triangulo1!R30)</f>
        <v/>
      </c>
      <c r="R18" s="49" t="str">
        <f>IF(Triangulo1!S30=0,"-",Triangulo1!S30)</f>
        <v/>
      </c>
      <c r="S18" s="49" t="str">
        <f>IF(Triangulo1!T30=0,"-",Triangulo1!T30)</f>
        <v/>
      </c>
      <c r="T18" s="49" t="str">
        <f>IF(Triangulo1!U30=0,"-",Triangulo1!U30)</f>
        <v/>
      </c>
      <c r="U18" s="49" t="str">
        <f>IF(Triangulo1!V30=0,"-",Triangulo1!V30)</f>
        <v/>
      </c>
      <c r="V18" s="49" t="str">
        <f>IF(Triangulo1!W30=0,"-",Triangulo1!W30)</f>
        <v/>
      </c>
      <c r="W18" s="49" t="str">
        <f>IF(Triangulo1!X30=0,"-",Triangulo1!X30)</f>
        <v/>
      </c>
      <c r="X18" s="49" t="str">
        <f>IF(Triangulo1!Y30=0,"-",Triangulo1!Y30)</f>
        <v/>
      </c>
      <c r="Y18" s="49" t="str">
        <f>IF(Triangulo1!Z30=0,"-",Triangulo1!Z30)</f>
        <v/>
      </c>
      <c r="Z18" s="49" t="str">
        <f>IF(Triangulo1!AA30=0,"-",Triangulo1!AA30)</f>
        <v/>
      </c>
      <c r="AA18" s="49" t="e">
        <f>#REF!</f>
        <v>#REF!</v>
      </c>
      <c r="AB18" s="45">
        <f>'[1]1_Triangulo'!M18</f>
        <v>49785597</v>
      </c>
      <c r="AC18" s="44" t="e">
        <f t="shared" si="0"/>
        <v>#REF!</v>
      </c>
    </row>
    <row r="19" spans="1:29" ht="15" customHeight="1" x14ac:dyDescent="0.25">
      <c r="A19" s="40" t="s">
        <v>115</v>
      </c>
      <c r="B19" s="41" t="s">
        <v>116</v>
      </c>
      <c r="C19" s="42">
        <f>IF(Triangulo1!D31=0,"-",Triangulo1!D31)</f>
        <v>5498188</v>
      </c>
      <c r="D19" s="42">
        <f>IF(Triangulo1!E31=0,"-",Triangulo1!E31)</f>
        <v>10669557</v>
      </c>
      <c r="E19" s="42">
        <f>IF(Triangulo1!F31=0,"-",Triangulo1!F31)</f>
        <v>14420577</v>
      </c>
      <c r="F19" s="42">
        <f>IF(Triangulo1!G31=0,"-",Triangulo1!G31)</f>
        <v>17838126</v>
      </c>
      <c r="G19" s="42">
        <f>IF(Triangulo1!H31=0,"-",Triangulo1!H31)</f>
        <v>20243242</v>
      </c>
      <c r="H19" s="42">
        <f>IF(Triangulo1!I31=0,"-",Triangulo1!I31)</f>
        <v>22179116</v>
      </c>
      <c r="I19" s="42">
        <f>IF(Triangulo1!J31=0,"-",Triangulo1!J31)</f>
        <v>24155749</v>
      </c>
      <c r="J19" s="42">
        <f>IF(Triangulo1!K31=0,"-",Triangulo1!K31)</f>
        <v>25145296</v>
      </c>
      <c r="K19" s="43">
        <f>IF(Triangulo1!L31=0,"-",Triangulo1!L31)</f>
        <v>25647723</v>
      </c>
      <c r="L19" s="49" t="str">
        <f>IF(Triangulo1!M31=0,"-",Triangulo1!M31)</f>
        <v/>
      </c>
      <c r="M19" s="49" t="str">
        <f>IF(Triangulo1!N31=0,"-",Triangulo1!N31)</f>
        <v/>
      </c>
      <c r="N19" s="49" t="str">
        <f>IF(Triangulo1!O31=0,"-",Triangulo1!O31)</f>
        <v/>
      </c>
      <c r="O19" s="49" t="str">
        <f>IF(Triangulo1!P31=0,"-",Triangulo1!P31)</f>
        <v/>
      </c>
      <c r="P19" s="49" t="str">
        <f>IF(Triangulo1!Q31=0,"-",Triangulo1!Q31)</f>
        <v/>
      </c>
      <c r="Q19" s="49" t="str">
        <f>IF(Triangulo1!R31=0,"-",Triangulo1!R31)</f>
        <v/>
      </c>
      <c r="R19" s="49" t="str">
        <f>IF(Triangulo1!S31=0,"-",Triangulo1!S31)</f>
        <v/>
      </c>
      <c r="S19" s="49" t="str">
        <f>IF(Triangulo1!T31=0,"-",Triangulo1!T31)</f>
        <v/>
      </c>
      <c r="T19" s="49" t="str">
        <f>IF(Triangulo1!U31=0,"-",Triangulo1!U31)</f>
        <v/>
      </c>
      <c r="U19" s="49" t="str">
        <f>IF(Triangulo1!V31=0,"-",Triangulo1!V31)</f>
        <v/>
      </c>
      <c r="V19" s="49" t="str">
        <f>IF(Triangulo1!W31=0,"-",Triangulo1!W31)</f>
        <v/>
      </c>
      <c r="W19" s="49" t="str">
        <f>IF(Triangulo1!X31=0,"-",Triangulo1!X31)</f>
        <v/>
      </c>
      <c r="X19" s="49" t="str">
        <f>IF(Triangulo1!Y31=0,"-",Triangulo1!Y31)</f>
        <v/>
      </c>
      <c r="Y19" s="49" t="str">
        <f>IF(Triangulo1!Z31=0,"-",Triangulo1!Z31)</f>
        <v/>
      </c>
      <c r="Z19" s="49" t="str">
        <f>IF(Triangulo1!AA31=0,"-",Triangulo1!AA31)</f>
        <v/>
      </c>
      <c r="AA19" s="49" t="e">
        <f>#REF!</f>
        <v>#REF!</v>
      </c>
      <c r="AB19" s="45">
        <f>'[1]1_Triangulo'!L19</f>
        <v>46502204.25</v>
      </c>
      <c r="AC19" s="44" t="e">
        <f t="shared" si="0"/>
        <v>#REF!</v>
      </c>
    </row>
    <row r="20" spans="1:29" ht="15" customHeight="1" x14ac:dyDescent="0.25">
      <c r="A20" s="46" t="s">
        <v>117</v>
      </c>
      <c r="B20" s="47" t="s">
        <v>118</v>
      </c>
      <c r="C20" s="48">
        <f>IF(Triangulo1!D32=0,"-",Triangulo1!D32)</f>
        <v>6382667</v>
      </c>
      <c r="D20" s="48">
        <f>IF(Triangulo1!E32=0,"-",Triangulo1!E32)</f>
        <v>10460689</v>
      </c>
      <c r="E20" s="48">
        <f>IF(Triangulo1!F32=0,"-",Triangulo1!F32)</f>
        <v>15242265</v>
      </c>
      <c r="F20" s="48">
        <f>IF(Triangulo1!G32=0,"-",Triangulo1!G32)</f>
        <v>19075882</v>
      </c>
      <c r="G20" s="48">
        <f>IF(Triangulo1!H32=0,"-",Triangulo1!H32)</f>
        <v>21908553</v>
      </c>
      <c r="H20" s="48">
        <f>IF(Triangulo1!I32=0,"-",Triangulo1!I32)</f>
        <v>23938666</v>
      </c>
      <c r="I20" s="48">
        <f>IF(Triangulo1!J32=0,"-",Triangulo1!J32)</f>
        <v>25653115</v>
      </c>
      <c r="J20" s="43">
        <f>IF(Triangulo1!K32=0,"-",Triangulo1!K32)</f>
        <v>26811464</v>
      </c>
      <c r="K20" s="49" t="str">
        <f>IF(Triangulo1!L32=0,"-",Triangulo1!L32)</f>
        <v/>
      </c>
      <c r="L20" s="49" t="str">
        <f>IF(Triangulo1!M32=0,"-",Triangulo1!M32)</f>
        <v/>
      </c>
      <c r="M20" s="49" t="str">
        <f>IF(Triangulo1!N32=0,"-",Triangulo1!N32)</f>
        <v/>
      </c>
      <c r="N20" s="49" t="str">
        <f>IF(Triangulo1!O32=0,"-",Triangulo1!O32)</f>
        <v/>
      </c>
      <c r="O20" s="49" t="str">
        <f>IF(Triangulo1!P32=0,"-",Triangulo1!P32)</f>
        <v/>
      </c>
      <c r="P20" s="49" t="str">
        <f>IF(Triangulo1!Q32=0,"-",Triangulo1!Q32)</f>
        <v/>
      </c>
      <c r="Q20" s="49" t="str">
        <f>IF(Triangulo1!R32=0,"-",Triangulo1!R32)</f>
        <v/>
      </c>
      <c r="R20" s="49" t="str">
        <f>IF(Triangulo1!S32=0,"-",Triangulo1!S32)</f>
        <v/>
      </c>
      <c r="S20" s="49" t="str">
        <f>IF(Triangulo1!T32=0,"-",Triangulo1!T32)</f>
        <v/>
      </c>
      <c r="T20" s="49" t="str">
        <f>IF(Triangulo1!U32=0,"-",Triangulo1!U32)</f>
        <v/>
      </c>
      <c r="U20" s="49" t="str">
        <f>IF(Triangulo1!V32=0,"-",Triangulo1!V32)</f>
        <v/>
      </c>
      <c r="V20" s="49" t="str">
        <f>IF(Triangulo1!W32=0,"-",Triangulo1!W32)</f>
        <v/>
      </c>
      <c r="W20" s="49" t="str">
        <f>IF(Triangulo1!X32=0,"-",Triangulo1!X32)</f>
        <v/>
      </c>
      <c r="X20" s="49" t="str">
        <f>IF(Triangulo1!Y32=0,"-",Triangulo1!Y32)</f>
        <v/>
      </c>
      <c r="Y20" s="49" t="str">
        <f>IF(Triangulo1!Z32=0,"-",Triangulo1!Z32)</f>
        <v/>
      </c>
      <c r="Z20" s="49" t="str">
        <f>IF(Triangulo1!AA32=0,"-",Triangulo1!AA32)</f>
        <v/>
      </c>
      <c r="AA20" s="49" t="e">
        <f>#REF!</f>
        <v>#REF!</v>
      </c>
      <c r="AB20" s="45">
        <f>'[1]1_Triangulo'!K20</f>
        <v>46743977</v>
      </c>
      <c r="AC20" s="44" t="e">
        <f t="shared" si="0"/>
        <v>#REF!</v>
      </c>
    </row>
    <row r="21" spans="1:29" ht="15" customHeight="1" x14ac:dyDescent="0.25">
      <c r="A21" s="40" t="s">
        <v>119</v>
      </c>
      <c r="B21" s="41" t="s">
        <v>120</v>
      </c>
      <c r="C21" s="42">
        <f>IF(Triangulo1!D33=0,"-",Triangulo1!D33)</f>
        <v>3022770</v>
      </c>
      <c r="D21" s="42">
        <f>IF(Triangulo1!E33=0,"-",Triangulo1!E33)</f>
        <v>7899209</v>
      </c>
      <c r="E21" s="42">
        <f>IF(Triangulo1!F33=0,"-",Triangulo1!F33)</f>
        <v>11259161</v>
      </c>
      <c r="F21" s="42">
        <f>IF(Triangulo1!G33=0,"-",Triangulo1!G33)</f>
        <v>14497513</v>
      </c>
      <c r="G21" s="42">
        <f>IF(Triangulo1!H33=0,"-",Triangulo1!H33)</f>
        <v>17221120</v>
      </c>
      <c r="H21" s="42">
        <f>IF(Triangulo1!I33=0,"-",Triangulo1!I33)</f>
        <v>19234288</v>
      </c>
      <c r="I21" s="43">
        <f>IF(Triangulo1!J33=0,"-",Triangulo1!J33)</f>
        <v>21399003</v>
      </c>
      <c r="J21" s="49" t="str">
        <f>IF(Triangulo1!K33=0,"-",Triangulo1!K33)</f>
        <v/>
      </c>
      <c r="K21" s="49" t="str">
        <f>IF(Triangulo1!L33=0,"-",Triangulo1!L33)</f>
        <v/>
      </c>
      <c r="L21" s="49" t="str">
        <f>IF(Triangulo1!M33=0,"-",Triangulo1!M33)</f>
        <v/>
      </c>
      <c r="M21" s="49" t="str">
        <f>IF(Triangulo1!N33=0,"-",Triangulo1!N33)</f>
        <v/>
      </c>
      <c r="N21" s="49" t="str">
        <f>IF(Triangulo1!O33=0,"-",Triangulo1!O33)</f>
        <v/>
      </c>
      <c r="O21" s="49" t="str">
        <f>IF(Triangulo1!P33=0,"-",Triangulo1!P33)</f>
        <v/>
      </c>
      <c r="P21" s="49" t="str">
        <f>IF(Triangulo1!Q33=0,"-",Triangulo1!Q33)</f>
        <v/>
      </c>
      <c r="Q21" s="49" t="str">
        <f>IF(Triangulo1!R33=0,"-",Triangulo1!R33)</f>
        <v/>
      </c>
      <c r="R21" s="49" t="str">
        <f>IF(Triangulo1!S33=0,"-",Triangulo1!S33)</f>
        <v/>
      </c>
      <c r="S21" s="49" t="str">
        <f>IF(Triangulo1!T33=0,"-",Triangulo1!T33)</f>
        <v/>
      </c>
      <c r="T21" s="49" t="str">
        <f>IF(Triangulo1!U33=0,"-",Triangulo1!U33)</f>
        <v/>
      </c>
      <c r="U21" s="49" t="str">
        <f>IF(Triangulo1!V33=0,"-",Triangulo1!V33)</f>
        <v/>
      </c>
      <c r="V21" s="49" t="str">
        <f>IF(Triangulo1!W33=0,"-",Triangulo1!W33)</f>
        <v/>
      </c>
      <c r="W21" s="49" t="str">
        <f>IF(Triangulo1!X33=0,"-",Triangulo1!X33)</f>
        <v/>
      </c>
      <c r="X21" s="49" t="str">
        <f>IF(Triangulo1!Y33=0,"-",Triangulo1!Y33)</f>
        <v/>
      </c>
      <c r="Y21" s="49" t="str">
        <f>IF(Triangulo1!Z33=0,"-",Triangulo1!Z33)</f>
        <v/>
      </c>
      <c r="Z21" s="49" t="str">
        <f>IF(Triangulo1!AA33=0,"-",Triangulo1!AA33)</f>
        <v/>
      </c>
      <c r="AA21" s="49" t="e">
        <f>#REF!</f>
        <v>#REF!</v>
      </c>
      <c r="AB21" s="45">
        <f>'[1]1_Triangulo'!J21</f>
        <v>45510753</v>
      </c>
      <c r="AC21" s="44" t="e">
        <f t="shared" si="0"/>
        <v>#REF!</v>
      </c>
    </row>
    <row r="22" spans="1:29" ht="15" customHeight="1" x14ac:dyDescent="0.25">
      <c r="A22" s="46" t="s">
        <v>121</v>
      </c>
      <c r="B22" s="47" t="s">
        <v>122</v>
      </c>
      <c r="C22" s="48">
        <f>IF(Triangulo1!D34=0,"-",Triangulo1!D34)</f>
        <v>6936281</v>
      </c>
      <c r="D22" s="48">
        <f>IF(Triangulo1!E34=0,"-",Triangulo1!E34)</f>
        <v>21936281</v>
      </c>
      <c r="E22" s="48">
        <f>IF(Triangulo1!F34=0,"-",Triangulo1!F34)</f>
        <v>25150070</v>
      </c>
      <c r="F22" s="48">
        <f>IF(Triangulo1!G34=0,"-",Triangulo1!G34)</f>
        <v>28898330</v>
      </c>
      <c r="G22" s="48">
        <f>IF(Triangulo1!H34=0,"-",Triangulo1!H34)</f>
        <v>31903741</v>
      </c>
      <c r="H22" s="43">
        <f>IF(Triangulo1!I34=0,"-",Triangulo1!I34)</f>
        <v>33589263</v>
      </c>
      <c r="I22" s="49">
        <f>H30*H22</f>
        <v>37356679.454397894</v>
      </c>
      <c r="J22" s="49">
        <f t="shared" ref="J22:Z22" si="1">I30*I22</f>
        <v>39465160.685058191</v>
      </c>
      <c r="K22" s="49">
        <f t="shared" si="1"/>
        <v>40594112.353058383</v>
      </c>
      <c r="L22" s="49">
        <f t="shared" si="1"/>
        <v>41226819.699515387</v>
      </c>
      <c r="M22" s="49">
        <f t="shared" si="1"/>
        <v>41560720.50415685</v>
      </c>
      <c r="N22" s="49">
        <f t="shared" si="1"/>
        <v>41721215.393817045</v>
      </c>
      <c r="O22" s="49">
        <f t="shared" si="1"/>
        <v>41815191.552274697</v>
      </c>
      <c r="P22" s="49">
        <f t="shared" si="1"/>
        <v>41862697.521134287</v>
      </c>
      <c r="Q22" s="49">
        <f t="shared" si="1"/>
        <v>41887355.943913206</v>
      </c>
      <c r="R22" s="49">
        <f t="shared" si="1"/>
        <v>41900241.096878216</v>
      </c>
      <c r="S22" s="49">
        <f t="shared" si="1"/>
        <v>41906108.213005148</v>
      </c>
      <c r="T22" s="49">
        <f t="shared" si="1"/>
        <v>41908996.630991809</v>
      </c>
      <c r="U22" s="49">
        <f t="shared" si="1"/>
        <v>41910363.586075671</v>
      </c>
      <c r="V22" s="49">
        <f t="shared" si="1"/>
        <v>41910770.390070342</v>
      </c>
      <c r="W22" s="49">
        <f t="shared" si="1"/>
        <v>41910897.165892348</v>
      </c>
      <c r="X22" s="49">
        <f t="shared" si="1"/>
        <v>41910945.369388238</v>
      </c>
      <c r="Y22" s="49">
        <f t="shared" si="1"/>
        <v>41910969.900889516</v>
      </c>
      <c r="Z22" s="49">
        <f t="shared" si="1"/>
        <v>41911015.439681679</v>
      </c>
      <c r="AA22" s="49" t="e">
        <f>#REF!</f>
        <v>#REF!</v>
      </c>
      <c r="AB22" s="45">
        <f>'[1]1_Triangulo'!I22</f>
        <v>40828576</v>
      </c>
      <c r="AC22" s="44" t="e">
        <f t="shared" si="0"/>
        <v>#REF!</v>
      </c>
    </row>
    <row r="23" spans="1:29" ht="15" customHeight="1" x14ac:dyDescent="0.25">
      <c r="A23" s="40" t="s">
        <v>123</v>
      </c>
      <c r="B23" s="41" t="s">
        <v>124</v>
      </c>
      <c r="C23" s="42">
        <f>IF(Triangulo1!D35=0,"-",Triangulo1!D35)</f>
        <v>6691248</v>
      </c>
      <c r="D23" s="42">
        <f>IF(Triangulo1!E35=0,"-",Triangulo1!E35)</f>
        <v>11756013</v>
      </c>
      <c r="E23" s="42">
        <f>IF(Triangulo1!F35=0,"-",Triangulo1!F35)</f>
        <v>15391294</v>
      </c>
      <c r="F23" s="42">
        <f>IF(Triangulo1!G35=0,"-",Triangulo1!G35)</f>
        <v>18736499</v>
      </c>
      <c r="G23" s="43">
        <f>IF(Triangulo1!H35=0,"-",Triangulo1!H35)</f>
        <v>21705785</v>
      </c>
      <c r="H23" s="49">
        <f>G30*G23</f>
        <v>23968066.776447374</v>
      </c>
      <c r="I23" s="49">
        <f t="shared" ref="I23:Z23" si="2">H30*H23</f>
        <v>26656357.054018971</v>
      </c>
      <c r="J23" s="49">
        <f t="shared" si="2"/>
        <v>28160891.968445402</v>
      </c>
      <c r="K23" s="49">
        <f t="shared" si="2"/>
        <v>28966470.494119227</v>
      </c>
      <c r="L23" s="49">
        <f t="shared" si="2"/>
        <v>29417947.263044771</v>
      </c>
      <c r="M23" s="49">
        <f t="shared" si="2"/>
        <v>29656206.637248848</v>
      </c>
      <c r="N23" s="49">
        <f t="shared" si="2"/>
        <v>29770729.907159656</v>
      </c>
      <c r="O23" s="49">
        <f t="shared" si="2"/>
        <v>29837787.848898571</v>
      </c>
      <c r="P23" s="49">
        <f t="shared" si="2"/>
        <v>29871686.366823971</v>
      </c>
      <c r="Q23" s="49">
        <f t="shared" si="2"/>
        <v>29889281.713401448</v>
      </c>
      <c r="R23" s="49">
        <f t="shared" si="2"/>
        <v>29898476.086219039</v>
      </c>
      <c r="S23" s="49">
        <f t="shared" si="2"/>
        <v>29902662.645213068</v>
      </c>
      <c r="T23" s="49">
        <f t="shared" si="2"/>
        <v>29904723.714406002</v>
      </c>
      <c r="U23" s="49">
        <f t="shared" si="2"/>
        <v>29905699.123444613</v>
      </c>
      <c r="V23" s="49">
        <f t="shared" si="2"/>
        <v>29905989.403862771</v>
      </c>
      <c r="W23" s="49">
        <f t="shared" si="2"/>
        <v>29906079.866442062</v>
      </c>
      <c r="X23" s="49">
        <f t="shared" si="2"/>
        <v>29906114.262689706</v>
      </c>
      <c r="Y23" s="49">
        <f t="shared" si="2"/>
        <v>29906131.767469756</v>
      </c>
      <c r="Z23" s="49">
        <f t="shared" si="2"/>
        <v>29906164.262282506</v>
      </c>
      <c r="AA23" s="49" t="e">
        <f>#REF!</f>
        <v>#REF!</v>
      </c>
      <c r="AB23" s="45">
        <f>'[1]1_Triangulo'!H23</f>
        <v>35649464</v>
      </c>
      <c r="AC23" s="44" t="e">
        <f t="shared" si="0"/>
        <v>#REF!</v>
      </c>
    </row>
    <row r="24" spans="1:29" ht="15" customHeight="1" x14ac:dyDescent="0.25">
      <c r="A24" s="46" t="s">
        <v>125</v>
      </c>
      <c r="B24" s="47" t="s">
        <v>126</v>
      </c>
      <c r="C24" s="48">
        <f>IF(Triangulo1!D36=0,"-",Triangulo1!D36)</f>
        <v>4191817</v>
      </c>
      <c r="D24" s="48">
        <f>IF(Triangulo1!E36=0,"-",Triangulo1!E36)</f>
        <v>9775450</v>
      </c>
      <c r="E24" s="48">
        <f>IF(Triangulo1!F36=0,"-",Triangulo1!F36)</f>
        <v>14374440</v>
      </c>
      <c r="F24" s="43">
        <f>IF(Triangulo1!G36=0,"-",Triangulo1!G36)</f>
        <v>17306094</v>
      </c>
      <c r="G24" s="49">
        <f>F30*F24</f>
        <v>20108546.137211155</v>
      </c>
      <c r="H24" s="49">
        <f t="shared" ref="H24:Z24" si="3">G30*G24</f>
        <v>22204355.962889612</v>
      </c>
      <c r="I24" s="49">
        <f t="shared" si="3"/>
        <v>24694826.087640438</v>
      </c>
      <c r="J24" s="49">
        <f t="shared" si="3"/>
        <v>26088648.506032076</v>
      </c>
      <c r="K24" s="49">
        <f t="shared" si="3"/>
        <v>26834947.842852127</v>
      </c>
      <c r="L24" s="49">
        <f t="shared" si="3"/>
        <v>27253202.305329219</v>
      </c>
      <c r="M24" s="49">
        <f t="shared" si="3"/>
        <v>27473929.158507105</v>
      </c>
      <c r="N24" s="49">
        <f t="shared" si="3"/>
        <v>27580025.13507675</v>
      </c>
      <c r="O24" s="49">
        <f t="shared" si="3"/>
        <v>27642148.560482621</v>
      </c>
      <c r="P24" s="49">
        <f t="shared" si="3"/>
        <v>27673552.626803465</v>
      </c>
      <c r="Q24" s="49">
        <f t="shared" si="3"/>
        <v>27689853.204665698</v>
      </c>
      <c r="R24" s="49">
        <f t="shared" si="3"/>
        <v>27698371.001649555</v>
      </c>
      <c r="S24" s="49">
        <f t="shared" si="3"/>
        <v>27702249.489098296</v>
      </c>
      <c r="T24" s="49">
        <f t="shared" si="3"/>
        <v>27704158.89274152</v>
      </c>
      <c r="U24" s="49">
        <f t="shared" si="3"/>
        <v>27705062.525466874</v>
      </c>
      <c r="V24" s="49">
        <f t="shared" si="3"/>
        <v>27705331.445350733</v>
      </c>
      <c r="W24" s="49">
        <f t="shared" si="3"/>
        <v>27705415.251163304</v>
      </c>
      <c r="X24" s="49">
        <f t="shared" si="3"/>
        <v>27705447.116333473</v>
      </c>
      <c r="Y24" s="49">
        <f t="shared" si="3"/>
        <v>27705463.333009224</v>
      </c>
      <c r="Z24" s="49">
        <f t="shared" si="3"/>
        <v>27705493.436663222</v>
      </c>
      <c r="AA24" s="49" t="e">
        <f>#REF!</f>
        <v>#REF!</v>
      </c>
      <c r="AB24" s="45">
        <f>'[1]1_Triangulo'!G24</f>
        <v>31915838</v>
      </c>
      <c r="AC24" s="44" t="e">
        <f t="shared" si="0"/>
        <v>#REF!</v>
      </c>
    </row>
    <row r="25" spans="1:29" ht="15" customHeight="1" x14ac:dyDescent="0.25">
      <c r="A25" s="40" t="s">
        <v>127</v>
      </c>
      <c r="B25" s="41" t="s">
        <v>128</v>
      </c>
      <c r="C25" s="42">
        <f>IF(Triangulo1!D37=0,"-",Triangulo1!D37)</f>
        <v>5916671</v>
      </c>
      <c r="D25" s="42">
        <f>IF(Triangulo1!E37=0,"-",Triangulo1!E37)</f>
        <v>11716355</v>
      </c>
      <c r="E25" s="43">
        <f>IF(Triangulo1!F37=0,"-",Triangulo1!F37)</f>
        <v>15374462</v>
      </c>
      <c r="F25" s="49">
        <f>E25*E30</f>
        <v>19154152.688939691</v>
      </c>
      <c r="G25" s="49">
        <f t="shared" ref="G25:Z25" si="4">F25*F30</f>
        <v>22255869.12128935</v>
      </c>
      <c r="H25" s="49">
        <f t="shared" si="4"/>
        <v>24575483.322392453</v>
      </c>
      <c r="I25" s="49">
        <f t="shared" si="4"/>
        <v>27331902.248391584</v>
      </c>
      <c r="J25" s="49">
        <f t="shared" si="4"/>
        <v>28874566.203824893</v>
      </c>
      <c r="K25" s="49">
        <f t="shared" si="4"/>
        <v>29700560.298685681</v>
      </c>
      <c r="L25" s="49">
        <f t="shared" si="4"/>
        <v>30163478.727137335</v>
      </c>
      <c r="M25" s="49">
        <f t="shared" si="4"/>
        <v>30407776.247324061</v>
      </c>
      <c r="N25" s="49">
        <f t="shared" si="4"/>
        <v>30525201.850981198</v>
      </c>
      <c r="O25" s="49">
        <f t="shared" si="4"/>
        <v>30593959.224874116</v>
      </c>
      <c r="P25" s="49">
        <f t="shared" si="4"/>
        <v>30628716.824212421</v>
      </c>
      <c r="Q25" s="49">
        <f t="shared" si="4"/>
        <v>30646758.085128438</v>
      </c>
      <c r="R25" s="49">
        <f t="shared" si="4"/>
        <v>30656185.468569335</v>
      </c>
      <c r="S25" s="49">
        <f t="shared" si="4"/>
        <v>30660478.126450155</v>
      </c>
      <c r="T25" s="49">
        <f t="shared" si="4"/>
        <v>30662591.428789042</v>
      </c>
      <c r="U25" s="49">
        <f t="shared" si="4"/>
        <v>30663591.557367805</v>
      </c>
      <c r="V25" s="49">
        <f t="shared" si="4"/>
        <v>30663889.19428787</v>
      </c>
      <c r="W25" s="49">
        <f t="shared" si="4"/>
        <v>30663981.949437018</v>
      </c>
      <c r="X25" s="49">
        <f t="shared" si="4"/>
        <v>30664017.217379909</v>
      </c>
      <c r="Y25" s="49">
        <f t="shared" si="4"/>
        <v>30664035.165779091</v>
      </c>
      <c r="Z25" s="49">
        <f t="shared" si="4"/>
        <v>30664068.484099515</v>
      </c>
      <c r="AA25" s="49" t="e">
        <f>#REF!</f>
        <v>#REF!</v>
      </c>
      <c r="AB25" s="45">
        <f>'[1]1_Triangulo'!F25</f>
        <v>26324052</v>
      </c>
      <c r="AC25" s="44" t="e">
        <f t="shared" si="0"/>
        <v>#REF!</v>
      </c>
    </row>
    <row r="26" spans="1:29" ht="15" customHeight="1" x14ac:dyDescent="0.25">
      <c r="A26" s="46" t="s">
        <v>129</v>
      </c>
      <c r="B26" s="47" t="s">
        <v>130</v>
      </c>
      <c r="C26" s="48">
        <f>IF(Triangulo1!D38=0,"-",Triangulo1!D38)</f>
        <v>4926500</v>
      </c>
      <c r="D26" s="43">
        <f>IF(Triangulo1!E38=0,"-",Triangulo1!E38)</f>
        <v>9321834</v>
      </c>
      <c r="E26" s="49">
        <f>D26*D30</f>
        <v>12561202.757265465</v>
      </c>
      <c r="F26" s="49">
        <f t="shared" ref="F26:Z26" si="5">E26*E30</f>
        <v>15649275.764536865</v>
      </c>
      <c r="G26" s="49">
        <f t="shared" si="5"/>
        <v>18183432.016787261</v>
      </c>
      <c r="H26" s="49">
        <f t="shared" si="5"/>
        <v>20078597.148333877</v>
      </c>
      <c r="I26" s="49">
        <f t="shared" si="5"/>
        <v>22330639.334489007</v>
      </c>
      <c r="J26" s="49">
        <f t="shared" si="5"/>
        <v>23591022.607121434</v>
      </c>
      <c r="K26" s="49">
        <f t="shared" si="5"/>
        <v>24265874.143510174</v>
      </c>
      <c r="L26" s="49">
        <f t="shared" si="5"/>
        <v>24644086.547941361</v>
      </c>
      <c r="M26" s="49">
        <f t="shared" si="5"/>
        <v>24843681.869336192</v>
      </c>
      <c r="N26" s="49">
        <f t="shared" si="5"/>
        <v>24939620.629107531</v>
      </c>
      <c r="O26" s="49">
        <f t="shared" si="5"/>
        <v>24995796.599006582</v>
      </c>
      <c r="P26" s="49">
        <f t="shared" si="5"/>
        <v>25024194.161968086</v>
      </c>
      <c r="Q26" s="49">
        <f t="shared" si="5"/>
        <v>25038934.185805202</v>
      </c>
      <c r="R26" s="49">
        <f t="shared" si="5"/>
        <v>25046636.521982662</v>
      </c>
      <c r="S26" s="49">
        <f t="shared" si="5"/>
        <v>25050143.698104244</v>
      </c>
      <c r="T26" s="49">
        <f t="shared" si="5"/>
        <v>25051870.30285738</v>
      </c>
      <c r="U26" s="49">
        <f t="shared" si="5"/>
        <v>25052687.425294653</v>
      </c>
      <c r="V26" s="49">
        <f t="shared" si="5"/>
        <v>25052930.599833116</v>
      </c>
      <c r="W26" s="49">
        <f t="shared" si="5"/>
        <v>25053006.382402629</v>
      </c>
      <c r="X26" s="49">
        <f t="shared" si="5"/>
        <v>25053035.196925145</v>
      </c>
      <c r="Y26" s="49">
        <f t="shared" si="5"/>
        <v>25053049.861079331</v>
      </c>
      <c r="Z26" s="49">
        <f t="shared" si="5"/>
        <v>25053077.082726397</v>
      </c>
      <c r="AA26" s="49" t="e">
        <f>#REF!</f>
        <v>#REF!</v>
      </c>
      <c r="AB26" s="45">
        <f>'[1]1_Triangulo'!E26</f>
        <v>22079496</v>
      </c>
      <c r="AC26" s="44" t="e">
        <f t="shared" si="0"/>
        <v>#REF!</v>
      </c>
    </row>
    <row r="27" spans="1:29" ht="15" customHeight="1" x14ac:dyDescent="0.25">
      <c r="A27" s="40" t="s">
        <v>131</v>
      </c>
      <c r="B27" s="41" t="s">
        <v>132</v>
      </c>
      <c r="C27" s="59">
        <f>IF(Triangulo1!D39=0,"-",Triangulo1!D39)</f>
        <v>5149958</v>
      </c>
      <c r="D27" s="60">
        <f>C27*C30</f>
        <v>11056827.563792637</v>
      </c>
      <c r="E27" s="60">
        <f t="shared" ref="E27:Z27" si="6">D27*D30</f>
        <v>14899112.436557105</v>
      </c>
      <c r="F27" s="60">
        <f t="shared" si="6"/>
        <v>18561942.17004114</v>
      </c>
      <c r="G27" s="60">
        <f t="shared" si="6"/>
        <v>21567759.340872504</v>
      </c>
      <c r="H27" s="60">
        <f t="shared" si="6"/>
        <v>23815655.41630394</v>
      </c>
      <c r="I27" s="60">
        <f t="shared" si="6"/>
        <v>26486851.03282145</v>
      </c>
      <c r="J27" s="60">
        <f t="shared" si="6"/>
        <v>27981818.708687101</v>
      </c>
      <c r="K27" s="60">
        <f t="shared" si="6"/>
        <v>28782274.613502704</v>
      </c>
      <c r="L27" s="60">
        <f t="shared" si="6"/>
        <v>29230880.471350316</v>
      </c>
      <c r="M27" s="60">
        <f t="shared" si="6"/>
        <v>29467624.769865226</v>
      </c>
      <c r="N27" s="60">
        <f t="shared" si="6"/>
        <v>29581419.793835383</v>
      </c>
      <c r="O27" s="60">
        <f t="shared" si="6"/>
        <v>29648051.318533484</v>
      </c>
      <c r="P27" s="60">
        <f t="shared" si="6"/>
        <v>29681734.278013054</v>
      </c>
      <c r="Q27" s="60">
        <f t="shared" si="6"/>
        <v>29699217.736938968</v>
      </c>
      <c r="R27" s="60">
        <f t="shared" si="6"/>
        <v>29708353.64334457</v>
      </c>
      <c r="S27" s="60">
        <f t="shared" si="6"/>
        <v>29712513.580285326</v>
      </c>
      <c r="T27" s="60">
        <f t="shared" si="6"/>
        <v>29714561.543274827</v>
      </c>
      <c r="U27" s="60">
        <f t="shared" si="6"/>
        <v>29715530.749751516</v>
      </c>
      <c r="V27" s="60">
        <f t="shared" si="6"/>
        <v>29715819.184295587</v>
      </c>
      <c r="W27" s="60">
        <f t="shared" si="6"/>
        <v>29715909.071629286</v>
      </c>
      <c r="X27" s="60">
        <f t="shared" si="6"/>
        <v>29715943.249153454</v>
      </c>
      <c r="Y27" s="60">
        <f t="shared" si="6"/>
        <v>29715960.642621759</v>
      </c>
      <c r="Z27" s="60">
        <f t="shared" si="6"/>
        <v>29715992.930802129</v>
      </c>
      <c r="AA27" s="49" t="e">
        <f>#REF!</f>
        <v>#REF!</v>
      </c>
      <c r="AB27" s="45">
        <f>'[1]1_Triangulo'!D27</f>
        <v>17132382</v>
      </c>
      <c r="AC27" s="44" t="e">
        <f t="shared" si="0"/>
        <v>#REF!</v>
      </c>
    </row>
    <row r="28" spans="1:29" ht="15" customHeight="1" x14ac:dyDescent="0.25">
      <c r="A28" s="50" t="s">
        <v>134</v>
      </c>
      <c r="B28" s="56"/>
      <c r="C28" s="63">
        <f>SUM(D19:D26)</f>
        <v>93535388</v>
      </c>
      <c r="D28" s="63">
        <f>SUM(E18:E25)</f>
        <v>119910094</v>
      </c>
      <c r="E28" s="63">
        <f>SUM(F17:F24)</f>
        <v>140170234</v>
      </c>
      <c r="F28" s="63">
        <f>SUM(G16:G23)</f>
        <v>155315660</v>
      </c>
      <c r="G28" s="63">
        <f>SUM(H15:H22)</f>
        <v>162298291</v>
      </c>
      <c r="H28" s="63">
        <f>SUM(I14:I21)</f>
        <v>155764784</v>
      </c>
      <c r="I28" s="63">
        <f>SUM(J13:J20)</f>
        <v>154906842</v>
      </c>
      <c r="J28" s="63">
        <f>SUM(K12:K19)</f>
        <v>146864136</v>
      </c>
      <c r="K28" s="63">
        <f>SUM(L11:L18)</f>
        <v>136904097</v>
      </c>
      <c r="L28" s="63">
        <f>SUM(M10:M17)</f>
        <v>127817018</v>
      </c>
      <c r="M28" s="63">
        <f>SUM(N9:N16)</f>
        <v>121164087</v>
      </c>
      <c r="N28" s="63">
        <f>SUM(O8:O15)</f>
        <v>113546368</v>
      </c>
      <c r="O28" s="63">
        <f>SUM(P7:P14)</f>
        <v>114372144</v>
      </c>
      <c r="P28" s="63">
        <f>SUM(Q6:Q13)</f>
        <v>111181861</v>
      </c>
      <c r="Q28" s="63">
        <f>SUM(R5:R12)</f>
        <v>114600758</v>
      </c>
      <c r="R28" s="63">
        <f>SUM(S4:S11)</f>
        <v>113609232</v>
      </c>
      <c r="S28" s="63">
        <f>SUM(T4:T10)</f>
        <v>99504954</v>
      </c>
      <c r="T28" s="63">
        <f>SUM(U4:U9)</f>
        <v>88667706</v>
      </c>
      <c r="U28" s="63">
        <f>SUM(V4:V8)</f>
        <v>75619969</v>
      </c>
      <c r="V28" s="63">
        <f>SUM(W4:W7)</f>
        <v>63803989</v>
      </c>
      <c r="W28" s="63">
        <f>SUM(X4:X6)</f>
        <v>44342390</v>
      </c>
      <c r="X28" s="63">
        <f>SUM(Y4:Y5)</f>
        <v>32460648</v>
      </c>
      <c r="Y28" s="63">
        <f>SUM(Z4)</f>
        <v>14725385</v>
      </c>
      <c r="Z28" s="63"/>
      <c r="AA28" s="57" t="e">
        <f>#REF!</f>
        <v>#REF!</v>
      </c>
      <c r="AB28" s="45">
        <f>'[1]1_Triangulo'!C28</f>
        <v>10443357</v>
      </c>
      <c r="AC28" s="44" t="e">
        <f t="shared" si="0"/>
        <v>#REF!</v>
      </c>
    </row>
    <row r="29" spans="1:29" ht="15" customHeight="1" x14ac:dyDescent="0.25">
      <c r="A29" s="54" t="s">
        <v>135</v>
      </c>
      <c r="B29" s="55"/>
      <c r="C29" s="61">
        <f>SUM(C19:C26)</f>
        <v>43566142</v>
      </c>
      <c r="D29" s="61">
        <f>SUM(D18:D25)</f>
        <v>88986860</v>
      </c>
      <c r="E29" s="61">
        <f>SUM(E17:E24)</f>
        <v>112510429</v>
      </c>
      <c r="F29" s="61">
        <f>SUM(F16:F23)</f>
        <v>133669903</v>
      </c>
      <c r="G29" s="61">
        <f>SUM(G15:G22)</f>
        <v>146979389</v>
      </c>
      <c r="H29" s="61">
        <f>SUM(H14:H21)</f>
        <v>140055925</v>
      </c>
      <c r="I29" s="61">
        <f>SUM(I13:I20)</f>
        <v>146630728</v>
      </c>
      <c r="J29" s="61">
        <f>SUM(J12:J19)</f>
        <v>142779738</v>
      </c>
      <c r="K29" s="61">
        <f>SUM(K11:K18)</f>
        <v>134803032</v>
      </c>
      <c r="L29" s="61">
        <f>SUM(L10:L17)</f>
        <v>126790130</v>
      </c>
      <c r="M29" s="61">
        <f>SUM(M9:M16)</f>
        <v>120697988</v>
      </c>
      <c r="N29" s="61">
        <f>SUM(N8:N15)</f>
        <v>113291182</v>
      </c>
      <c r="O29" s="61">
        <f>SUM(O7:O14)</f>
        <v>114242354</v>
      </c>
      <c r="P29" s="61">
        <f>SUM(P6:P13)</f>
        <v>111116410</v>
      </c>
      <c r="Q29" s="61">
        <f>SUM(Q5:Q12)</f>
        <v>114565516</v>
      </c>
      <c r="R29" s="61">
        <f>SUM(R4:R11)</f>
        <v>113593326</v>
      </c>
      <c r="S29" s="61">
        <f>SUM(S4:S10)</f>
        <v>99498096</v>
      </c>
      <c r="T29" s="61">
        <f>SUM(T4:T9)</f>
        <v>88664814</v>
      </c>
      <c r="U29" s="61">
        <f>SUM(U4:U8)</f>
        <v>75619235</v>
      </c>
      <c r="V29" s="61">
        <f>SUM(V4:V7)</f>
        <v>63803796</v>
      </c>
      <c r="W29" s="61">
        <f>SUM(W4:W6)</f>
        <v>44342339</v>
      </c>
      <c r="X29" s="61">
        <f>SUM(X4:X5)</f>
        <v>32460629</v>
      </c>
      <c r="Y29" s="61">
        <f>SUM(Y4)</f>
        <v>14725369</v>
      </c>
      <c r="Z29" s="61"/>
      <c r="AA29" s="58"/>
      <c r="AB29" s="45"/>
      <c r="AC29" s="44"/>
    </row>
    <row r="30" spans="1:29" ht="15" customHeight="1" x14ac:dyDescent="0.25">
      <c r="A30" s="54" t="s">
        <v>52</v>
      </c>
      <c r="B30" s="55"/>
      <c r="C30" s="62">
        <f>C28/C29</f>
        <v>2.1469743178085405</v>
      </c>
      <c r="D30" s="62">
        <f t="shared" ref="D30:Z30" si="7">D28/D29</f>
        <v>1.3475033729698969</v>
      </c>
      <c r="E30" s="62">
        <f t="shared" si="7"/>
        <v>1.245842143220341</v>
      </c>
      <c r="F30" s="62">
        <f t="shared" si="7"/>
        <v>1.1619344109197116</v>
      </c>
      <c r="G30" s="62">
        <f t="shared" si="7"/>
        <v>1.1042248311428209</v>
      </c>
      <c r="H30" s="62">
        <f t="shared" si="7"/>
        <v>1.1121613312682059</v>
      </c>
      <c r="I30" s="62">
        <f>I28/I29</f>
        <v>1.0564418803131088</v>
      </c>
      <c r="J30" s="62">
        <f t="shared" si="7"/>
        <v>1.0286062858582918</v>
      </c>
      <c r="K30" s="62">
        <f t="shared" si="7"/>
        <v>1.0155861850347698</v>
      </c>
      <c r="L30" s="62">
        <f t="shared" si="7"/>
        <v>1.0080991162324702</v>
      </c>
      <c r="M30" s="62">
        <f t="shared" si="7"/>
        <v>1.0038616965180895</v>
      </c>
      <c r="N30" s="62">
        <f t="shared" si="7"/>
        <v>1.0022524789263829</v>
      </c>
      <c r="O30" s="62">
        <f t="shared" si="7"/>
        <v>1.0011360935367282</v>
      </c>
      <c r="P30" s="62">
        <f t="shared" si="7"/>
        <v>1.0005890309091159</v>
      </c>
      <c r="Q30" s="62">
        <f t="shared" si="7"/>
        <v>1.0003076143784837</v>
      </c>
      <c r="R30" s="62">
        <f t="shared" si="7"/>
        <v>1.0001400258321513</v>
      </c>
      <c r="S30" s="62">
        <f t="shared" si="7"/>
        <v>1.0000689259420603</v>
      </c>
      <c r="T30" s="62">
        <f t="shared" si="7"/>
        <v>1.0000326172228817</v>
      </c>
      <c r="U30" s="62">
        <f t="shared" si="7"/>
        <v>1.0000097065250659</v>
      </c>
      <c r="V30" s="62">
        <f t="shared" si="7"/>
        <v>1.0000030248983931</v>
      </c>
      <c r="W30" s="62">
        <f t="shared" si="7"/>
        <v>1.0000011501423054</v>
      </c>
      <c r="X30" s="62">
        <f t="shared" si="7"/>
        <v>1.0000005853244556</v>
      </c>
      <c r="Y30" s="62">
        <f t="shared" si="7"/>
        <v>1.0000010865602078</v>
      </c>
      <c r="Z30" s="62"/>
      <c r="AA30" s="58"/>
      <c r="AB30" s="45"/>
      <c r="AC30" s="44"/>
    </row>
    <row r="31" spans="1:29" ht="19.5" customHeight="1" x14ac:dyDescent="0.25">
      <c r="A31" s="52" t="s">
        <v>136</v>
      </c>
      <c r="B31" s="53"/>
      <c r="AA31" s="51" t="e">
        <f>SUM(AA4:AA28)</f>
        <v>#REF!</v>
      </c>
      <c r="AB31" s="50"/>
      <c r="AC31" s="51" t="e">
        <f>SUM(AC4:AC28)</f>
        <v>#REF!</v>
      </c>
    </row>
  </sheetData>
  <mergeCells count="3">
    <mergeCell ref="A1:AC1"/>
    <mergeCell ref="A2:AC2"/>
    <mergeCell ref="A31:B31"/>
  </mergeCell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A7A690-8369-407B-9CC6-07301598932B}">
  <dimension ref="B2:AA133"/>
  <sheetViews>
    <sheetView showGridLines="0" topLeftCell="B44" workbookViewId="0">
      <selection activeCell="D16" sqref="D16:AA17"/>
    </sheetView>
  </sheetViews>
  <sheetFormatPr baseColWidth="10" defaultColWidth="8.85546875" defaultRowHeight="15" x14ac:dyDescent="0.25"/>
  <cols>
    <col min="4" max="4" width="14.140625" bestFit="1" customWidth="1"/>
    <col min="5" max="5" width="13.28515625" bestFit="1" customWidth="1"/>
    <col min="6" max="9" width="13.140625" bestFit="1" customWidth="1"/>
    <col min="10" max="10" width="14.140625" bestFit="1" customWidth="1"/>
    <col min="11" max="27" width="13.140625" bestFit="1" customWidth="1"/>
  </cols>
  <sheetData>
    <row r="2" spans="3:27" x14ac:dyDescent="0.25">
      <c r="C2" t="s">
        <v>0</v>
      </c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</row>
    <row r="3" spans="3:27" x14ac:dyDescent="0.25">
      <c r="D3" s="1" t="s">
        <v>1</v>
      </c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</row>
    <row r="4" spans="3:27" x14ac:dyDescent="0.25">
      <c r="D4" s="1" t="s">
        <v>2</v>
      </c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</row>
    <row r="5" spans="3:27" x14ac:dyDescent="0.25">
      <c r="D5" s="1" t="s">
        <v>3</v>
      </c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  <c r="AA5" s="1"/>
    </row>
    <row r="6" spans="3:27" x14ac:dyDescent="0.25"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  <c r="AA6" s="1"/>
    </row>
    <row r="7" spans="3:27" x14ac:dyDescent="0.25">
      <c r="C7" t="s">
        <v>4</v>
      </c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  <c r="AA7" s="1"/>
    </row>
    <row r="8" spans="3:27" x14ac:dyDescent="0.25">
      <c r="D8" s="1" t="s">
        <v>5</v>
      </c>
    </row>
    <row r="9" spans="3:27" x14ac:dyDescent="0.25">
      <c r="D9" s="1" t="s">
        <v>6</v>
      </c>
    </row>
    <row r="10" spans="3:27" x14ac:dyDescent="0.25">
      <c r="D10" s="1" t="s">
        <v>7</v>
      </c>
    </row>
    <row r="11" spans="3:27" x14ac:dyDescent="0.25">
      <c r="D11" s="1" t="s">
        <v>8</v>
      </c>
    </row>
    <row r="13" spans="3:27" ht="26.25" x14ac:dyDescent="0.4">
      <c r="C13" s="13" t="s">
        <v>46</v>
      </c>
      <c r="D13" s="13"/>
      <c r="E13" s="13"/>
      <c r="F13" s="13"/>
      <c r="G13" s="13"/>
      <c r="H13" s="13"/>
      <c r="I13" s="13"/>
      <c r="J13" s="13"/>
      <c r="K13" s="13"/>
      <c r="L13" s="13"/>
      <c r="M13" s="13"/>
      <c r="N13" s="13"/>
      <c r="O13" s="13"/>
      <c r="P13" s="13"/>
      <c r="Q13" s="13"/>
      <c r="R13" s="13"/>
      <c r="S13" s="13"/>
      <c r="T13" s="13"/>
      <c r="U13" s="13"/>
      <c r="V13" s="13"/>
      <c r="W13" s="13"/>
      <c r="X13" s="13"/>
      <c r="Y13" s="13"/>
      <c r="Z13" s="13"/>
      <c r="AA13" s="13"/>
    </row>
    <row r="15" spans="3:27" x14ac:dyDescent="0.25">
      <c r="D15" s="12">
        <v>1</v>
      </c>
      <c r="E15" s="12">
        <f>+D15+1</f>
        <v>2</v>
      </c>
      <c r="F15" s="12">
        <f t="shared" ref="F15:AA15" si="0">+E15+1</f>
        <v>3</v>
      </c>
      <c r="G15" s="12">
        <f t="shared" si="0"/>
        <v>4</v>
      </c>
      <c r="H15" s="12">
        <f t="shared" si="0"/>
        <v>5</v>
      </c>
      <c r="I15" s="12">
        <f t="shared" si="0"/>
        <v>6</v>
      </c>
      <c r="J15" s="12">
        <f t="shared" si="0"/>
        <v>7</v>
      </c>
      <c r="K15" s="12">
        <f t="shared" si="0"/>
        <v>8</v>
      </c>
      <c r="L15" s="12">
        <f t="shared" si="0"/>
        <v>9</v>
      </c>
      <c r="M15" s="12">
        <f t="shared" si="0"/>
        <v>10</v>
      </c>
      <c r="N15" s="12">
        <f t="shared" si="0"/>
        <v>11</v>
      </c>
      <c r="O15" s="12">
        <f t="shared" si="0"/>
        <v>12</v>
      </c>
      <c r="P15" s="12">
        <f t="shared" si="0"/>
        <v>13</v>
      </c>
      <c r="Q15" s="12">
        <f t="shared" si="0"/>
        <v>14</v>
      </c>
      <c r="R15" s="12">
        <f t="shared" si="0"/>
        <v>15</v>
      </c>
      <c r="S15" s="12">
        <f t="shared" si="0"/>
        <v>16</v>
      </c>
      <c r="T15" s="12">
        <f t="shared" si="0"/>
        <v>17</v>
      </c>
      <c r="U15" s="12">
        <f t="shared" si="0"/>
        <v>18</v>
      </c>
      <c r="V15" s="12">
        <f t="shared" si="0"/>
        <v>19</v>
      </c>
      <c r="W15" s="12">
        <f t="shared" si="0"/>
        <v>20</v>
      </c>
      <c r="X15" s="12">
        <f t="shared" si="0"/>
        <v>21</v>
      </c>
      <c r="Y15" s="12">
        <f t="shared" si="0"/>
        <v>22</v>
      </c>
      <c r="Z15" s="12">
        <f t="shared" si="0"/>
        <v>23</v>
      </c>
      <c r="AA15" s="12">
        <f t="shared" si="0"/>
        <v>24</v>
      </c>
    </row>
    <row r="16" spans="3:27" x14ac:dyDescent="0.25">
      <c r="C16" s="10" t="s">
        <v>9</v>
      </c>
      <c r="D16" s="3">
        <v>6418198</v>
      </c>
      <c r="E16" s="3">
        <v>8351947</v>
      </c>
      <c r="F16" s="3">
        <v>7241932</v>
      </c>
      <c r="G16" s="3">
        <v>6612057</v>
      </c>
      <c r="H16" s="3">
        <v>6678429</v>
      </c>
      <c r="I16" s="3">
        <v>6520501</v>
      </c>
      <c r="J16" s="3">
        <v>6390444</v>
      </c>
      <c r="K16" s="3">
        <v>6157365</v>
      </c>
      <c r="L16" s="3">
        <v>5998497</v>
      </c>
      <c r="M16" s="3">
        <v>5960040</v>
      </c>
      <c r="N16" s="3">
        <v>5927219</v>
      </c>
      <c r="O16" s="3">
        <v>5845151</v>
      </c>
      <c r="P16" s="3">
        <v>5844679</v>
      </c>
      <c r="Q16" s="3">
        <v>5823554</v>
      </c>
      <c r="R16" s="3">
        <v>5819414</v>
      </c>
      <c r="S16" s="3">
        <v>5817651</v>
      </c>
      <c r="T16" s="3">
        <v>5816446</v>
      </c>
      <c r="U16" s="3">
        <v>5815298</v>
      </c>
      <c r="V16" s="3">
        <v>5814997</v>
      </c>
      <c r="W16" s="3">
        <v>5814607</v>
      </c>
      <c r="X16" s="3">
        <v>5814513</v>
      </c>
      <c r="Y16" s="3">
        <v>5814520</v>
      </c>
      <c r="Z16" s="3">
        <v>5814527</v>
      </c>
      <c r="AA16" s="3">
        <v>5814528</v>
      </c>
    </row>
    <row r="17" spans="3:27" x14ac:dyDescent="0.25">
      <c r="C17" s="10" t="s">
        <v>10</v>
      </c>
      <c r="D17" s="3">
        <v>7475822</v>
      </c>
      <c r="E17" s="3">
        <v>10450029</v>
      </c>
      <c r="F17" s="3">
        <v>10185917</v>
      </c>
      <c r="G17" s="3">
        <v>9722137</v>
      </c>
      <c r="H17" s="3">
        <v>9434292</v>
      </c>
      <c r="I17" s="3">
        <v>9020873</v>
      </c>
      <c r="J17" s="3">
        <v>8704176</v>
      </c>
      <c r="K17" s="3">
        <v>8469008</v>
      </c>
      <c r="L17" s="3">
        <v>8349635</v>
      </c>
      <c r="M17" s="3">
        <v>8209160</v>
      </c>
      <c r="N17" s="3">
        <v>8096242</v>
      </c>
      <c r="O17" s="3">
        <v>8041381</v>
      </c>
      <c r="P17" s="3">
        <v>8008712</v>
      </c>
      <c r="Q17" s="3">
        <v>8003007</v>
      </c>
      <c r="R17" s="3">
        <v>8002023</v>
      </c>
      <c r="S17" s="3">
        <v>7997629</v>
      </c>
      <c r="T17" s="3">
        <v>7997019</v>
      </c>
      <c r="U17" s="3">
        <v>7996437</v>
      </c>
      <c r="V17" s="3">
        <v>7996215</v>
      </c>
      <c r="W17" s="3">
        <v>7995857</v>
      </c>
      <c r="X17" s="3">
        <v>7995850</v>
      </c>
      <c r="Y17" s="3">
        <v>7995866</v>
      </c>
      <c r="Z17" s="3">
        <v>7995874</v>
      </c>
      <c r="AA17" s="3" t="s">
        <v>11</v>
      </c>
    </row>
    <row r="18" spans="3:27" x14ac:dyDescent="0.25">
      <c r="C18" s="10" t="s">
        <v>12</v>
      </c>
      <c r="D18" s="3">
        <v>4944676</v>
      </c>
      <c r="E18" s="3">
        <v>5651989</v>
      </c>
      <c r="F18" s="3">
        <v>5515292</v>
      </c>
      <c r="G18" s="3">
        <v>5713405</v>
      </c>
      <c r="H18" s="3">
        <v>5462475</v>
      </c>
      <c r="I18" s="3">
        <v>5370959</v>
      </c>
      <c r="J18" s="3">
        <v>5305411</v>
      </c>
      <c r="K18" s="3">
        <v>5148861</v>
      </c>
      <c r="L18" s="3">
        <v>4913135</v>
      </c>
      <c r="M18" s="3">
        <v>4939885</v>
      </c>
      <c r="N18" s="3">
        <v>4852857</v>
      </c>
      <c r="O18" s="3">
        <v>4772843</v>
      </c>
      <c r="P18" s="3">
        <v>4722978</v>
      </c>
      <c r="Q18" s="3">
        <v>4724493</v>
      </c>
      <c r="R18" s="3">
        <v>4714404</v>
      </c>
      <c r="S18" s="3">
        <v>4711994</v>
      </c>
      <c r="T18" s="3">
        <v>4711744</v>
      </c>
      <c r="U18" s="3">
        <v>4711585</v>
      </c>
      <c r="V18" s="3">
        <v>4710817</v>
      </c>
      <c r="W18" s="3">
        <v>4710876</v>
      </c>
      <c r="X18" s="3">
        <v>4710870</v>
      </c>
      <c r="Y18" s="3">
        <v>4710870</v>
      </c>
      <c r="Z18" s="3" t="s">
        <v>11</v>
      </c>
      <c r="AA18" s="3" t="s">
        <v>11</v>
      </c>
    </row>
    <row r="19" spans="3:27" x14ac:dyDescent="0.25">
      <c r="C19" s="10" t="s">
        <v>13</v>
      </c>
      <c r="D19" s="3">
        <v>5990844</v>
      </c>
      <c r="E19" s="3">
        <v>8317434</v>
      </c>
      <c r="F19" s="3">
        <v>7538034</v>
      </c>
      <c r="G19" s="3">
        <v>7146705</v>
      </c>
      <c r="H19" s="3">
        <v>6480112</v>
      </c>
      <c r="I19" s="3">
        <v>5918174</v>
      </c>
      <c r="J19" s="3">
        <v>5524711</v>
      </c>
      <c r="K19" s="3">
        <v>5379113</v>
      </c>
      <c r="L19" s="3">
        <v>5282322</v>
      </c>
      <c r="M19" s="3">
        <v>5218946</v>
      </c>
      <c r="N19" s="3">
        <v>5148288</v>
      </c>
      <c r="O19" s="3">
        <v>5055569</v>
      </c>
      <c r="P19" s="3">
        <v>5052150</v>
      </c>
      <c r="Q19" s="3">
        <v>5048881</v>
      </c>
      <c r="R19" s="3">
        <v>5049883</v>
      </c>
      <c r="S19" s="3">
        <v>5047150</v>
      </c>
      <c r="T19" s="3">
        <v>5047033</v>
      </c>
      <c r="U19" s="3">
        <v>5046810</v>
      </c>
      <c r="V19" s="3">
        <v>5046112</v>
      </c>
      <c r="W19" s="3">
        <v>5046155</v>
      </c>
      <c r="X19" s="3">
        <v>5046123</v>
      </c>
      <c r="Y19" s="3" t="s">
        <v>11</v>
      </c>
      <c r="Z19" s="3" t="s">
        <v>11</v>
      </c>
      <c r="AA19" s="3" t="s">
        <v>11</v>
      </c>
    </row>
    <row r="20" spans="3:27" x14ac:dyDescent="0.25">
      <c r="C20" s="10" t="s">
        <v>14</v>
      </c>
      <c r="D20" s="3">
        <v>6106533</v>
      </c>
      <c r="E20" s="3">
        <v>7227067</v>
      </c>
      <c r="F20" s="3">
        <v>6609141</v>
      </c>
      <c r="G20" s="3">
        <v>6587986</v>
      </c>
      <c r="H20" s="3">
        <v>5966963</v>
      </c>
      <c r="I20" s="3">
        <v>5553219</v>
      </c>
      <c r="J20" s="3">
        <v>5440658</v>
      </c>
      <c r="K20" s="3">
        <v>5247292</v>
      </c>
      <c r="L20" s="3">
        <v>4989511</v>
      </c>
      <c r="M20" s="3">
        <v>4739938</v>
      </c>
      <c r="N20" s="3">
        <v>4632683</v>
      </c>
      <c r="O20" s="3">
        <v>4647858</v>
      </c>
      <c r="P20" s="3">
        <v>4648748</v>
      </c>
      <c r="Q20" s="3">
        <v>4631093</v>
      </c>
      <c r="R20" s="3">
        <v>4618736</v>
      </c>
      <c r="S20" s="3">
        <v>4614941</v>
      </c>
      <c r="T20" s="3">
        <v>4614019</v>
      </c>
      <c r="U20" s="3">
        <v>4612810</v>
      </c>
      <c r="V20" s="3">
        <v>4612218</v>
      </c>
      <c r="W20" s="3">
        <v>4612035</v>
      </c>
      <c r="X20" s="3" t="s">
        <v>11</v>
      </c>
      <c r="Y20" s="3" t="s">
        <v>11</v>
      </c>
      <c r="Z20" s="3" t="s">
        <v>11</v>
      </c>
      <c r="AA20" s="3" t="s">
        <v>11</v>
      </c>
    </row>
    <row r="21" spans="3:27" x14ac:dyDescent="0.25">
      <c r="C21" s="10" t="s">
        <v>15</v>
      </c>
      <c r="D21" s="3">
        <v>3511339</v>
      </c>
      <c r="E21" s="3">
        <v>5097855</v>
      </c>
      <c r="F21" s="3">
        <v>4392249</v>
      </c>
      <c r="G21" s="3">
        <v>4331724</v>
      </c>
      <c r="H21" s="3">
        <v>3638678</v>
      </c>
      <c r="I21" s="3">
        <v>3261200</v>
      </c>
      <c r="J21" s="3">
        <v>2912378</v>
      </c>
      <c r="K21" s="3">
        <v>2561746</v>
      </c>
      <c r="L21" s="3">
        <v>2608839</v>
      </c>
      <c r="M21" s="3">
        <v>2512337</v>
      </c>
      <c r="N21" s="3">
        <v>2525572</v>
      </c>
      <c r="O21" s="3">
        <v>2539117</v>
      </c>
      <c r="P21" s="3">
        <v>2502024</v>
      </c>
      <c r="Q21" s="3">
        <v>2495301</v>
      </c>
      <c r="R21" s="3">
        <v>2491023</v>
      </c>
      <c r="S21" s="3">
        <v>2490185</v>
      </c>
      <c r="T21" s="3">
        <v>2490716</v>
      </c>
      <c r="U21" s="3">
        <v>2490652</v>
      </c>
      <c r="V21" s="3">
        <v>2490228</v>
      </c>
      <c r="W21" s="3" t="s">
        <v>11</v>
      </c>
      <c r="X21" s="3" t="s">
        <v>11</v>
      </c>
      <c r="Y21" s="3" t="s">
        <v>11</v>
      </c>
      <c r="Z21" s="3" t="s">
        <v>11</v>
      </c>
      <c r="AA21" s="3" t="s">
        <v>11</v>
      </c>
    </row>
    <row r="22" spans="3:27" x14ac:dyDescent="0.25">
      <c r="C22" s="10" t="s">
        <v>16</v>
      </c>
      <c r="D22" s="3">
        <v>4141271</v>
      </c>
      <c r="E22" s="3">
        <v>5675304</v>
      </c>
      <c r="F22" s="3">
        <v>5003527</v>
      </c>
      <c r="G22" s="3">
        <v>4490079</v>
      </c>
      <c r="H22" s="3">
        <v>3864708</v>
      </c>
      <c r="I22" s="3">
        <v>3317046</v>
      </c>
      <c r="J22" s="3">
        <v>3043775</v>
      </c>
      <c r="K22" s="3">
        <v>2982731</v>
      </c>
      <c r="L22" s="3">
        <v>2853880</v>
      </c>
      <c r="M22" s="3">
        <v>2708486</v>
      </c>
      <c r="N22" s="3">
        <v>2687185</v>
      </c>
      <c r="O22" s="3">
        <v>2706223</v>
      </c>
      <c r="P22" s="3">
        <v>2663612</v>
      </c>
      <c r="Q22" s="3">
        <v>2649484</v>
      </c>
      <c r="R22" s="3">
        <v>2644988</v>
      </c>
      <c r="S22" s="3">
        <v>2644539</v>
      </c>
      <c r="T22" s="3">
        <v>2642763</v>
      </c>
      <c r="U22" s="3">
        <v>2642281</v>
      </c>
      <c r="V22" s="3" t="s">
        <v>11</v>
      </c>
      <c r="W22" s="3" t="s">
        <v>11</v>
      </c>
      <c r="X22" s="3" t="s">
        <v>11</v>
      </c>
      <c r="Y22" s="3" t="s">
        <v>11</v>
      </c>
      <c r="Z22" s="3" t="s">
        <v>11</v>
      </c>
      <c r="AA22" s="3" t="s">
        <v>11</v>
      </c>
    </row>
    <row r="23" spans="3:27" x14ac:dyDescent="0.25">
      <c r="C23" s="10" t="s">
        <v>17</v>
      </c>
      <c r="D23" s="3">
        <v>6591656</v>
      </c>
      <c r="E23" s="3">
        <v>9149839</v>
      </c>
      <c r="F23" s="3">
        <v>9246786</v>
      </c>
      <c r="G23" s="3">
        <v>8427024</v>
      </c>
      <c r="H23" s="3">
        <v>7881930</v>
      </c>
      <c r="I23" s="3">
        <v>7889306</v>
      </c>
      <c r="J23" s="3">
        <v>7459046</v>
      </c>
      <c r="K23" s="3">
        <v>7134362</v>
      </c>
      <c r="L23" s="3">
        <v>7020325</v>
      </c>
      <c r="M23" s="3">
        <v>6829753</v>
      </c>
      <c r="N23" s="3">
        <v>6654101</v>
      </c>
      <c r="O23" s="3">
        <v>6564713</v>
      </c>
      <c r="P23" s="3">
        <v>6557312</v>
      </c>
      <c r="Q23" s="3">
        <v>6540955</v>
      </c>
      <c r="R23" s="3">
        <v>6539478</v>
      </c>
      <c r="S23" s="3">
        <v>6538852</v>
      </c>
      <c r="T23" s="3">
        <v>6538885</v>
      </c>
      <c r="U23" s="3" t="s">
        <v>11</v>
      </c>
      <c r="V23" s="3" t="s">
        <v>11</v>
      </c>
      <c r="W23" s="3" t="s">
        <v>11</v>
      </c>
      <c r="X23" s="3" t="s">
        <v>11</v>
      </c>
      <c r="Y23" s="3" t="s">
        <v>11</v>
      </c>
      <c r="Z23" s="3" t="s">
        <v>11</v>
      </c>
      <c r="AA23" s="3" t="s">
        <v>11</v>
      </c>
    </row>
    <row r="24" spans="3:27" x14ac:dyDescent="0.25">
      <c r="C24" s="10" t="s">
        <v>18</v>
      </c>
      <c r="D24" s="3">
        <v>6289704</v>
      </c>
      <c r="E24" s="3">
        <v>9074583</v>
      </c>
      <c r="F24" s="3">
        <v>7921104</v>
      </c>
      <c r="G24" s="3">
        <v>7241833</v>
      </c>
      <c r="H24" s="3">
        <v>6605506</v>
      </c>
      <c r="I24" s="3">
        <v>6368774</v>
      </c>
      <c r="J24" s="3">
        <v>5993512</v>
      </c>
      <c r="K24" s="3">
        <v>6063255</v>
      </c>
      <c r="L24" s="3">
        <v>6123811</v>
      </c>
      <c r="M24" s="3">
        <v>6142139</v>
      </c>
      <c r="N24" s="3">
        <v>6109898</v>
      </c>
      <c r="O24" s="3">
        <v>6094584</v>
      </c>
      <c r="P24" s="3">
        <v>6054429</v>
      </c>
      <c r="Q24" s="3">
        <v>6045198</v>
      </c>
      <c r="R24" s="3">
        <v>6039123</v>
      </c>
      <c r="S24" s="3">
        <v>6037298</v>
      </c>
      <c r="T24" s="3" t="s">
        <v>11</v>
      </c>
      <c r="U24" s="3" t="s">
        <v>11</v>
      </c>
      <c r="V24" s="3" t="s">
        <v>11</v>
      </c>
      <c r="W24" s="3" t="s">
        <v>11</v>
      </c>
      <c r="X24" s="3" t="s">
        <v>11</v>
      </c>
      <c r="Y24" s="3" t="s">
        <v>11</v>
      </c>
      <c r="Z24" s="3" t="s">
        <v>11</v>
      </c>
      <c r="AA24" s="3" t="s">
        <v>11</v>
      </c>
    </row>
    <row r="25" spans="3:27" x14ac:dyDescent="0.25">
      <c r="C25" s="10" t="s">
        <v>19</v>
      </c>
      <c r="D25" s="3">
        <v>4959185</v>
      </c>
      <c r="E25" s="3">
        <v>7332815</v>
      </c>
      <c r="F25" s="3">
        <v>6338245</v>
      </c>
      <c r="G25" s="3">
        <v>6335214</v>
      </c>
      <c r="H25" s="3">
        <v>5820802</v>
      </c>
      <c r="I25" s="3">
        <v>5372283</v>
      </c>
      <c r="J25" s="3">
        <v>5126418</v>
      </c>
      <c r="K25" s="3">
        <v>4909923</v>
      </c>
      <c r="L25" s="3">
        <v>4699737</v>
      </c>
      <c r="M25" s="3">
        <v>4565993</v>
      </c>
      <c r="N25" s="3">
        <v>4388069</v>
      </c>
      <c r="O25" s="3">
        <v>4350454</v>
      </c>
      <c r="P25" s="3">
        <v>4349470</v>
      </c>
      <c r="Q25" s="3">
        <v>4354085</v>
      </c>
      <c r="R25" s="3">
        <v>4354413</v>
      </c>
      <c r="S25" s="3" t="s">
        <v>11</v>
      </c>
      <c r="T25" s="3" t="s">
        <v>11</v>
      </c>
      <c r="U25" s="3" t="s">
        <v>11</v>
      </c>
      <c r="V25" s="3" t="s">
        <v>11</v>
      </c>
      <c r="W25" s="3" t="s">
        <v>11</v>
      </c>
      <c r="X25" s="3" t="s">
        <v>11</v>
      </c>
      <c r="Y25" s="3" t="s">
        <v>11</v>
      </c>
      <c r="Z25" s="3" t="s">
        <v>11</v>
      </c>
      <c r="AA25" s="3" t="s">
        <v>11</v>
      </c>
    </row>
    <row r="26" spans="3:27" x14ac:dyDescent="0.25">
      <c r="C26" s="10" t="s">
        <v>20</v>
      </c>
      <c r="D26" s="3">
        <v>6194048</v>
      </c>
      <c r="E26" s="3">
        <v>7741218</v>
      </c>
      <c r="F26" s="3">
        <v>6754577</v>
      </c>
      <c r="G26" s="3">
        <v>6157468</v>
      </c>
      <c r="H26" s="3">
        <v>5562103</v>
      </c>
      <c r="I26" s="3">
        <v>5078341</v>
      </c>
      <c r="J26" s="3">
        <v>5094245</v>
      </c>
      <c r="K26" s="3">
        <v>4970573</v>
      </c>
      <c r="L26" s="3">
        <v>4756133</v>
      </c>
      <c r="M26" s="3">
        <v>4568920</v>
      </c>
      <c r="N26" s="3">
        <v>4414181</v>
      </c>
      <c r="O26" s="3">
        <v>4318353</v>
      </c>
      <c r="P26" s="3">
        <v>4308927</v>
      </c>
      <c r="Q26" s="3">
        <v>4284653</v>
      </c>
      <c r="R26" s="3" t="s">
        <v>11</v>
      </c>
      <c r="S26" s="3" t="s">
        <v>11</v>
      </c>
      <c r="T26" s="3" t="s">
        <v>11</v>
      </c>
      <c r="U26" s="3" t="s">
        <v>11</v>
      </c>
      <c r="V26" s="3" t="s">
        <v>11</v>
      </c>
      <c r="W26" s="3" t="s">
        <v>11</v>
      </c>
      <c r="X26" s="3" t="s">
        <v>11</v>
      </c>
      <c r="Y26" s="3" t="s">
        <v>11</v>
      </c>
      <c r="Z26" s="3" t="s">
        <v>11</v>
      </c>
      <c r="AA26" s="3" t="s">
        <v>11</v>
      </c>
    </row>
    <row r="27" spans="3:27" x14ac:dyDescent="0.25">
      <c r="C27" s="10" t="s">
        <v>21</v>
      </c>
      <c r="D27" s="3">
        <v>6500694</v>
      </c>
      <c r="E27" s="3">
        <v>9436157</v>
      </c>
      <c r="F27" s="3">
        <v>8641541</v>
      </c>
      <c r="G27" s="3">
        <v>8462835</v>
      </c>
      <c r="H27" s="3">
        <v>8478196</v>
      </c>
      <c r="I27" s="3">
        <v>8406511</v>
      </c>
      <c r="J27" s="3">
        <v>7938776</v>
      </c>
      <c r="K27" s="3">
        <v>7694015</v>
      </c>
      <c r="L27" s="3">
        <v>7414340</v>
      </c>
      <c r="M27" s="3">
        <v>7365359</v>
      </c>
      <c r="N27" s="3">
        <v>7323515</v>
      </c>
      <c r="O27" s="3">
        <v>7284864</v>
      </c>
      <c r="P27" s="3">
        <v>7266841</v>
      </c>
      <c r="Q27" s="3" t="s">
        <v>11</v>
      </c>
      <c r="R27" s="3" t="s">
        <v>11</v>
      </c>
      <c r="S27" s="3" t="s">
        <v>11</v>
      </c>
      <c r="T27" s="3" t="s">
        <v>11</v>
      </c>
      <c r="U27" s="3" t="s">
        <v>11</v>
      </c>
      <c r="V27" s="3" t="s">
        <v>11</v>
      </c>
      <c r="W27" s="3" t="s">
        <v>11</v>
      </c>
      <c r="X27" s="3" t="s">
        <v>11</v>
      </c>
      <c r="Y27" s="3" t="s">
        <v>11</v>
      </c>
      <c r="Z27" s="3" t="s">
        <v>11</v>
      </c>
      <c r="AA27" s="3" t="s">
        <v>11</v>
      </c>
    </row>
    <row r="28" spans="3:27" x14ac:dyDescent="0.25">
      <c r="C28" s="10" t="s">
        <v>22</v>
      </c>
      <c r="D28" s="3">
        <v>5205434</v>
      </c>
      <c r="E28" s="3">
        <v>7752400</v>
      </c>
      <c r="F28" s="3">
        <v>7497356</v>
      </c>
      <c r="G28" s="3">
        <v>7293599</v>
      </c>
      <c r="H28" s="3">
        <v>6566528</v>
      </c>
      <c r="I28" s="3">
        <v>6681703</v>
      </c>
      <c r="J28" s="3">
        <v>6326840</v>
      </c>
      <c r="K28" s="3">
        <v>6334277</v>
      </c>
      <c r="L28" s="3">
        <v>6175261</v>
      </c>
      <c r="M28" s="3">
        <v>6025240</v>
      </c>
      <c r="N28" s="3">
        <v>5846424</v>
      </c>
      <c r="O28" s="3">
        <v>5844768</v>
      </c>
      <c r="P28" s="3" t="s">
        <v>11</v>
      </c>
      <c r="Q28" s="3" t="s">
        <v>11</v>
      </c>
      <c r="R28" s="3" t="s">
        <v>11</v>
      </c>
      <c r="S28" s="3" t="s">
        <v>11</v>
      </c>
      <c r="T28" s="3" t="s">
        <v>11</v>
      </c>
      <c r="U28" s="3" t="s">
        <v>11</v>
      </c>
      <c r="V28" s="3" t="s">
        <v>11</v>
      </c>
      <c r="W28" s="3" t="s">
        <v>11</v>
      </c>
      <c r="X28" s="3" t="s">
        <v>11</v>
      </c>
      <c r="Y28" s="3" t="s">
        <v>11</v>
      </c>
      <c r="Z28" s="3" t="s">
        <v>11</v>
      </c>
      <c r="AA28" s="3" t="s">
        <v>11</v>
      </c>
    </row>
    <row r="29" spans="3:27" x14ac:dyDescent="0.25">
      <c r="C29" s="10" t="s">
        <v>23</v>
      </c>
      <c r="D29" s="3">
        <v>5184519</v>
      </c>
      <c r="E29" s="3">
        <v>7275135</v>
      </c>
      <c r="F29" s="3">
        <v>7269751</v>
      </c>
      <c r="G29" s="3">
        <v>6967745</v>
      </c>
      <c r="H29" s="3">
        <v>6399402</v>
      </c>
      <c r="I29" s="3">
        <v>5827678</v>
      </c>
      <c r="J29" s="3">
        <v>5837462</v>
      </c>
      <c r="K29" s="3">
        <v>5752901</v>
      </c>
      <c r="L29" s="3">
        <v>5510232</v>
      </c>
      <c r="M29" s="3">
        <v>5306283</v>
      </c>
      <c r="N29" s="3">
        <v>5171805</v>
      </c>
      <c r="O29" s="3" t="s">
        <v>11</v>
      </c>
      <c r="P29" s="3" t="s">
        <v>11</v>
      </c>
      <c r="Q29" s="3" t="s">
        <v>11</v>
      </c>
      <c r="R29" s="3" t="s">
        <v>11</v>
      </c>
      <c r="S29" s="3" t="s">
        <v>11</v>
      </c>
      <c r="T29" s="3" t="s">
        <v>11</v>
      </c>
      <c r="U29" s="3" t="s">
        <v>11</v>
      </c>
      <c r="V29" s="3" t="s">
        <v>11</v>
      </c>
      <c r="W29" s="3" t="s">
        <v>11</v>
      </c>
      <c r="X29" s="3" t="s">
        <v>11</v>
      </c>
      <c r="Y29" s="3" t="s">
        <v>11</v>
      </c>
      <c r="Z29" s="3" t="s">
        <v>11</v>
      </c>
      <c r="AA29" s="3" t="s">
        <v>11</v>
      </c>
    </row>
    <row r="30" spans="3:27" x14ac:dyDescent="0.25">
      <c r="C30" s="10" t="s">
        <v>24</v>
      </c>
      <c r="D30" s="3">
        <v>3419011</v>
      </c>
      <c r="E30" s="3">
        <v>4773306</v>
      </c>
      <c r="F30" s="3">
        <v>3716822</v>
      </c>
      <c r="G30" s="3">
        <v>3313659</v>
      </c>
      <c r="H30" s="3">
        <v>3377536</v>
      </c>
      <c r="I30" s="3">
        <v>3222093</v>
      </c>
      <c r="J30" s="3">
        <v>2783981</v>
      </c>
      <c r="K30" s="3">
        <v>2603716</v>
      </c>
      <c r="L30" s="3">
        <v>2643618</v>
      </c>
      <c r="M30" s="3">
        <v>2473125</v>
      </c>
      <c r="N30" s="3" t="s">
        <v>11</v>
      </c>
      <c r="O30" s="3" t="s">
        <v>11</v>
      </c>
      <c r="P30" s="3" t="s">
        <v>11</v>
      </c>
      <c r="Q30" s="3" t="s">
        <v>11</v>
      </c>
      <c r="R30" s="3" t="s">
        <v>11</v>
      </c>
      <c r="S30" s="3" t="s">
        <v>11</v>
      </c>
      <c r="T30" s="3" t="s">
        <v>11</v>
      </c>
      <c r="U30" s="3" t="s">
        <v>11</v>
      </c>
      <c r="V30" s="3" t="s">
        <v>11</v>
      </c>
      <c r="W30" s="3" t="s">
        <v>11</v>
      </c>
      <c r="X30" s="3" t="s">
        <v>11</v>
      </c>
      <c r="Y30" s="3" t="s">
        <v>11</v>
      </c>
      <c r="Z30" s="3" t="s">
        <v>11</v>
      </c>
      <c r="AA30" s="3" t="s">
        <v>11</v>
      </c>
    </row>
    <row r="31" spans="3:27" x14ac:dyDescent="0.25">
      <c r="C31" s="10" t="s">
        <v>25</v>
      </c>
      <c r="D31" s="3">
        <v>5498188</v>
      </c>
      <c r="E31" s="3">
        <v>10669557</v>
      </c>
      <c r="F31" s="3">
        <v>10857709</v>
      </c>
      <c r="G31" s="3">
        <v>14275258</v>
      </c>
      <c r="H31" s="3">
        <v>14084665</v>
      </c>
      <c r="I31" s="3">
        <v>14163048</v>
      </c>
      <c r="J31" s="3">
        <v>13850553</v>
      </c>
      <c r="K31" s="3">
        <v>13534768</v>
      </c>
      <c r="L31" s="3">
        <v>13371613</v>
      </c>
      <c r="M31" s="3" t="s">
        <v>11</v>
      </c>
      <c r="N31" s="3" t="s">
        <v>11</v>
      </c>
      <c r="O31" s="3" t="s">
        <v>11</v>
      </c>
      <c r="P31" s="3" t="s">
        <v>11</v>
      </c>
      <c r="Q31" s="3" t="s">
        <v>11</v>
      </c>
      <c r="R31" s="3" t="s">
        <v>11</v>
      </c>
      <c r="S31" s="3" t="s">
        <v>11</v>
      </c>
      <c r="T31" s="3" t="s">
        <v>11</v>
      </c>
      <c r="U31" s="3" t="s">
        <v>11</v>
      </c>
      <c r="V31" s="3" t="s">
        <v>11</v>
      </c>
      <c r="W31" s="3" t="s">
        <v>11</v>
      </c>
      <c r="X31" s="3" t="s">
        <v>11</v>
      </c>
      <c r="Y31" s="3" t="s">
        <v>11</v>
      </c>
      <c r="Z31" s="3" t="s">
        <v>11</v>
      </c>
      <c r="AA31" s="3" t="s">
        <v>11</v>
      </c>
    </row>
    <row r="32" spans="3:27" x14ac:dyDescent="0.25">
      <c r="C32" s="10" t="s">
        <v>26</v>
      </c>
      <c r="D32" s="3">
        <v>6382667</v>
      </c>
      <c r="E32" s="3">
        <v>10460689</v>
      </c>
      <c r="F32" s="3">
        <v>9727516</v>
      </c>
      <c r="G32" s="3">
        <v>13561133</v>
      </c>
      <c r="H32" s="3">
        <v>12865538</v>
      </c>
      <c r="I32" s="3">
        <v>12816850</v>
      </c>
      <c r="J32" s="3">
        <v>12593535</v>
      </c>
      <c r="K32" s="3">
        <v>12422697</v>
      </c>
      <c r="L32" s="3" t="s">
        <v>11</v>
      </c>
      <c r="M32" s="3" t="s">
        <v>11</v>
      </c>
      <c r="N32" s="3" t="s">
        <v>11</v>
      </c>
      <c r="O32" s="3" t="s">
        <v>11</v>
      </c>
      <c r="P32" s="3" t="s">
        <v>11</v>
      </c>
      <c r="Q32" s="3" t="s">
        <v>11</v>
      </c>
      <c r="R32" s="3" t="s">
        <v>11</v>
      </c>
      <c r="S32" s="3" t="s">
        <v>11</v>
      </c>
      <c r="T32" s="3" t="s">
        <v>11</v>
      </c>
      <c r="U32" s="3" t="s">
        <v>11</v>
      </c>
      <c r="V32" s="3" t="s">
        <v>11</v>
      </c>
      <c r="W32" s="3" t="s">
        <v>11</v>
      </c>
      <c r="X32" s="3" t="s">
        <v>11</v>
      </c>
      <c r="Y32" s="3" t="s">
        <v>11</v>
      </c>
      <c r="Z32" s="3" t="s">
        <v>11</v>
      </c>
      <c r="AA32" s="3" t="s">
        <v>11</v>
      </c>
    </row>
    <row r="33" spans="3:27" x14ac:dyDescent="0.25">
      <c r="C33" s="10" t="s">
        <v>27</v>
      </c>
      <c r="D33" s="3">
        <v>3022770</v>
      </c>
      <c r="E33" s="3">
        <v>7899209</v>
      </c>
      <c r="F33" s="3">
        <v>7498380</v>
      </c>
      <c r="G33" s="3">
        <v>10736732</v>
      </c>
      <c r="H33" s="3">
        <v>10856995</v>
      </c>
      <c r="I33" s="3">
        <v>10834399</v>
      </c>
      <c r="J33" s="3">
        <v>10568629</v>
      </c>
      <c r="K33" s="3" t="s">
        <v>11</v>
      </c>
      <c r="L33" s="3" t="s">
        <v>11</v>
      </c>
      <c r="M33" s="3" t="s">
        <v>11</v>
      </c>
      <c r="N33" s="3" t="s">
        <v>11</v>
      </c>
      <c r="O33" s="3" t="s">
        <v>11</v>
      </c>
      <c r="P33" s="3" t="s">
        <v>11</v>
      </c>
      <c r="Q33" s="3" t="s">
        <v>11</v>
      </c>
      <c r="R33" s="3" t="s">
        <v>11</v>
      </c>
      <c r="S33" s="3" t="s">
        <v>11</v>
      </c>
      <c r="T33" s="3" t="s">
        <v>11</v>
      </c>
      <c r="U33" s="3" t="s">
        <v>11</v>
      </c>
      <c r="V33" s="3" t="s">
        <v>11</v>
      </c>
      <c r="W33" s="3" t="s">
        <v>11</v>
      </c>
      <c r="X33" s="3" t="s">
        <v>11</v>
      </c>
      <c r="Y33" s="3" t="s">
        <v>11</v>
      </c>
      <c r="Z33" s="3" t="s">
        <v>11</v>
      </c>
      <c r="AA33" s="3" t="s">
        <v>11</v>
      </c>
    </row>
    <row r="34" spans="3:27" x14ac:dyDescent="0.25">
      <c r="C34" s="10" t="s">
        <v>28</v>
      </c>
      <c r="D34" s="3">
        <v>6936281</v>
      </c>
      <c r="E34" s="3">
        <v>21936281</v>
      </c>
      <c r="F34" s="3">
        <v>21767538</v>
      </c>
      <c r="G34" s="3">
        <v>25515798</v>
      </c>
      <c r="H34" s="3">
        <v>25644750</v>
      </c>
      <c r="I34" s="3">
        <v>25593031</v>
      </c>
      <c r="J34" s="3" t="s">
        <v>11</v>
      </c>
      <c r="K34" s="3" t="s">
        <v>11</v>
      </c>
      <c r="L34" s="3" t="s">
        <v>11</v>
      </c>
      <c r="M34" s="3" t="s">
        <v>11</v>
      </c>
      <c r="N34" s="3" t="s">
        <v>11</v>
      </c>
      <c r="O34" s="3" t="s">
        <v>11</v>
      </c>
      <c r="P34" s="3" t="s">
        <v>11</v>
      </c>
      <c r="Q34" s="3" t="s">
        <v>11</v>
      </c>
      <c r="R34" s="3" t="s">
        <v>11</v>
      </c>
      <c r="S34" s="3" t="s">
        <v>11</v>
      </c>
      <c r="T34" s="3" t="s">
        <v>11</v>
      </c>
      <c r="U34" s="3" t="s">
        <v>11</v>
      </c>
      <c r="V34" s="3" t="s">
        <v>11</v>
      </c>
      <c r="W34" s="3" t="s">
        <v>11</v>
      </c>
      <c r="X34" s="3" t="s">
        <v>11</v>
      </c>
      <c r="Y34" s="3" t="s">
        <v>11</v>
      </c>
      <c r="Z34" s="3" t="s">
        <v>11</v>
      </c>
      <c r="AA34" s="3" t="s">
        <v>11</v>
      </c>
    </row>
    <row r="35" spans="3:27" x14ac:dyDescent="0.25">
      <c r="C35" s="10" t="s">
        <v>29</v>
      </c>
      <c r="D35" s="3">
        <v>6691248</v>
      </c>
      <c r="E35" s="3">
        <v>11756013</v>
      </c>
      <c r="F35" s="3">
        <v>11113520</v>
      </c>
      <c r="G35" s="3">
        <v>14458725</v>
      </c>
      <c r="H35" s="3">
        <v>14275150</v>
      </c>
      <c r="I35" s="3" t="s">
        <v>11</v>
      </c>
      <c r="J35" s="3" t="s">
        <v>11</v>
      </c>
      <c r="K35" s="3" t="s">
        <v>11</v>
      </c>
      <c r="L35" s="3" t="s">
        <v>11</v>
      </c>
      <c r="M35" s="3" t="s">
        <v>11</v>
      </c>
      <c r="N35" s="3" t="s">
        <v>11</v>
      </c>
      <c r="O35" s="3" t="s">
        <v>11</v>
      </c>
      <c r="P35" s="3" t="s">
        <v>11</v>
      </c>
      <c r="Q35" s="3" t="s">
        <v>11</v>
      </c>
      <c r="R35" s="3" t="s">
        <v>11</v>
      </c>
      <c r="S35" s="3" t="s">
        <v>11</v>
      </c>
      <c r="T35" s="3" t="s">
        <v>11</v>
      </c>
      <c r="U35" s="3" t="s">
        <v>11</v>
      </c>
      <c r="V35" s="3" t="s">
        <v>11</v>
      </c>
      <c r="W35" s="3" t="s">
        <v>11</v>
      </c>
      <c r="X35" s="3" t="s">
        <v>11</v>
      </c>
      <c r="Y35" s="3" t="s">
        <v>11</v>
      </c>
      <c r="Z35" s="3" t="s">
        <v>11</v>
      </c>
      <c r="AA35" s="3" t="s">
        <v>11</v>
      </c>
    </row>
    <row r="36" spans="3:27" x14ac:dyDescent="0.25">
      <c r="C36" s="10" t="s">
        <v>30</v>
      </c>
      <c r="D36" s="3">
        <v>4191817</v>
      </c>
      <c r="E36" s="3">
        <v>9775450</v>
      </c>
      <c r="F36" s="3">
        <v>9803541</v>
      </c>
      <c r="G36" s="3">
        <v>12735195</v>
      </c>
      <c r="H36" s="3" t="s">
        <v>11</v>
      </c>
      <c r="I36" s="3" t="s">
        <v>11</v>
      </c>
      <c r="J36" s="3" t="s">
        <v>11</v>
      </c>
      <c r="K36" s="3" t="s">
        <v>11</v>
      </c>
      <c r="L36" s="3" t="s">
        <v>11</v>
      </c>
      <c r="M36" s="3" t="s">
        <v>11</v>
      </c>
      <c r="N36" s="3" t="s">
        <v>11</v>
      </c>
      <c r="O36" s="3" t="s">
        <v>11</v>
      </c>
      <c r="P36" s="3" t="s">
        <v>11</v>
      </c>
      <c r="Q36" s="3" t="s">
        <v>11</v>
      </c>
      <c r="R36" s="3" t="s">
        <v>11</v>
      </c>
      <c r="S36" s="3" t="s">
        <v>11</v>
      </c>
      <c r="T36" s="3" t="s">
        <v>11</v>
      </c>
      <c r="U36" s="3" t="s">
        <v>11</v>
      </c>
      <c r="V36" s="3" t="s">
        <v>11</v>
      </c>
      <c r="W36" s="3" t="s">
        <v>11</v>
      </c>
      <c r="X36" s="3" t="s">
        <v>11</v>
      </c>
      <c r="Y36" s="3" t="s">
        <v>11</v>
      </c>
      <c r="Z36" s="3" t="s">
        <v>11</v>
      </c>
      <c r="AA36" s="3" t="s">
        <v>11</v>
      </c>
    </row>
    <row r="37" spans="3:27" x14ac:dyDescent="0.25">
      <c r="C37" s="10" t="s">
        <v>31</v>
      </c>
      <c r="D37" s="3">
        <v>5916671</v>
      </c>
      <c r="E37" s="3">
        <v>11716355</v>
      </c>
      <c r="F37" s="3">
        <v>11277873</v>
      </c>
      <c r="G37" s="3" t="s">
        <v>11</v>
      </c>
      <c r="H37" s="3" t="s">
        <v>11</v>
      </c>
      <c r="I37" s="3" t="s">
        <v>11</v>
      </c>
      <c r="J37" s="3" t="s">
        <v>11</v>
      </c>
      <c r="K37" s="3" t="s">
        <v>11</v>
      </c>
      <c r="L37" s="3" t="s">
        <v>11</v>
      </c>
      <c r="M37" s="3" t="s">
        <v>11</v>
      </c>
      <c r="N37" s="3" t="s">
        <v>11</v>
      </c>
      <c r="O37" s="3" t="s">
        <v>11</v>
      </c>
      <c r="P37" s="3" t="s">
        <v>11</v>
      </c>
      <c r="Q37" s="3" t="s">
        <v>11</v>
      </c>
      <c r="R37" s="3" t="s">
        <v>11</v>
      </c>
      <c r="S37" s="3" t="s">
        <v>11</v>
      </c>
      <c r="T37" s="3" t="s">
        <v>11</v>
      </c>
      <c r="U37" s="3" t="s">
        <v>11</v>
      </c>
      <c r="V37" s="3" t="s">
        <v>11</v>
      </c>
      <c r="W37" s="3" t="s">
        <v>11</v>
      </c>
      <c r="X37" s="3" t="s">
        <v>11</v>
      </c>
      <c r="Y37" s="3" t="s">
        <v>11</v>
      </c>
      <c r="Z37" s="3" t="s">
        <v>11</v>
      </c>
      <c r="AA37" s="3" t="s">
        <v>11</v>
      </c>
    </row>
    <row r="38" spans="3:27" x14ac:dyDescent="0.25">
      <c r="C38" s="10" t="s">
        <v>32</v>
      </c>
      <c r="D38" s="3">
        <v>4926500</v>
      </c>
      <c r="E38" s="3">
        <v>9321834</v>
      </c>
      <c r="F38" s="3" t="s">
        <v>11</v>
      </c>
      <c r="G38" s="3" t="s">
        <v>11</v>
      </c>
      <c r="H38" s="3" t="s">
        <v>11</v>
      </c>
      <c r="I38" s="3" t="s">
        <v>11</v>
      </c>
      <c r="J38" s="3" t="s">
        <v>11</v>
      </c>
      <c r="K38" s="3" t="s">
        <v>11</v>
      </c>
      <c r="L38" s="3" t="s">
        <v>11</v>
      </c>
      <c r="M38" s="3" t="s">
        <v>11</v>
      </c>
      <c r="N38" s="3" t="s">
        <v>11</v>
      </c>
      <c r="O38" s="3" t="s">
        <v>11</v>
      </c>
      <c r="P38" s="3" t="s">
        <v>11</v>
      </c>
      <c r="Q38" s="3" t="s">
        <v>11</v>
      </c>
      <c r="R38" s="3" t="s">
        <v>11</v>
      </c>
      <c r="S38" s="3" t="s">
        <v>11</v>
      </c>
      <c r="T38" s="3" t="s">
        <v>11</v>
      </c>
      <c r="U38" s="3" t="s">
        <v>11</v>
      </c>
      <c r="V38" s="3" t="s">
        <v>11</v>
      </c>
      <c r="W38" s="3" t="s">
        <v>11</v>
      </c>
      <c r="X38" s="3" t="s">
        <v>11</v>
      </c>
      <c r="Y38" s="3" t="s">
        <v>11</v>
      </c>
      <c r="Z38" s="3" t="s">
        <v>11</v>
      </c>
      <c r="AA38" s="3" t="s">
        <v>11</v>
      </c>
    </row>
    <row r="39" spans="3:27" x14ac:dyDescent="0.25">
      <c r="C39" s="10" t="s">
        <v>33</v>
      </c>
      <c r="D39" s="3">
        <v>5149958</v>
      </c>
      <c r="E39" s="3"/>
      <c r="F39" s="3" t="s">
        <v>11</v>
      </c>
      <c r="G39" s="3" t="s">
        <v>11</v>
      </c>
      <c r="H39" s="3" t="s">
        <v>11</v>
      </c>
      <c r="I39" s="3" t="s">
        <v>11</v>
      </c>
      <c r="J39" s="3" t="s">
        <v>11</v>
      </c>
      <c r="K39" s="3" t="s">
        <v>11</v>
      </c>
      <c r="L39" s="3" t="s">
        <v>11</v>
      </c>
      <c r="M39" s="3" t="s">
        <v>11</v>
      </c>
      <c r="N39" s="3" t="s">
        <v>11</v>
      </c>
      <c r="O39" s="3" t="s">
        <v>11</v>
      </c>
      <c r="P39" s="3" t="s">
        <v>11</v>
      </c>
      <c r="Q39" s="3" t="s">
        <v>11</v>
      </c>
      <c r="R39" s="3" t="s">
        <v>11</v>
      </c>
      <c r="S39" s="3" t="s">
        <v>11</v>
      </c>
      <c r="T39" s="3" t="s">
        <v>11</v>
      </c>
      <c r="U39" s="3" t="s">
        <v>11</v>
      </c>
      <c r="V39" s="3" t="s">
        <v>11</v>
      </c>
      <c r="W39" s="3" t="s">
        <v>11</v>
      </c>
      <c r="X39" s="3" t="s">
        <v>11</v>
      </c>
      <c r="Y39" s="3" t="s">
        <v>11</v>
      </c>
      <c r="Z39" s="3" t="s">
        <v>11</v>
      </c>
      <c r="AA39" s="3" t="s">
        <v>11</v>
      </c>
    </row>
    <row r="40" spans="3:27" x14ac:dyDescent="0.25"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</row>
    <row r="41" spans="3:27" x14ac:dyDescent="0.25"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</row>
    <row r="42" spans="3:27" ht="26.25" x14ac:dyDescent="0.4">
      <c r="C42" s="13" t="s">
        <v>52</v>
      </c>
      <c r="D42" s="13"/>
      <c r="E42" s="13"/>
      <c r="F42" s="13"/>
      <c r="G42" s="13"/>
      <c r="H42" s="13"/>
      <c r="I42" s="13"/>
      <c r="J42" s="13"/>
      <c r="K42" s="13"/>
      <c r="L42" s="13"/>
      <c r="M42" s="13"/>
      <c r="N42" s="13"/>
      <c r="O42" s="13"/>
      <c r="P42" s="13"/>
      <c r="Q42" s="13"/>
      <c r="R42" s="13"/>
      <c r="S42" s="13"/>
      <c r="T42" s="13"/>
      <c r="U42" s="13"/>
      <c r="V42" s="13"/>
      <c r="W42" s="13"/>
      <c r="X42" s="13"/>
      <c r="Y42" s="13"/>
      <c r="Z42" s="13"/>
      <c r="AA42" s="13"/>
    </row>
    <row r="43" spans="3:27" x14ac:dyDescent="0.25">
      <c r="C43" s="12">
        <v>1</v>
      </c>
      <c r="D43" s="12">
        <f>+C43+1</f>
        <v>2</v>
      </c>
      <c r="E43" s="12">
        <f t="shared" ref="E43" si="1">+D43+1</f>
        <v>3</v>
      </c>
      <c r="F43" s="12">
        <f t="shared" ref="F43" si="2">+E43+1</f>
        <v>4</v>
      </c>
      <c r="G43" s="12">
        <f t="shared" ref="G43" si="3">+F43+1</f>
        <v>5</v>
      </c>
      <c r="H43" s="12">
        <f t="shared" ref="H43" si="4">+G43+1</f>
        <v>6</v>
      </c>
      <c r="I43" s="12">
        <f t="shared" ref="I43" si="5">+H43+1</f>
        <v>7</v>
      </c>
      <c r="J43" s="12">
        <f t="shared" ref="J43" si="6">+I43+1</f>
        <v>8</v>
      </c>
      <c r="K43" s="12">
        <f t="shared" ref="K43" si="7">+J43+1</f>
        <v>9</v>
      </c>
      <c r="L43" s="12">
        <f t="shared" ref="L43" si="8">+K43+1</f>
        <v>10</v>
      </c>
      <c r="M43" s="12">
        <f t="shared" ref="M43" si="9">+L43+1</f>
        <v>11</v>
      </c>
      <c r="N43" s="12">
        <f t="shared" ref="N43" si="10">+M43+1</f>
        <v>12</v>
      </c>
      <c r="O43" s="12">
        <f t="shared" ref="O43" si="11">+N43+1</f>
        <v>13</v>
      </c>
      <c r="P43" s="12">
        <f t="shared" ref="P43" si="12">+O43+1</f>
        <v>14</v>
      </c>
      <c r="Q43" s="12">
        <f t="shared" ref="Q43" si="13">+P43+1</f>
        <v>15</v>
      </c>
      <c r="R43" s="12">
        <f t="shared" ref="R43" si="14">+Q43+1</f>
        <v>16</v>
      </c>
      <c r="S43" s="12">
        <f t="shared" ref="S43" si="15">+R43+1</f>
        <v>17</v>
      </c>
      <c r="T43" s="12">
        <f t="shared" ref="T43" si="16">+S43+1</f>
        <v>18</v>
      </c>
      <c r="U43" s="12">
        <f t="shared" ref="U43" si="17">+T43+1</f>
        <v>19</v>
      </c>
      <c r="V43" s="12">
        <f t="shared" ref="V43" si="18">+U43+1</f>
        <v>20</v>
      </c>
      <c r="W43" s="12">
        <f t="shared" ref="W43" si="19">+V43+1</f>
        <v>21</v>
      </c>
      <c r="X43" s="12">
        <f t="shared" ref="X43" si="20">+W43+1</f>
        <v>22</v>
      </c>
      <c r="Y43" s="12">
        <f t="shared" ref="Y43" si="21">+X43+1</f>
        <v>23</v>
      </c>
      <c r="Z43" s="12">
        <f t="shared" ref="Z43" si="22">+Y43+1</f>
        <v>24</v>
      </c>
    </row>
    <row r="44" spans="3:27" x14ac:dyDescent="0.25">
      <c r="C44" s="10" t="s">
        <v>9</v>
      </c>
      <c r="D44" s="17">
        <f>E16/D16</f>
        <v>1.3012915774801588</v>
      </c>
      <c r="E44" s="17">
        <f>F16/E16</f>
        <v>0.86709506178619189</v>
      </c>
      <c r="F44" s="17">
        <f>G16/F16</f>
        <v>0.91302390025203217</v>
      </c>
      <c r="G44" s="17">
        <f>H16/G16</f>
        <v>1.0100380259879793</v>
      </c>
      <c r="H44" s="17">
        <f>I16/H16</f>
        <v>0.97635252242705584</v>
      </c>
      <c r="I44" s="17">
        <f>J16/I16</f>
        <v>0.98005414001163405</v>
      </c>
      <c r="J44" s="17">
        <f>K16/J16</f>
        <v>0.96352694742337153</v>
      </c>
      <c r="K44" s="17">
        <f>L16/K16</f>
        <v>0.97419870350385274</v>
      </c>
      <c r="L44" s="17">
        <f>M16/L16</f>
        <v>0.99358889401795147</v>
      </c>
      <c r="M44" s="17">
        <f>N16/M16</f>
        <v>0.9944931577640419</v>
      </c>
      <c r="N44" s="17">
        <f>O16/N16</f>
        <v>0.98615404627364034</v>
      </c>
      <c r="O44" s="17">
        <f>P16/O16</f>
        <v>0.99991924930596321</v>
      </c>
      <c r="P44" s="17">
        <f>Q16/P16</f>
        <v>0.99638560133071463</v>
      </c>
      <c r="Q44" s="17">
        <f>R16/Q16</f>
        <v>0.99928909391069443</v>
      </c>
      <c r="R44" s="17">
        <f>S16/R16</f>
        <v>0.99969704853444008</v>
      </c>
      <c r="S44" s="17">
        <f>T16/S16</f>
        <v>0.99979287172778153</v>
      </c>
      <c r="T44" s="17">
        <f>U16/T16</f>
        <v>0.99980262861548097</v>
      </c>
      <c r="U44" s="17">
        <f>V16/U16</f>
        <v>0.99994823996981752</v>
      </c>
      <c r="V44" s="17">
        <f>W16/V16</f>
        <v>0.99993293203762612</v>
      </c>
      <c r="W44" s="17">
        <f>X16/W16</f>
        <v>0.99998383381714362</v>
      </c>
      <c r="X44" s="17">
        <f>Y16/X16</f>
        <v>1.000001203884143</v>
      </c>
      <c r="Y44" s="17">
        <f>Z16/Y16</f>
        <v>1.0000012038826938</v>
      </c>
      <c r="Z44" s="17">
        <f>AA16/Z16</f>
        <v>1.0000001719830349</v>
      </c>
      <c r="AA44" s="3"/>
    </row>
    <row r="45" spans="3:27" x14ac:dyDescent="0.25">
      <c r="C45" s="10" t="s">
        <v>10</v>
      </c>
      <c r="D45" s="17">
        <f>E17/D17</f>
        <v>1.397843474603863</v>
      </c>
      <c r="E45" s="17">
        <f>F17/E17</f>
        <v>0.97472619453974718</v>
      </c>
      <c r="F45" s="17">
        <f>G17/F17</f>
        <v>0.95446850784274018</v>
      </c>
      <c r="G45" s="17">
        <f>H17/G17</f>
        <v>0.97039282618625922</v>
      </c>
      <c r="H45" s="17">
        <f>I17/H17</f>
        <v>0.95617911762748065</v>
      </c>
      <c r="I45" s="17">
        <f>J17/I17</f>
        <v>0.9648928656904936</v>
      </c>
      <c r="J45" s="17">
        <f>K17/J17</f>
        <v>0.97298216396359627</v>
      </c>
      <c r="K45" s="17">
        <f>L17/K17</f>
        <v>0.98590472461473644</v>
      </c>
      <c r="L45" s="17">
        <f>M17/L17</f>
        <v>0.98317591128234949</v>
      </c>
      <c r="M45" s="17">
        <f>N17/M17</f>
        <v>0.98624487767323332</v>
      </c>
      <c r="N45" s="17">
        <f>O17/N17</f>
        <v>0.99322389325813132</v>
      </c>
      <c r="O45" s="17">
        <f>P17/O17</f>
        <v>0.99593738936135467</v>
      </c>
      <c r="P45" s="17">
        <f>Q17/P17</f>
        <v>0.99928765074833503</v>
      </c>
      <c r="Q45" s="17">
        <f>R17/Q17</f>
        <v>0.99987704621525386</v>
      </c>
      <c r="R45" s="17">
        <f>S17/R17</f>
        <v>0.99945088885648037</v>
      </c>
      <c r="S45" s="17">
        <f>T17/S17</f>
        <v>0.99992372739470659</v>
      </c>
      <c r="T45" s="17">
        <f>U17/T17</f>
        <v>0.99992722288142621</v>
      </c>
      <c r="U45" s="17">
        <f>V17/U17</f>
        <v>0.99997223763533682</v>
      </c>
      <c r="V45" s="17">
        <f>W17/V17</f>
        <v>0.99995522881763432</v>
      </c>
      <c r="W45" s="17">
        <f>X17/W17</f>
        <v>0.99999912454662454</v>
      </c>
      <c r="X45" s="17">
        <f>Y17/X17</f>
        <v>1.0000020010380384</v>
      </c>
      <c r="Y45" s="17">
        <f>Z17/Y17</f>
        <v>1.0000010005170172</v>
      </c>
      <c r="Z45" s="17"/>
      <c r="AA45" s="3"/>
    </row>
    <row r="46" spans="3:27" x14ac:dyDescent="0.25">
      <c r="C46" s="10" t="s">
        <v>12</v>
      </c>
      <c r="D46" s="20">
        <f>E18/D18</f>
        <v>1.143045368392186</v>
      </c>
      <c r="E46" s="20">
        <f>F18/E18</f>
        <v>0.97581435491116486</v>
      </c>
      <c r="F46" s="20">
        <f>G18/F18</f>
        <v>1.03592067292176</v>
      </c>
      <c r="G46" s="20">
        <f>H18/G18</f>
        <v>0.95608048090411935</v>
      </c>
      <c r="H46" s="20">
        <f>I18/H18</f>
        <v>0.98324642218042191</v>
      </c>
      <c r="I46" s="20">
        <f>J18/I18</f>
        <v>0.98779584800405296</v>
      </c>
      <c r="J46" s="20">
        <f>K18/J18</f>
        <v>0.97049238975076579</v>
      </c>
      <c r="K46" s="20">
        <f>L18/K18</f>
        <v>0.95421783575046981</v>
      </c>
      <c r="L46" s="20">
        <f>M18/L18</f>
        <v>1.0054445888419512</v>
      </c>
      <c r="M46" s="20">
        <f>N18/M18</f>
        <v>0.98238258582942717</v>
      </c>
      <c r="N46" s="20">
        <f>O18/N18</f>
        <v>0.98351198067447687</v>
      </c>
      <c r="O46" s="20">
        <f>P18/O18</f>
        <v>0.98955234856876706</v>
      </c>
      <c r="P46" s="20">
        <f>Q18/P18</f>
        <v>1.0003207721907661</v>
      </c>
      <c r="Q46" s="20">
        <f>R18/Q18</f>
        <v>0.99786453276573805</v>
      </c>
      <c r="R46" s="20">
        <f>S18/R18</f>
        <v>0.99948880070524293</v>
      </c>
      <c r="S46" s="20">
        <f>T18/S18</f>
        <v>0.99994694390527661</v>
      </c>
      <c r="T46" s="20">
        <f>U18/T18</f>
        <v>0.9999662545333533</v>
      </c>
      <c r="U46" s="20">
        <f>V18/U18</f>
        <v>0.99983699752843258</v>
      </c>
      <c r="V46" s="20">
        <f>W18/V18</f>
        <v>1.0000125243667923</v>
      </c>
      <c r="W46" s="20">
        <f>X18/W18</f>
        <v>0.99999872635153209</v>
      </c>
      <c r="X46" s="20">
        <f>Y18/X18</f>
        <v>1</v>
      </c>
      <c r="Y46" s="20"/>
      <c r="Z46" s="20"/>
      <c r="AA46" s="3"/>
    </row>
    <row r="47" spans="3:27" x14ac:dyDescent="0.25">
      <c r="C47" s="10" t="s">
        <v>13</v>
      </c>
      <c r="D47" s="17">
        <f>E19/D19</f>
        <v>1.388357633749101</v>
      </c>
      <c r="E47" s="17">
        <f>F19/E19</f>
        <v>0.90629321495066872</v>
      </c>
      <c r="F47" s="17">
        <f>G19/F19</f>
        <v>0.94808606594239297</v>
      </c>
      <c r="G47" s="17">
        <f>H19/G19</f>
        <v>0.90672722604333045</v>
      </c>
      <c r="H47" s="17">
        <f>I19/H19</f>
        <v>0.91328267165752686</v>
      </c>
      <c r="I47" s="17">
        <f>J19/I19</f>
        <v>0.93351614873101063</v>
      </c>
      <c r="J47" s="17">
        <f>K19/J19</f>
        <v>0.97364604229976914</v>
      </c>
      <c r="K47" s="17">
        <f>L19/K19</f>
        <v>0.98200614116119145</v>
      </c>
      <c r="L47" s="17">
        <f>M19/L19</f>
        <v>0.98800224598197539</v>
      </c>
      <c r="M47" s="17">
        <f>N19/M19</f>
        <v>0.98646125098822635</v>
      </c>
      <c r="N47" s="17">
        <f>O19/N19</f>
        <v>0.98199032377365059</v>
      </c>
      <c r="O47" s="17">
        <f>P19/O19</f>
        <v>0.99932371608418358</v>
      </c>
      <c r="P47" s="17">
        <f>Q19/P19</f>
        <v>0.99935294874459391</v>
      </c>
      <c r="Q47" s="17">
        <f>R19/Q19</f>
        <v>1.0001984598171356</v>
      </c>
      <c r="R47" s="17">
        <f>S19/R19</f>
        <v>0.99945879934247983</v>
      </c>
      <c r="S47" s="17">
        <f>T19/S19</f>
        <v>0.9999768186005964</v>
      </c>
      <c r="T47" s="17">
        <f>U19/T19</f>
        <v>0.99995581562474423</v>
      </c>
      <c r="U47" s="17">
        <f>V19/U19</f>
        <v>0.99986169481315923</v>
      </c>
      <c r="V47" s="17">
        <f>W19/V19</f>
        <v>1.0000085214121288</v>
      </c>
      <c r="W47" s="17">
        <f>X19/W19</f>
        <v>0.99999365853803535</v>
      </c>
      <c r="X47" s="17"/>
      <c r="Y47" s="17"/>
      <c r="Z47" s="17"/>
      <c r="AA47" s="3"/>
    </row>
    <row r="48" spans="3:27" x14ac:dyDescent="0.25">
      <c r="C48" s="10" t="s">
        <v>14</v>
      </c>
      <c r="D48" s="17">
        <f>E20/D20</f>
        <v>1.1834975754654893</v>
      </c>
      <c r="E48" s="17">
        <f>F20/E20</f>
        <v>0.914498371192629</v>
      </c>
      <c r="F48" s="17">
        <f>G20/F20</f>
        <v>0.99679913017440547</v>
      </c>
      <c r="G48" s="17">
        <f>H20/G20</f>
        <v>0.90573401339954274</v>
      </c>
      <c r="H48" s="17">
        <f>I20/H20</f>
        <v>0.93066087388173846</v>
      </c>
      <c r="I48" s="17">
        <f>J20/I20</f>
        <v>0.97973049505160881</v>
      </c>
      <c r="J48" s="17">
        <f>K20/J20</f>
        <v>0.96445907829530908</v>
      </c>
      <c r="K48" s="17">
        <f>L20/K20</f>
        <v>0.95087351723517577</v>
      </c>
      <c r="L48" s="17">
        <f>M20/L20</f>
        <v>0.94998046902792677</v>
      </c>
      <c r="M48" s="17">
        <f>N20/M20</f>
        <v>0.97737206689201417</v>
      </c>
      <c r="N48" s="17">
        <f>O20/N20</f>
        <v>1.0032756396239502</v>
      </c>
      <c r="O48" s="17">
        <f>P20/O20</f>
        <v>1.0001914860565877</v>
      </c>
      <c r="P48" s="17">
        <f>Q20/P20</f>
        <v>0.99620220325988851</v>
      </c>
      <c r="Q48" s="17">
        <f>R20/Q20</f>
        <v>0.99733173140768283</v>
      </c>
      <c r="R48" s="17">
        <f>S20/R20</f>
        <v>0.99917834662990046</v>
      </c>
      <c r="S48" s="17">
        <f>T20/S20</f>
        <v>0.99980021413058151</v>
      </c>
      <c r="T48" s="17">
        <f>U20/T20</f>
        <v>0.99973797247042118</v>
      </c>
      <c r="U48" s="17">
        <f>V20/U20</f>
        <v>0.99987166174197506</v>
      </c>
      <c r="V48" s="17">
        <f>W20/V20</f>
        <v>0.99996032277745761</v>
      </c>
      <c r="W48" s="17"/>
      <c r="X48" s="17"/>
      <c r="Y48" s="17"/>
      <c r="Z48" s="17"/>
      <c r="AA48" s="3"/>
    </row>
    <row r="49" spans="3:27" x14ac:dyDescent="0.25">
      <c r="C49" s="10" t="s">
        <v>15</v>
      </c>
      <c r="D49" s="17">
        <f>E21/D21</f>
        <v>1.4518264969574284</v>
      </c>
      <c r="E49" s="17">
        <f>F21/E21</f>
        <v>0.86158766775437901</v>
      </c>
      <c r="F49" s="17">
        <f>G21/F21</f>
        <v>0.98622004353578319</v>
      </c>
      <c r="G49" s="17">
        <f>H21/G21</f>
        <v>0.84000688871220786</v>
      </c>
      <c r="H49" s="17">
        <f>I21/H21</f>
        <v>0.89625957559311376</v>
      </c>
      <c r="I49" s="17">
        <f>J21/I21</f>
        <v>0.89303875873911442</v>
      </c>
      <c r="J49" s="17">
        <f>K21/J21</f>
        <v>0.87960628737066415</v>
      </c>
      <c r="K49" s="17">
        <f>L21/K21</f>
        <v>1.018383165231838</v>
      </c>
      <c r="L49" s="17">
        <f>M21/L21</f>
        <v>0.96300959928918572</v>
      </c>
      <c r="M49" s="17">
        <f>N21/M21</f>
        <v>1.0052680034565427</v>
      </c>
      <c r="N49" s="17">
        <f>O21/N21</f>
        <v>1.0053631414982427</v>
      </c>
      <c r="O49" s="17">
        <f>P21/O21</f>
        <v>0.98539137818383316</v>
      </c>
      <c r="P49" s="17">
        <f>Q21/P21</f>
        <v>0.99731297541510389</v>
      </c>
      <c r="Q49" s="17">
        <f>R21/Q21</f>
        <v>0.99828557757160363</v>
      </c>
      <c r="R49" s="17">
        <f>S21/R21</f>
        <v>0.99966359202624788</v>
      </c>
      <c r="S49" s="17">
        <f>T21/S21</f>
        <v>1.0002132371691259</v>
      </c>
      <c r="T49" s="17">
        <f>U21/T21</f>
        <v>0.99997430457747893</v>
      </c>
      <c r="U49" s="17">
        <f>V21/U21</f>
        <v>0.99982976345149788</v>
      </c>
      <c r="V49" s="17"/>
      <c r="W49" s="17"/>
      <c r="X49" s="17"/>
      <c r="Y49" s="17"/>
      <c r="Z49" s="17"/>
      <c r="AA49" s="3"/>
    </row>
    <row r="50" spans="3:27" x14ac:dyDescent="0.25">
      <c r="C50" s="10" t="s">
        <v>16</v>
      </c>
      <c r="D50" s="17">
        <f>E22/D22</f>
        <v>1.3704256495167788</v>
      </c>
      <c r="E50" s="17">
        <f>F22/E22</f>
        <v>0.8816315390329752</v>
      </c>
      <c r="F50" s="17">
        <f>G22/F22</f>
        <v>0.89738278618262679</v>
      </c>
      <c r="G50" s="17">
        <f>H22/G22</f>
        <v>0.860721604230126</v>
      </c>
      <c r="H50" s="17">
        <f>I22/H22</f>
        <v>0.85829149317361109</v>
      </c>
      <c r="I50" s="17">
        <f>J22/I22</f>
        <v>0.91761615606174896</v>
      </c>
      <c r="J50" s="17">
        <f>K22/J22</f>
        <v>0.97994464111177737</v>
      </c>
      <c r="K50" s="17">
        <f>L22/K22</f>
        <v>0.95680099881618552</v>
      </c>
      <c r="L50" s="17">
        <f>M22/L22</f>
        <v>0.94905391957615592</v>
      </c>
      <c r="M50" s="17">
        <f>N22/M22</f>
        <v>0.99213545870275865</v>
      </c>
      <c r="N50" s="17">
        <f>O22/N22</f>
        <v>1.0070847373738689</v>
      </c>
      <c r="O50" s="17">
        <f>P22/O22</f>
        <v>0.98425443875098251</v>
      </c>
      <c r="P50" s="17">
        <f>Q22/P22</f>
        <v>0.99469592418114949</v>
      </c>
      <c r="Q50" s="17">
        <f>R22/Q22</f>
        <v>0.99830306580451134</v>
      </c>
      <c r="R50" s="17">
        <f>S22/R22</f>
        <v>0.99983024497653672</v>
      </c>
      <c r="S50" s="17">
        <f>T22/S22</f>
        <v>0.9993284273742985</v>
      </c>
      <c r="T50" s="17">
        <f>U22/T22</f>
        <v>0.99981761512477663</v>
      </c>
      <c r="U50" s="17"/>
      <c r="V50" s="17"/>
      <c r="W50" s="17"/>
      <c r="X50" s="17"/>
      <c r="Y50" s="17"/>
      <c r="Z50" s="17"/>
      <c r="AA50" s="3"/>
    </row>
    <row r="51" spans="3:27" x14ac:dyDescent="0.25">
      <c r="C51" s="10" t="s">
        <v>17</v>
      </c>
      <c r="D51" s="17">
        <f>E23/D23</f>
        <v>1.3880941299121192</v>
      </c>
      <c r="E51" s="17">
        <f>F23/E23</f>
        <v>1.0105954869806999</v>
      </c>
      <c r="F51" s="17">
        <f>G23/F23</f>
        <v>0.91134627750658448</v>
      </c>
      <c r="G51" s="17">
        <f>H23/G23</f>
        <v>0.93531595495634046</v>
      </c>
      <c r="H51" s="17">
        <f>I23/H23</f>
        <v>1.0009358114065972</v>
      </c>
      <c r="I51" s="17">
        <f>J23/I23</f>
        <v>0.94546288355401598</v>
      </c>
      <c r="J51" s="17">
        <f>K23/J23</f>
        <v>0.95647110903994959</v>
      </c>
      <c r="K51" s="17">
        <f>L23/K23</f>
        <v>0.98401580968277191</v>
      </c>
      <c r="L51" s="17">
        <f>M23/L23</f>
        <v>0.97285424820075994</v>
      </c>
      <c r="M51" s="17">
        <f>N23/M23</f>
        <v>0.97428135395233184</v>
      </c>
      <c r="N51" s="17">
        <f>O23/N23</f>
        <v>0.98656647982950663</v>
      </c>
      <c r="O51" s="17">
        <f>P23/O23</f>
        <v>0.99887260874923245</v>
      </c>
      <c r="P51" s="17">
        <f>Q23/P23</f>
        <v>0.99750553275488496</v>
      </c>
      <c r="Q51" s="17">
        <f>R23/Q23</f>
        <v>0.99977419199489981</v>
      </c>
      <c r="R51" s="17">
        <f>S23/R23</f>
        <v>0.99990427370502666</v>
      </c>
      <c r="S51" s="17">
        <f>T23/S23</f>
        <v>1.0000050467574431</v>
      </c>
      <c r="T51" s="17"/>
      <c r="U51" s="17"/>
      <c r="V51" s="17"/>
      <c r="W51" s="17"/>
      <c r="X51" s="17"/>
      <c r="Y51" s="17"/>
      <c r="Z51" s="17"/>
      <c r="AA51" s="3"/>
    </row>
    <row r="52" spans="3:27" x14ac:dyDescent="0.25">
      <c r="C52" s="10" t="s">
        <v>18</v>
      </c>
      <c r="D52" s="17">
        <f>E24/D24</f>
        <v>1.4427678949597629</v>
      </c>
      <c r="E52" s="17">
        <f>F24/E24</f>
        <v>0.87288903523170158</v>
      </c>
      <c r="F52" s="17">
        <f>G24/F24</f>
        <v>0.91424541326562558</v>
      </c>
      <c r="G52" s="17">
        <f>H24/G24</f>
        <v>0.91213177658197864</v>
      </c>
      <c r="H52" s="17">
        <f>I24/H24</f>
        <v>0.96416141322103111</v>
      </c>
      <c r="I52" s="17">
        <f>J24/I24</f>
        <v>0.9410778275379218</v>
      </c>
      <c r="J52" s="17">
        <f>K24/J24</f>
        <v>1.0116364161780271</v>
      </c>
      <c r="K52" s="17">
        <f>L24/K24</f>
        <v>1.0099873747681731</v>
      </c>
      <c r="L52" s="17">
        <f>M24/L24</f>
        <v>1.0029929075211499</v>
      </c>
      <c r="M52" s="17">
        <f>N24/M24</f>
        <v>0.99475085145419206</v>
      </c>
      <c r="N52" s="17">
        <f>O24/N24</f>
        <v>0.99749357517916015</v>
      </c>
      <c r="O52" s="17">
        <f>P24/O24</f>
        <v>0.99341136326942081</v>
      </c>
      <c r="P52" s="17">
        <f>Q24/P24</f>
        <v>0.99847533103452035</v>
      </c>
      <c r="Q52" s="17">
        <f>R24/Q24</f>
        <v>0.99899507013666056</v>
      </c>
      <c r="R52" s="17">
        <f>S24/R24</f>
        <v>0.99969780380363171</v>
      </c>
      <c r="S52" s="17"/>
      <c r="T52" s="17"/>
      <c r="U52" s="17"/>
      <c r="V52" s="17"/>
      <c r="W52" s="17"/>
      <c r="X52" s="17"/>
      <c r="Y52" s="17"/>
      <c r="Z52" s="17"/>
      <c r="AA52" s="3"/>
    </row>
    <row r="53" spans="3:27" x14ac:dyDescent="0.25">
      <c r="C53" s="10" t="s">
        <v>19</v>
      </c>
      <c r="D53" s="17">
        <f>E25/D25</f>
        <v>1.4786330818471181</v>
      </c>
      <c r="E53" s="17">
        <f>F25/E25</f>
        <v>0.86436723141112926</v>
      </c>
      <c r="F53" s="17">
        <f>G25/F25</f>
        <v>0.99952179191558543</v>
      </c>
      <c r="G53" s="17">
        <f>H25/G25</f>
        <v>0.91880116441212567</v>
      </c>
      <c r="H53" s="17">
        <f>I25/H25</f>
        <v>0.92294549788843527</v>
      </c>
      <c r="I53" s="17">
        <f>J25/I25</f>
        <v>0.95423454051098944</v>
      </c>
      <c r="J53" s="17">
        <f>K25/J25</f>
        <v>0.95776875783441773</v>
      </c>
      <c r="K53" s="17">
        <f>L25/K25</f>
        <v>0.957191589358937</v>
      </c>
      <c r="L53" s="17">
        <f>M25/L25</f>
        <v>0.97154223736349499</v>
      </c>
      <c r="M53" s="17">
        <f>N25/M25</f>
        <v>0.96103279177169132</v>
      </c>
      <c r="N53" s="17">
        <f>O25/N25</f>
        <v>0.99142789231436423</v>
      </c>
      <c r="O53" s="17">
        <f>P25/O25</f>
        <v>0.99977381670970433</v>
      </c>
      <c r="P53" s="17">
        <f>Q25/P25</f>
        <v>1.0010610488174421</v>
      </c>
      <c r="Q53" s="17">
        <f>R25/Q25</f>
        <v>1.0000753315564579</v>
      </c>
      <c r="R53" s="17"/>
      <c r="S53" s="17"/>
      <c r="T53" s="17"/>
      <c r="U53" s="17"/>
      <c r="V53" s="17"/>
      <c r="W53" s="17"/>
      <c r="X53" s="17"/>
      <c r="Y53" s="17"/>
      <c r="Z53" s="17"/>
      <c r="AA53" s="3"/>
    </row>
    <row r="54" spans="3:27" x14ac:dyDescent="0.25">
      <c r="C54" s="10" t="s">
        <v>20</v>
      </c>
      <c r="D54" s="17">
        <f>E26/D26</f>
        <v>1.249783340393875</v>
      </c>
      <c r="E54" s="17">
        <f>F26/E26</f>
        <v>0.87254705913203845</v>
      </c>
      <c r="F54" s="17">
        <f>G26/F26</f>
        <v>0.91159934959657729</v>
      </c>
      <c r="G54" s="17">
        <f>H26/G26</f>
        <v>0.9033100943439738</v>
      </c>
      <c r="H54" s="17">
        <f>I26/H26</f>
        <v>0.91302534311212868</v>
      </c>
      <c r="I54" s="17">
        <f>J26/I26</f>
        <v>1.0031317314059847</v>
      </c>
      <c r="J54" s="17">
        <f>K26/J26</f>
        <v>0.97572319352524273</v>
      </c>
      <c r="K54" s="17">
        <f>L26/K26</f>
        <v>0.95685809261829569</v>
      </c>
      <c r="L54" s="17">
        <f>M26/L26</f>
        <v>0.9606375599673096</v>
      </c>
      <c r="M54" s="17">
        <f>N26/M26</f>
        <v>0.96613225882703135</v>
      </c>
      <c r="N54" s="17">
        <f>O26/N26</f>
        <v>0.97829087660882053</v>
      </c>
      <c r="O54" s="17">
        <f>P26/O26</f>
        <v>0.9978172233719661</v>
      </c>
      <c r="P54" s="17">
        <f>Q26/P26</f>
        <v>0.99436657896501845</v>
      </c>
      <c r="Q54" s="17"/>
      <c r="R54" s="17"/>
      <c r="S54" s="17"/>
      <c r="T54" s="17"/>
      <c r="U54" s="17"/>
      <c r="V54" s="17"/>
      <c r="W54" s="17"/>
      <c r="X54" s="17"/>
      <c r="Y54" s="17"/>
      <c r="Z54" s="17"/>
      <c r="AA54" s="3"/>
    </row>
    <row r="55" spans="3:27" x14ac:dyDescent="0.25">
      <c r="C55" s="10" t="s">
        <v>21</v>
      </c>
      <c r="D55" s="17">
        <f>E27/D27</f>
        <v>1.451561479435888</v>
      </c>
      <c r="E55" s="17">
        <f>F27/E27</f>
        <v>0.9157902947142571</v>
      </c>
      <c r="F55" s="17">
        <f>G27/F27</f>
        <v>0.97932012357518183</v>
      </c>
      <c r="G55" s="17">
        <f>H27/G27</f>
        <v>1.0018151127843093</v>
      </c>
      <c r="H55" s="17">
        <f>I27/H27</f>
        <v>0.99154478146058433</v>
      </c>
      <c r="I55" s="17">
        <f>J27/I27</f>
        <v>0.94436038922687426</v>
      </c>
      <c r="J55" s="17">
        <f>K27/J27</f>
        <v>0.96916892478135164</v>
      </c>
      <c r="K55" s="17">
        <f>L27/K27</f>
        <v>0.96365031781196164</v>
      </c>
      <c r="L55" s="17">
        <f>M27/L27</f>
        <v>0.99339374779144196</v>
      </c>
      <c r="M55" s="17">
        <f>N27/M27</f>
        <v>0.99431881052912696</v>
      </c>
      <c r="N55" s="17">
        <f>O27/N27</f>
        <v>0.99472234302790397</v>
      </c>
      <c r="O55" s="17">
        <f>P27/O27</f>
        <v>0.99752596616765943</v>
      </c>
      <c r="P55" s="17"/>
      <c r="Q55" s="17"/>
      <c r="R55" s="17"/>
      <c r="S55" s="17"/>
      <c r="T55" s="17"/>
      <c r="U55" s="17"/>
      <c r="V55" s="17"/>
      <c r="W55" s="17"/>
      <c r="X55" s="17"/>
      <c r="Y55" s="17"/>
      <c r="Z55" s="17"/>
      <c r="AA55" s="3"/>
    </row>
    <row r="56" spans="3:27" x14ac:dyDescent="0.25">
      <c r="C56" s="10" t="s">
        <v>22</v>
      </c>
      <c r="D56" s="17">
        <f>E28/D28</f>
        <v>1.4892898459571287</v>
      </c>
      <c r="E56" s="17">
        <f>F28/E28</f>
        <v>0.96710128476342805</v>
      </c>
      <c r="F56" s="17">
        <f>G28/F28</f>
        <v>0.97282281913784008</v>
      </c>
      <c r="G56" s="17">
        <f>H28/G28</f>
        <v>0.900313823120794</v>
      </c>
      <c r="H56" s="17">
        <f>I28/H28</f>
        <v>1.0175397104832264</v>
      </c>
      <c r="I56" s="17">
        <f>J28/I28</f>
        <v>0.94689033619123752</v>
      </c>
      <c r="J56" s="17">
        <f>K28/J28</f>
        <v>1.0011754683222589</v>
      </c>
      <c r="K56" s="17">
        <f>L28/K28</f>
        <v>0.97489595102961235</v>
      </c>
      <c r="L56" s="17">
        <f>M28/L28</f>
        <v>0.97570612804867685</v>
      </c>
      <c r="M56" s="17">
        <f>N28/M28</f>
        <v>0.97032217803772136</v>
      </c>
      <c r="N56" s="17">
        <f>O28/N28</f>
        <v>0.99971674993124005</v>
      </c>
      <c r="O56" s="17"/>
      <c r="P56" s="17"/>
      <c r="Q56" s="17"/>
      <c r="R56" s="17"/>
      <c r="S56" s="17"/>
      <c r="T56" s="17"/>
      <c r="U56" s="17"/>
      <c r="V56" s="17"/>
      <c r="W56" s="17"/>
      <c r="X56" s="17"/>
      <c r="Y56" s="17"/>
      <c r="Z56" s="17"/>
      <c r="AA56" s="3"/>
    </row>
    <row r="57" spans="3:27" x14ac:dyDescent="0.25">
      <c r="C57" s="10" t="s">
        <v>23</v>
      </c>
      <c r="D57" s="17">
        <f>E29/D29</f>
        <v>1.4032420365322222</v>
      </c>
      <c r="E57" s="17">
        <f>F29/E29</f>
        <v>0.99925994500445692</v>
      </c>
      <c r="F57" s="17">
        <f>G29/F29</f>
        <v>0.95845717411779308</v>
      </c>
      <c r="G57" s="17">
        <f>H29/G29</f>
        <v>0.91843229050431663</v>
      </c>
      <c r="H57" s="17">
        <f>I29/H29</f>
        <v>0.9106597772729389</v>
      </c>
      <c r="I57" s="17">
        <f>J29/I29</f>
        <v>1.0016788847976845</v>
      </c>
      <c r="J57" s="17">
        <f>K29/J29</f>
        <v>0.98551408129080753</v>
      </c>
      <c r="K57" s="17">
        <f>L29/K29</f>
        <v>0.9578179773995763</v>
      </c>
      <c r="L57" s="17">
        <f>M29/L29</f>
        <v>0.96298722086474764</v>
      </c>
      <c r="M57" s="17">
        <f>N29/M29</f>
        <v>0.97465683605642595</v>
      </c>
      <c r="N57" s="17"/>
      <c r="O57" s="17"/>
      <c r="P57" s="17"/>
      <c r="Q57" s="17"/>
      <c r="R57" s="17"/>
      <c r="S57" s="17"/>
      <c r="T57" s="17"/>
      <c r="U57" s="17"/>
      <c r="V57" s="17"/>
      <c r="W57" s="17"/>
      <c r="X57" s="17"/>
      <c r="Y57" s="17"/>
      <c r="Z57" s="17"/>
      <c r="AA57" s="3"/>
    </row>
    <row r="58" spans="3:27" x14ac:dyDescent="0.25">
      <c r="C58" s="10" t="s">
        <v>24</v>
      </c>
      <c r="D58" s="17">
        <f>E30/D30</f>
        <v>1.3961072368588461</v>
      </c>
      <c r="E58" s="17">
        <f>F30/E30</f>
        <v>0.77866828567035096</v>
      </c>
      <c r="F58" s="17">
        <f>G30/F30</f>
        <v>0.89153018358156511</v>
      </c>
      <c r="G58" s="17">
        <f>H30/G30</f>
        <v>1.0192768779165267</v>
      </c>
      <c r="H58" s="17">
        <f>I30/H30</f>
        <v>0.95397739653996283</v>
      </c>
      <c r="I58" s="17">
        <f>J30/I30</f>
        <v>0.86402875398071999</v>
      </c>
      <c r="J58" s="17">
        <f>K30/J30</f>
        <v>0.93524919889898672</v>
      </c>
      <c r="K58" s="17">
        <f>L30/K30</f>
        <v>1.0153250200866761</v>
      </c>
      <c r="L58" s="17">
        <f>M30/L30</f>
        <v>0.93550770194483468</v>
      </c>
      <c r="M58" s="17"/>
      <c r="N58" s="18"/>
      <c r="O58" s="18"/>
      <c r="P58" s="18"/>
      <c r="Q58" s="18"/>
      <c r="R58" s="18"/>
      <c r="S58" s="18"/>
      <c r="T58" s="18"/>
      <c r="U58" s="18"/>
      <c r="V58" s="18"/>
      <c r="W58" s="18"/>
      <c r="X58" s="18"/>
      <c r="Y58" s="18"/>
      <c r="Z58" s="18"/>
      <c r="AA58" s="3"/>
    </row>
    <row r="59" spans="3:27" x14ac:dyDescent="0.25">
      <c r="C59" s="10" t="s">
        <v>25</v>
      </c>
      <c r="D59" s="27">
        <f>E31/D31</f>
        <v>1.9405587804563977</v>
      </c>
      <c r="E59" s="27">
        <f>F31/E31</f>
        <v>1.0176344716092711</v>
      </c>
      <c r="F59" s="27">
        <f>G31/F31</f>
        <v>1.3147578370354187</v>
      </c>
      <c r="G59" s="27">
        <f>H31/G31</f>
        <v>0.98664871766240581</v>
      </c>
      <c r="H59" s="27">
        <f>I31/H31</f>
        <v>1.0055651305870605</v>
      </c>
      <c r="I59" s="27">
        <f>J31/I31</f>
        <v>0.97793589346022125</v>
      </c>
      <c r="J59" s="27">
        <f>K31/J31</f>
        <v>0.97720054932102707</v>
      </c>
      <c r="K59" s="27">
        <f>L31/K31</f>
        <v>0.98794548971951346</v>
      </c>
      <c r="L59" s="27"/>
      <c r="M59" s="27"/>
      <c r="N59" s="18"/>
      <c r="O59" s="18"/>
      <c r="P59" s="18"/>
      <c r="Q59" s="18"/>
      <c r="R59" s="18"/>
      <c r="S59" s="18"/>
      <c r="T59" s="18"/>
      <c r="U59" s="18"/>
      <c r="V59" s="18"/>
      <c r="W59" s="18"/>
      <c r="X59" s="18"/>
      <c r="Y59" s="18"/>
      <c r="Z59" s="18"/>
      <c r="AA59" s="3"/>
    </row>
    <row r="60" spans="3:27" x14ac:dyDescent="0.25">
      <c r="C60" s="10" t="s">
        <v>26</v>
      </c>
      <c r="D60" s="27">
        <f>E32/D32</f>
        <v>1.638921316120675</v>
      </c>
      <c r="E60" s="27">
        <f>F32/E32</f>
        <v>0.929911595689347</v>
      </c>
      <c r="F60" s="27">
        <f>G32/F32</f>
        <v>1.394100302687757</v>
      </c>
      <c r="G60" s="27">
        <f>H32/G32</f>
        <v>0.94870671941643814</v>
      </c>
      <c r="H60" s="27">
        <f>I32/H32</f>
        <v>0.9962156265832024</v>
      </c>
      <c r="I60" s="27">
        <f>J32/I32</f>
        <v>0.98257645209236277</v>
      </c>
      <c r="J60" s="27">
        <f>K32/J32</f>
        <v>0.98643446816164004</v>
      </c>
      <c r="K60" s="27"/>
      <c r="L60" s="27"/>
      <c r="M60" s="27"/>
      <c r="N60" s="18"/>
      <c r="O60" s="18"/>
      <c r="P60" s="18"/>
      <c r="Q60" s="18"/>
      <c r="R60" s="18"/>
      <c r="S60" s="18"/>
      <c r="T60" s="18"/>
      <c r="U60" s="18"/>
      <c r="V60" s="18"/>
      <c r="W60" s="18"/>
      <c r="X60" s="18"/>
      <c r="Y60" s="18"/>
      <c r="Z60" s="18"/>
      <c r="AA60" s="3"/>
    </row>
    <row r="61" spans="3:27" x14ac:dyDescent="0.25">
      <c r="C61" s="10" t="s">
        <v>27</v>
      </c>
      <c r="D61" s="27">
        <f>E33/D33</f>
        <v>2.6132352114120492</v>
      </c>
      <c r="E61" s="27">
        <f>F33/E33</f>
        <v>0.94925707118269687</v>
      </c>
      <c r="F61" s="27">
        <f>G33/F33</f>
        <v>1.431873551353759</v>
      </c>
      <c r="G61" s="27">
        <f>H33/G33</f>
        <v>1.0112010805522573</v>
      </c>
      <c r="H61" s="27">
        <f>I33/H33</f>
        <v>0.99791876113049693</v>
      </c>
      <c r="I61" s="27">
        <f>J33/I33</f>
        <v>0.97546979763252217</v>
      </c>
      <c r="J61" s="27"/>
      <c r="K61" s="27"/>
      <c r="L61" s="27"/>
      <c r="M61" s="27"/>
      <c r="N61" s="18"/>
      <c r="O61" s="18"/>
      <c r="P61" s="18"/>
      <c r="Q61" s="18"/>
      <c r="R61" s="18"/>
      <c r="S61" s="18"/>
      <c r="T61" s="18"/>
      <c r="U61" s="18"/>
      <c r="V61" s="18"/>
      <c r="W61" s="18"/>
      <c r="X61" s="18"/>
      <c r="Y61" s="18"/>
      <c r="Z61" s="18"/>
      <c r="AA61" s="3"/>
    </row>
    <row r="62" spans="3:27" x14ac:dyDescent="0.25">
      <c r="C62" s="10" t="s">
        <v>28</v>
      </c>
      <c r="D62" s="27">
        <f>E34/D34</f>
        <v>3.1625421461443097</v>
      </c>
      <c r="E62" s="27">
        <f>F34/E34</f>
        <v>0.99230758395190144</v>
      </c>
      <c r="F62" s="27">
        <f>G34/F34</f>
        <v>1.1721949446005331</v>
      </c>
      <c r="G62" s="27">
        <f>H34/G34</f>
        <v>1.0050538101924149</v>
      </c>
      <c r="H62" s="27">
        <f>I34/H34</f>
        <v>0.9979832519326568</v>
      </c>
      <c r="I62" s="27"/>
      <c r="J62" s="27"/>
      <c r="K62" s="27"/>
      <c r="L62" s="27"/>
      <c r="M62" s="27"/>
      <c r="N62" s="18"/>
      <c r="O62" s="18"/>
      <c r="P62" s="18"/>
      <c r="Q62" s="18"/>
      <c r="R62" s="18"/>
      <c r="S62" s="18"/>
      <c r="T62" s="18"/>
      <c r="U62" s="18"/>
      <c r="V62" s="18"/>
      <c r="W62" s="18"/>
      <c r="X62" s="18"/>
      <c r="Y62" s="18"/>
      <c r="Z62" s="18"/>
      <c r="AA62" s="3"/>
    </row>
    <row r="63" spans="3:27" x14ac:dyDescent="0.25">
      <c r="C63" s="10" t="s">
        <v>29</v>
      </c>
      <c r="D63" s="27">
        <f>E35/D35</f>
        <v>1.7569238204890927</v>
      </c>
      <c r="E63" s="27">
        <f>F35/E35</f>
        <v>0.94534771269817408</v>
      </c>
      <c r="F63" s="27">
        <f>G35/F35</f>
        <v>1.3010031925078642</v>
      </c>
      <c r="G63" s="27">
        <f>H35/G35</f>
        <v>0.98730351396820948</v>
      </c>
      <c r="H63" s="27"/>
      <c r="I63" s="27"/>
      <c r="J63" s="27"/>
      <c r="K63" s="27"/>
      <c r="L63" s="27"/>
      <c r="M63" s="27"/>
      <c r="N63" s="18"/>
      <c r="O63" s="18"/>
      <c r="P63" s="18"/>
      <c r="Q63" s="18"/>
      <c r="R63" s="18"/>
      <c r="S63" s="18"/>
      <c r="T63" s="18"/>
      <c r="U63" s="18"/>
      <c r="V63" s="18"/>
      <c r="W63" s="18"/>
      <c r="X63" s="18"/>
      <c r="Y63" s="18"/>
      <c r="Z63" s="18"/>
      <c r="AA63" s="3"/>
    </row>
    <row r="64" spans="3:27" x14ac:dyDescent="0.25">
      <c r="C64" s="10" t="s">
        <v>30</v>
      </c>
      <c r="D64" s="27">
        <f>E36/D36</f>
        <v>2.3320316702756823</v>
      </c>
      <c r="E64" s="27">
        <f>F36/E36</f>
        <v>1.002873627301045</v>
      </c>
      <c r="F64" s="27">
        <f>G36/F36</f>
        <v>1.2990403161469921</v>
      </c>
      <c r="G64" s="27"/>
      <c r="H64" s="27"/>
      <c r="I64" s="27"/>
      <c r="J64" s="27"/>
      <c r="K64" s="27"/>
      <c r="L64" s="27"/>
      <c r="M64" s="27"/>
      <c r="N64" s="18"/>
      <c r="O64" s="18"/>
      <c r="P64" s="18"/>
      <c r="Q64" s="18"/>
      <c r="R64" s="18"/>
      <c r="S64" s="18"/>
      <c r="T64" s="18"/>
      <c r="U64" s="18"/>
      <c r="V64" s="18"/>
      <c r="W64" s="18"/>
      <c r="X64" s="18"/>
      <c r="Y64" s="18"/>
      <c r="Z64" s="18"/>
      <c r="AA64" s="3"/>
    </row>
    <row r="65" spans="2:27" x14ac:dyDescent="0.25">
      <c r="C65" s="10" t="s">
        <v>31</v>
      </c>
      <c r="D65" s="27">
        <f>E37/D37</f>
        <v>1.9802275637769955</v>
      </c>
      <c r="E65" s="27">
        <f>F37/E37</f>
        <v>0.96257522070643986</v>
      </c>
      <c r="F65" s="27"/>
      <c r="G65" s="27"/>
      <c r="H65" s="27"/>
      <c r="I65" s="27"/>
      <c r="J65" s="27"/>
      <c r="K65" s="27"/>
      <c r="L65" s="27"/>
      <c r="M65" s="27"/>
      <c r="N65" s="18"/>
      <c r="O65" s="18"/>
      <c r="P65" s="18"/>
      <c r="Q65" s="18"/>
      <c r="R65" s="18"/>
      <c r="S65" s="18"/>
      <c r="T65" s="18"/>
      <c r="U65" s="18"/>
      <c r="V65" s="18"/>
      <c r="W65" s="18"/>
      <c r="X65" s="18"/>
      <c r="Y65" s="18"/>
      <c r="Z65" s="18"/>
      <c r="AA65" s="3"/>
    </row>
    <row r="66" spans="2:27" x14ac:dyDescent="0.25">
      <c r="C66" s="10" t="s">
        <v>32</v>
      </c>
      <c r="D66" s="27">
        <f>E38/D38</f>
        <v>1.8921818735410534</v>
      </c>
      <c r="E66" s="27"/>
      <c r="F66" s="27"/>
      <c r="G66" s="27"/>
      <c r="H66" s="27"/>
      <c r="I66" s="27"/>
      <c r="J66" s="27"/>
      <c r="K66" s="27"/>
      <c r="L66" s="27"/>
      <c r="M66" s="27"/>
      <c r="N66" s="18"/>
      <c r="O66" s="18"/>
      <c r="P66" s="18"/>
      <c r="Q66" s="18"/>
      <c r="R66" s="18"/>
      <c r="S66" s="18"/>
      <c r="T66" s="18"/>
      <c r="U66" s="18"/>
      <c r="V66" s="18"/>
      <c r="W66" s="18"/>
      <c r="X66" s="18"/>
      <c r="Y66" s="18"/>
      <c r="Z66" s="18"/>
      <c r="AA66" s="3"/>
    </row>
    <row r="67" spans="2:27" x14ac:dyDescent="0.25">
      <c r="C67" s="10" t="s">
        <v>33</v>
      </c>
      <c r="D67" s="18"/>
      <c r="E67" s="18"/>
      <c r="F67" s="18"/>
      <c r="G67" s="18"/>
      <c r="H67" s="18"/>
      <c r="I67" s="18"/>
      <c r="J67" s="18"/>
      <c r="K67" s="18"/>
      <c r="L67" s="18"/>
      <c r="M67" s="18"/>
      <c r="N67" s="18"/>
      <c r="O67" s="18"/>
      <c r="P67" s="18"/>
      <c r="Q67" s="18"/>
      <c r="R67" s="18"/>
      <c r="S67" s="18"/>
      <c r="T67" s="18"/>
      <c r="U67" s="18"/>
      <c r="V67" s="18"/>
      <c r="W67" s="18"/>
      <c r="X67" s="18"/>
      <c r="Y67" s="18"/>
      <c r="Z67" s="18"/>
      <c r="AA67" s="3"/>
    </row>
    <row r="68" spans="2:27" x14ac:dyDescent="0.25">
      <c r="C68" s="28" t="s">
        <v>49</v>
      </c>
      <c r="D68" s="29">
        <f>MEDIAN(D44:D66)</f>
        <v>1.451561479435888</v>
      </c>
      <c r="E68" s="29">
        <f t="shared" ref="E68:Z68" si="23">MEDIAN(E44:E66)</f>
        <v>0.93762965419376054</v>
      </c>
      <c r="F68" s="29">
        <f t="shared" si="23"/>
        <v>0.97932012357518183</v>
      </c>
      <c r="G68" s="29">
        <f t="shared" si="23"/>
        <v>0.9420113371863893</v>
      </c>
      <c r="H68" s="29">
        <f t="shared" si="23"/>
        <v>0.96416141322103111</v>
      </c>
      <c r="I68" s="29">
        <f t="shared" si="23"/>
        <v>0.95956370310074157</v>
      </c>
      <c r="J68" s="29">
        <f t="shared" si="23"/>
        <v>0.97298216396359627</v>
      </c>
      <c r="K68" s="29">
        <f t="shared" si="23"/>
        <v>0.97454732726673254</v>
      </c>
      <c r="L68" s="29">
        <f t="shared" si="23"/>
        <v>0.97285424820075994</v>
      </c>
      <c r="M68" s="29">
        <f t="shared" si="23"/>
        <v>0.98431373175133019</v>
      </c>
      <c r="N68" s="29">
        <f t="shared" si="23"/>
        <v>0.99322389325813132</v>
      </c>
      <c r="O68" s="29">
        <f t="shared" si="23"/>
        <v>0.99767159476981271</v>
      </c>
      <c r="P68" s="29">
        <f t="shared" si="23"/>
        <v>0.99750553275488496</v>
      </c>
      <c r="Q68" s="29">
        <f t="shared" si="23"/>
        <v>0.99914208202367749</v>
      </c>
      <c r="R68" s="29">
        <f t="shared" si="23"/>
        <v>0.99966359202624788</v>
      </c>
      <c r="S68" s="29">
        <f t="shared" si="23"/>
        <v>0.9999353356499916</v>
      </c>
      <c r="T68" s="29">
        <f t="shared" si="23"/>
        <v>0.99992722288142621</v>
      </c>
      <c r="U68" s="29">
        <f t="shared" si="23"/>
        <v>0.99986667827756714</v>
      </c>
      <c r="V68" s="29">
        <f t="shared" si="23"/>
        <v>0.99996032277745761</v>
      </c>
      <c r="W68" s="29">
        <f t="shared" si="23"/>
        <v>0.99999619244478377</v>
      </c>
      <c r="X68" s="29">
        <f t="shared" si="23"/>
        <v>1.000001203884143</v>
      </c>
      <c r="Y68" s="29">
        <f t="shared" si="23"/>
        <v>1.0000011021998554</v>
      </c>
      <c r="Z68" s="29">
        <f t="shared" si="23"/>
        <v>1.0000001719830349</v>
      </c>
      <c r="AA68" s="18"/>
    </row>
    <row r="69" spans="2:27" x14ac:dyDescent="0.25">
      <c r="C69" s="28" t="s">
        <v>50</v>
      </c>
      <c r="D69" s="30">
        <f>AVERAGE(D44:D66)</f>
        <v>1.6457560523599228</v>
      </c>
      <c r="E69" s="30">
        <f t="shared" ref="E69:Z69" si="24">AVERAGE(E44:E66)</f>
        <v>0.93012601410066797</v>
      </c>
      <c r="F69" s="30">
        <f t="shared" si="24"/>
        <v>1.0563673516133725</v>
      </c>
      <c r="G69" s="30">
        <f t="shared" si="24"/>
        <v>0.94490060009378285</v>
      </c>
      <c r="H69" s="30">
        <f t="shared" si="24"/>
        <v>0.95719711463996138</v>
      </c>
      <c r="I69" s="30">
        <f t="shared" si="24"/>
        <v>0.95519399459334453</v>
      </c>
      <c r="J69" s="30">
        <f t="shared" si="24"/>
        <v>0.96829410103346825</v>
      </c>
      <c r="K69" s="30">
        <f t="shared" si="24"/>
        <v>0.97687954429931045</v>
      </c>
      <c r="L69" s="30">
        <f t="shared" si="24"/>
        <v>0.97385849198132735</v>
      </c>
      <c r="M69" s="30">
        <f t="shared" si="24"/>
        <v>0.98284660585248307</v>
      </c>
      <c r="N69" s="30">
        <f t="shared" si="24"/>
        <v>0.99298628302822745</v>
      </c>
      <c r="O69" s="30">
        <f t="shared" si="24"/>
        <v>0.99516424871497111</v>
      </c>
      <c r="P69" s="30">
        <f t="shared" si="24"/>
        <v>0.99772423340385619</v>
      </c>
      <c r="Q69" s="30">
        <f t="shared" si="24"/>
        <v>0.9989994101180637</v>
      </c>
      <c r="R69" s="30">
        <f t="shared" si="24"/>
        <v>0.99959664428666506</v>
      </c>
      <c r="S69" s="30">
        <f t="shared" si="24"/>
        <v>0.99987341088247628</v>
      </c>
      <c r="T69" s="30">
        <f t="shared" si="24"/>
        <v>0.99988311626109727</v>
      </c>
      <c r="U69" s="30">
        <f t="shared" si="24"/>
        <v>0.99988676585670311</v>
      </c>
      <c r="V69" s="30">
        <f t="shared" si="24"/>
        <v>0.99997390588232782</v>
      </c>
      <c r="W69" s="30">
        <f t="shared" si="24"/>
        <v>0.99999383581333379</v>
      </c>
      <c r="X69" s="30">
        <f t="shared" si="24"/>
        <v>1.0000010683073939</v>
      </c>
      <c r="Y69" s="30">
        <f t="shared" si="24"/>
        <v>1.0000011021998554</v>
      </c>
      <c r="Z69" s="30">
        <f t="shared" si="24"/>
        <v>1.0000001719830349</v>
      </c>
      <c r="AA69" s="19"/>
    </row>
    <row r="70" spans="2:27" x14ac:dyDescent="0.25">
      <c r="C70" s="28" t="s">
        <v>48</v>
      </c>
      <c r="D70" s="31">
        <f>D69*0.8</f>
        <v>1.3166048418879384</v>
      </c>
      <c r="E70" s="31">
        <f t="shared" ref="E70:Z70" si="25">E69*0.8</f>
        <v>0.7441008112805344</v>
      </c>
      <c r="F70" s="31">
        <f t="shared" si="25"/>
        <v>0.84509388129069807</v>
      </c>
      <c r="G70" s="31">
        <f t="shared" si="25"/>
        <v>0.75592048007502632</v>
      </c>
      <c r="H70" s="31">
        <f t="shared" si="25"/>
        <v>0.76575769171196917</v>
      </c>
      <c r="I70" s="31">
        <f t="shared" si="25"/>
        <v>0.76415519567467571</v>
      </c>
      <c r="J70" s="31">
        <f t="shared" si="25"/>
        <v>0.77463528082677469</v>
      </c>
      <c r="K70" s="31">
        <f t="shared" si="25"/>
        <v>0.78150363543944845</v>
      </c>
      <c r="L70" s="31">
        <f t="shared" si="25"/>
        <v>0.77908679358506194</v>
      </c>
      <c r="M70" s="31">
        <f t="shared" si="25"/>
        <v>0.78627728468198654</v>
      </c>
      <c r="N70" s="31">
        <f t="shared" si="25"/>
        <v>0.79438902642258202</v>
      </c>
      <c r="O70" s="31">
        <f t="shared" si="25"/>
        <v>0.79613139897197693</v>
      </c>
      <c r="P70" s="31">
        <f t="shared" si="25"/>
        <v>0.79817938672308497</v>
      </c>
      <c r="Q70" s="31">
        <f t="shared" si="25"/>
        <v>0.79919952809445105</v>
      </c>
      <c r="R70" s="31">
        <f t="shared" si="25"/>
        <v>0.79967731542933207</v>
      </c>
      <c r="S70" s="31">
        <f t="shared" si="25"/>
        <v>0.79989872870598111</v>
      </c>
      <c r="T70" s="31">
        <f t="shared" si="25"/>
        <v>0.79990649300887784</v>
      </c>
      <c r="U70" s="31">
        <f t="shared" si="25"/>
        <v>0.79990941268536253</v>
      </c>
      <c r="V70" s="31">
        <f t="shared" si="25"/>
        <v>0.7999791247058623</v>
      </c>
      <c r="W70" s="31">
        <f t="shared" si="25"/>
        <v>0.79999506865066705</v>
      </c>
      <c r="X70" s="31">
        <f t="shared" si="25"/>
        <v>0.80000085464591519</v>
      </c>
      <c r="Y70" s="31">
        <f t="shared" si="25"/>
        <v>0.80000088175988437</v>
      </c>
      <c r="Z70" s="31">
        <f t="shared" si="25"/>
        <v>0.80000013758642796</v>
      </c>
    </row>
    <row r="71" spans="2:27" x14ac:dyDescent="0.25">
      <c r="C71" s="28" t="s">
        <v>51</v>
      </c>
      <c r="D71" s="31">
        <f>D69*1.2</f>
        <v>1.9749072628319073</v>
      </c>
      <c r="E71" s="31">
        <f t="shared" ref="E71:Z71" si="26">E69*1.2</f>
        <v>1.1161512169208014</v>
      </c>
      <c r="F71" s="31">
        <f t="shared" si="26"/>
        <v>1.2676408219360469</v>
      </c>
      <c r="G71" s="31">
        <f t="shared" si="26"/>
        <v>1.1338807201125394</v>
      </c>
      <c r="H71" s="31">
        <f t="shared" si="26"/>
        <v>1.1486365375679537</v>
      </c>
      <c r="I71" s="31">
        <f t="shared" si="26"/>
        <v>1.1462327935120133</v>
      </c>
      <c r="J71" s="31">
        <f t="shared" si="26"/>
        <v>1.1619529212401618</v>
      </c>
      <c r="K71" s="31">
        <f t="shared" si="26"/>
        <v>1.1722554531591725</v>
      </c>
      <c r="L71" s="31">
        <f t="shared" si="26"/>
        <v>1.1686301903775929</v>
      </c>
      <c r="M71" s="31">
        <f t="shared" si="26"/>
        <v>1.1794159270229796</v>
      </c>
      <c r="N71" s="31">
        <f t="shared" si="26"/>
        <v>1.191583539633873</v>
      </c>
      <c r="O71" s="31">
        <f t="shared" si="26"/>
        <v>1.1941970984579653</v>
      </c>
      <c r="P71" s="31">
        <f t="shared" si="26"/>
        <v>1.1972690800846273</v>
      </c>
      <c r="Q71" s="31">
        <f t="shared" si="26"/>
        <v>1.1987992921416764</v>
      </c>
      <c r="R71" s="31">
        <f t="shared" si="26"/>
        <v>1.1995159731439979</v>
      </c>
      <c r="S71" s="31">
        <f t="shared" si="26"/>
        <v>1.1998480930589714</v>
      </c>
      <c r="T71" s="31">
        <f t="shared" si="26"/>
        <v>1.1998597395133166</v>
      </c>
      <c r="U71" s="31">
        <f t="shared" si="26"/>
        <v>1.1998641190280437</v>
      </c>
      <c r="V71" s="31">
        <f t="shared" si="26"/>
        <v>1.1999686870587933</v>
      </c>
      <c r="W71" s="31">
        <f t="shared" si="26"/>
        <v>1.1999926029760004</v>
      </c>
      <c r="X71" s="31">
        <f t="shared" si="26"/>
        <v>1.2000012819688726</v>
      </c>
      <c r="Y71" s="31">
        <f t="shared" si="26"/>
        <v>1.2000013226398265</v>
      </c>
      <c r="Z71" s="31">
        <f t="shared" si="26"/>
        <v>1.2000002063796418</v>
      </c>
    </row>
    <row r="75" spans="2:27" x14ac:dyDescent="0.25">
      <c r="J75" s="1"/>
    </row>
    <row r="76" spans="2:27" x14ac:dyDescent="0.25">
      <c r="F76" s="14"/>
      <c r="G76" s="14"/>
      <c r="H76" s="14"/>
      <c r="I76" s="15"/>
      <c r="J76" s="15"/>
      <c r="K76" s="15"/>
    </row>
    <row r="77" spans="2:27" x14ac:dyDescent="0.25">
      <c r="D77" s="4" t="s">
        <v>34</v>
      </c>
      <c r="E77" s="4" t="s">
        <v>35</v>
      </c>
      <c r="F77" s="4"/>
      <c r="G77" s="4"/>
      <c r="H77" s="4"/>
      <c r="I77" s="4"/>
      <c r="J77" s="4"/>
      <c r="K77" s="4"/>
    </row>
    <row r="78" spans="2:27" x14ac:dyDescent="0.25">
      <c r="B78">
        <v>24</v>
      </c>
      <c r="C78" s="10" t="s">
        <v>9</v>
      </c>
      <c r="D78" s="1">
        <v>20213006.09090909</v>
      </c>
      <c r="E78" s="1" cm="1">
        <f t="array" ref="E78">INDEX(D16:AA16,$B78)</f>
        <v>5814528</v>
      </c>
      <c r="F78" s="5"/>
      <c r="G78" s="6"/>
      <c r="I78" s="1"/>
      <c r="J78" s="1"/>
      <c r="K78" s="5"/>
    </row>
    <row r="79" spans="2:27" x14ac:dyDescent="0.25">
      <c r="B79">
        <f>+B78-1</f>
        <v>23</v>
      </c>
      <c r="C79" s="10" t="s">
        <v>10</v>
      </c>
      <c r="D79" s="1">
        <v>22641631.727272727</v>
      </c>
      <c r="E79" s="1" cm="1">
        <f t="array" ref="E79">INDEX(D17:AA17,$B79)</f>
        <v>7995874</v>
      </c>
      <c r="F79" s="5"/>
      <c r="G79" s="6"/>
      <c r="I79" s="1"/>
      <c r="J79" s="1"/>
      <c r="K79" s="5"/>
    </row>
    <row r="80" spans="2:27" x14ac:dyDescent="0.25">
      <c r="B80">
        <f t="shared" ref="B80:B101" si="27">+B79-1</f>
        <v>22</v>
      </c>
      <c r="C80" s="10" t="s">
        <v>12</v>
      </c>
      <c r="D80" s="1">
        <v>19561331.18181818</v>
      </c>
      <c r="E80" s="1" cm="1">
        <f t="array" ref="E80">INDEX(D18:AA18,$B80)</f>
        <v>4710870</v>
      </c>
      <c r="F80" s="5"/>
      <c r="G80" s="6"/>
      <c r="I80" s="1"/>
      <c r="J80" s="1"/>
      <c r="K80" s="5"/>
    </row>
    <row r="81" spans="2:27" x14ac:dyDescent="0.25">
      <c r="B81">
        <f t="shared" si="27"/>
        <v>21</v>
      </c>
      <c r="C81" s="10" t="s">
        <v>13</v>
      </c>
      <c r="D81" s="1">
        <v>9083808.0909090899</v>
      </c>
      <c r="E81" s="1" cm="1">
        <f t="array" ref="E81">INDEX(D19:AA19,$B81)</f>
        <v>5046123</v>
      </c>
      <c r="F81" s="5"/>
      <c r="G81" s="6"/>
      <c r="I81" s="1"/>
      <c r="J81" s="1"/>
      <c r="K81" s="5"/>
    </row>
    <row r="82" spans="2:27" ht="26.25" x14ac:dyDescent="0.4">
      <c r="B82">
        <f t="shared" si="27"/>
        <v>20</v>
      </c>
      <c r="C82" s="10" t="s">
        <v>14</v>
      </c>
      <c r="D82" s="1">
        <v>18994502.724418178</v>
      </c>
      <c r="E82" s="1" cm="1">
        <f t="array" ref="E82">INDEX(D20:AA20,$B82)</f>
        <v>4612035</v>
      </c>
      <c r="F82" s="5"/>
      <c r="G82" s="6"/>
      <c r="I82" s="1"/>
      <c r="J82" s="1"/>
      <c r="K82" s="5"/>
      <c r="Y82" s="2"/>
      <c r="Z82" s="2"/>
      <c r="AA82" s="2"/>
    </row>
    <row r="83" spans="2:27" x14ac:dyDescent="0.25">
      <c r="B83">
        <f t="shared" si="27"/>
        <v>19</v>
      </c>
      <c r="C83" s="10" t="s">
        <v>15</v>
      </c>
      <c r="D83" s="1">
        <v>-1004591.6245076172</v>
      </c>
      <c r="E83" s="1" cm="1">
        <f t="array" ref="E83">INDEX(D21:AA21,$B83)</f>
        <v>2490228</v>
      </c>
      <c r="F83" s="5"/>
      <c r="G83" s="6"/>
      <c r="I83" s="1"/>
      <c r="J83" s="1"/>
      <c r="K83" s="5"/>
    </row>
    <row r="84" spans="2:27" x14ac:dyDescent="0.25">
      <c r="B84">
        <f t="shared" si="27"/>
        <v>18</v>
      </c>
      <c r="C84" s="10" t="s">
        <v>16</v>
      </c>
      <c r="D84" s="1">
        <v>-5936695.0191201437</v>
      </c>
      <c r="E84" s="1" cm="1">
        <f t="array" ref="E84">INDEX(D22:AA22,$B84)</f>
        <v>2642281</v>
      </c>
      <c r="F84" s="5"/>
      <c r="G84" s="6"/>
      <c r="I84" s="1"/>
      <c r="J84" s="1"/>
      <c r="K84" s="5"/>
      <c r="Y84" s="12">
        <f>+X109+1</f>
        <v>22</v>
      </c>
      <c r="Z84" s="12">
        <f t="shared" ref="F84:AA109" si="28">+Y84+1</f>
        <v>23</v>
      </c>
      <c r="AA84" s="12">
        <f t="shared" si="28"/>
        <v>24</v>
      </c>
    </row>
    <row r="85" spans="2:27" x14ac:dyDescent="0.25">
      <c r="B85">
        <f t="shared" si="27"/>
        <v>17</v>
      </c>
      <c r="C85" s="10" t="s">
        <v>17</v>
      </c>
      <c r="D85" s="1">
        <v>4268257.6721802894</v>
      </c>
      <c r="E85" s="1" cm="1">
        <f t="array" ref="E85">INDEX(D23:AA23,$B85)</f>
        <v>6538885</v>
      </c>
      <c r="F85" s="5"/>
      <c r="G85" s="6"/>
      <c r="I85" s="1"/>
      <c r="J85" s="1"/>
      <c r="K85" s="5"/>
      <c r="Y85" s="1">
        <v>5814520</v>
      </c>
      <c r="Z85" s="1">
        <v>5814527</v>
      </c>
      <c r="AA85" s="1">
        <v>5814528</v>
      </c>
    </row>
    <row r="86" spans="2:27" x14ac:dyDescent="0.25">
      <c r="B86">
        <f t="shared" si="27"/>
        <v>16</v>
      </c>
      <c r="C86" s="10" t="s">
        <v>18</v>
      </c>
      <c r="D86" s="1">
        <v>16145782.499172982</v>
      </c>
      <c r="E86" s="1" cm="1">
        <f t="array" ref="E86">INDEX(D24:AA24,$B86)</f>
        <v>6037298</v>
      </c>
      <c r="F86" s="5"/>
      <c r="G86" s="6"/>
      <c r="I86" s="1"/>
      <c r="J86" s="1"/>
      <c r="K86" s="5"/>
      <c r="Y86" s="1">
        <v>7995866</v>
      </c>
      <c r="Z86" s="1">
        <v>7995874</v>
      </c>
      <c r="AA86" s="7">
        <v>7995875.3751546778</v>
      </c>
    </row>
    <row r="87" spans="2:27" x14ac:dyDescent="0.25">
      <c r="B87">
        <f t="shared" si="27"/>
        <v>15</v>
      </c>
      <c r="C87" s="10" t="s">
        <v>19</v>
      </c>
      <c r="D87" s="1">
        <v>16851116.636917692</v>
      </c>
      <c r="E87" s="1" cm="1">
        <f t="array" ref="E87">INDEX(D25:AA25,$B87)</f>
        <v>4354413</v>
      </c>
      <c r="F87" s="5"/>
      <c r="G87" s="6"/>
      <c r="I87" s="1"/>
      <c r="J87" s="1"/>
      <c r="K87" s="5"/>
      <c r="Y87" s="1">
        <v>4710870</v>
      </c>
      <c r="Z87" s="7">
        <v>4710874.7133056009</v>
      </c>
      <c r="AA87" s="7">
        <v>4710875.5234961314</v>
      </c>
    </row>
    <row r="88" spans="2:27" x14ac:dyDescent="0.25">
      <c r="B88">
        <f t="shared" si="27"/>
        <v>14</v>
      </c>
      <c r="C88" s="10" t="s">
        <v>20</v>
      </c>
      <c r="D88" s="1">
        <v>-4179642.7741903318</v>
      </c>
      <c r="E88" s="1" cm="1">
        <f t="array" ref="E88">INDEX(D26:AA26,$B88)</f>
        <v>4284653</v>
      </c>
      <c r="F88" s="5"/>
      <c r="G88" s="6"/>
      <c r="I88" s="1"/>
      <c r="J88" s="1"/>
      <c r="K88" s="5"/>
      <c r="Y88" s="7">
        <v>5046129.0749474633</v>
      </c>
      <c r="Z88" s="7">
        <v>5046134.1236854736</v>
      </c>
      <c r="AA88" s="7">
        <v>5046134.9915349344</v>
      </c>
    </row>
    <row r="89" spans="2:27" x14ac:dyDescent="0.25">
      <c r="B89">
        <f t="shared" si="27"/>
        <v>13</v>
      </c>
      <c r="C89" s="10" t="s">
        <v>21</v>
      </c>
      <c r="D89" s="1">
        <v>3503668.9779778551</v>
      </c>
      <c r="E89" s="1" cm="1">
        <f t="array" ref="E89">INDEX(D27:AA27,$B89)</f>
        <v>7266841</v>
      </c>
      <c r="F89" s="5"/>
      <c r="G89" s="6"/>
      <c r="I89" s="1"/>
      <c r="J89" s="1"/>
      <c r="K89" s="5"/>
      <c r="Y89" s="7">
        <v>4611969.6697071241</v>
      </c>
      <c r="Z89" s="7">
        <v>4611975.2219775934</v>
      </c>
      <c r="AA89" s="7">
        <v>4611976.0151590891</v>
      </c>
    </row>
    <row r="90" spans="2:27" x14ac:dyDescent="0.25">
      <c r="B90">
        <f t="shared" si="27"/>
        <v>12</v>
      </c>
      <c r="C90" s="10" t="s">
        <v>22</v>
      </c>
      <c r="D90" s="1">
        <v>17466795.417860202</v>
      </c>
      <c r="E90" s="1" cm="1">
        <f t="array" ref="E90">INDEX(D28:AA28,$B90)</f>
        <v>5844768</v>
      </c>
      <c r="F90" s="5"/>
      <c r="G90" s="6"/>
      <c r="I90" s="1"/>
      <c r="J90" s="1"/>
      <c r="K90" s="5"/>
      <c r="Y90" s="7">
        <v>2490129.0209434624</v>
      </c>
      <c r="Z90" s="7">
        <v>2490132.0187666961</v>
      </c>
      <c r="AA90" s="7">
        <v>2490132.447027158</v>
      </c>
    </row>
    <row r="91" spans="2:27" x14ac:dyDescent="0.25">
      <c r="B91">
        <f t="shared" si="27"/>
        <v>11</v>
      </c>
      <c r="C91" s="10" t="s">
        <v>23</v>
      </c>
      <c r="D91" s="1">
        <v>15433825.712611966</v>
      </c>
      <c r="E91" s="1" cm="1">
        <f t="array" ref="E91">INDEX(D29:AA29,$B91)</f>
        <v>5171805</v>
      </c>
      <c r="F91" s="5"/>
      <c r="G91" s="6"/>
      <c r="I91" s="1"/>
      <c r="J91" s="1"/>
      <c r="K91" s="5"/>
      <c r="Y91" s="7">
        <v>2642009.1892272569</v>
      </c>
      <c r="Z91" s="7">
        <v>2642012.3698963965</v>
      </c>
      <c r="AA91" s="7">
        <v>2642012.8242777023</v>
      </c>
    </row>
    <row r="92" spans="2:27" x14ac:dyDescent="0.25">
      <c r="B92">
        <f t="shared" si="27"/>
        <v>10</v>
      </c>
      <c r="C92" s="10" t="s">
        <v>24</v>
      </c>
      <c r="D92" s="1">
        <v>15413447.856489912</v>
      </c>
      <c r="E92" s="1" cm="1">
        <f t="array" ref="E92">INDEX(D30:AA30,$B92)</f>
        <v>2473125</v>
      </c>
      <c r="F92" s="5"/>
      <c r="G92" s="6"/>
      <c r="I92" s="1"/>
      <c r="J92" s="1"/>
      <c r="K92" s="5"/>
      <c r="Y92" s="7">
        <v>6537399.7152652936</v>
      </c>
      <c r="Z92" s="7">
        <v>6537406.2560449569</v>
      </c>
      <c r="AA92" s="7">
        <v>6537407.3803679254</v>
      </c>
    </row>
    <row r="93" spans="2:27" x14ac:dyDescent="0.25">
      <c r="B93">
        <f t="shared" si="27"/>
        <v>9</v>
      </c>
      <c r="C93" s="10" t="s">
        <v>25</v>
      </c>
      <c r="D93" s="1">
        <v>19246631.966259398</v>
      </c>
      <c r="E93" s="1" cm="1">
        <f t="array" ref="E93">INDEX(D31:AA31,$B93)</f>
        <v>13371613</v>
      </c>
      <c r="F93" s="5"/>
      <c r="G93" s="6"/>
      <c r="I93" s="1"/>
      <c r="J93" s="1"/>
      <c r="K93" s="5"/>
      <c r="Y93" s="7">
        <v>6037566.4876694037</v>
      </c>
      <c r="Z93" s="7">
        <v>6037573.7561912108</v>
      </c>
      <c r="AA93" s="1" t="s">
        <v>11</v>
      </c>
    </row>
    <row r="94" spans="2:27" x14ac:dyDescent="0.25">
      <c r="B94">
        <f t="shared" si="27"/>
        <v>8</v>
      </c>
      <c r="C94" s="10" t="s">
        <v>26</v>
      </c>
      <c r="D94" s="1">
        <v>32511744.962999582</v>
      </c>
      <c r="E94" s="1" cm="1">
        <f t="array" ref="E94">INDEX(D32:AA32,$B94)</f>
        <v>12422697</v>
      </c>
      <c r="F94" s="5"/>
      <c r="G94" s="6"/>
      <c r="I94" s="1"/>
      <c r="J94" s="1"/>
      <c r="K94" s="5"/>
      <c r="Y94" s="7">
        <v>4351311.2041467037</v>
      </c>
      <c r="Z94" s="1" t="s">
        <v>11</v>
      </c>
      <c r="AA94" s="1" t="s">
        <v>11</v>
      </c>
    </row>
    <row r="95" spans="2:27" x14ac:dyDescent="0.25">
      <c r="B95">
        <f t="shared" si="27"/>
        <v>7</v>
      </c>
      <c r="C95" s="10" t="s">
        <v>27</v>
      </c>
      <c r="D95" s="1">
        <v>24625764.100566026</v>
      </c>
      <c r="E95" s="1" cm="1">
        <f t="array" ref="E95">INDEX(D33:AA33,$B95)</f>
        <v>10568629</v>
      </c>
      <c r="F95" s="5"/>
      <c r="G95" s="6"/>
      <c r="I95" s="1"/>
      <c r="J95" s="1"/>
      <c r="K95" s="5"/>
      <c r="Y95" s="1" t="s">
        <v>11</v>
      </c>
      <c r="Z95" s="1" t="s">
        <v>11</v>
      </c>
      <c r="AA95" s="1" t="s">
        <v>11</v>
      </c>
    </row>
    <row r="96" spans="2:27" x14ac:dyDescent="0.25">
      <c r="B96">
        <f t="shared" si="27"/>
        <v>6</v>
      </c>
      <c r="C96" s="10" t="s">
        <v>28</v>
      </c>
      <c r="D96" s="1">
        <v>52753853.564416327</v>
      </c>
      <c r="E96" s="1" cm="1">
        <f t="array" ref="E96">INDEX(D34:AA34,$B96)</f>
        <v>25593031</v>
      </c>
      <c r="F96" s="5"/>
      <c r="G96" s="6"/>
      <c r="I96" s="1"/>
      <c r="J96" s="1"/>
      <c r="K96" s="5"/>
      <c r="Y96" s="1" t="s">
        <v>11</v>
      </c>
      <c r="Z96" s="1" t="s">
        <v>11</v>
      </c>
      <c r="AA96" s="1" t="s">
        <v>11</v>
      </c>
    </row>
    <row r="97" spans="2:27" x14ac:dyDescent="0.25">
      <c r="B97">
        <f t="shared" si="27"/>
        <v>5</v>
      </c>
      <c r="C97" s="10" t="s">
        <v>29</v>
      </c>
      <c r="D97" s="1">
        <v>31407599.395625263</v>
      </c>
      <c r="E97" s="1" cm="1">
        <f t="array" ref="E97">INDEX(D35:AA35,$B97)</f>
        <v>14275150</v>
      </c>
      <c r="F97" s="5"/>
      <c r="G97" s="6"/>
      <c r="I97" s="1"/>
      <c r="J97" s="1"/>
      <c r="K97" s="5"/>
      <c r="Y97" s="1" t="s">
        <v>11</v>
      </c>
      <c r="Z97" s="1" t="s">
        <v>11</v>
      </c>
      <c r="AA97" s="1" t="s">
        <v>11</v>
      </c>
    </row>
    <row r="98" spans="2:27" x14ac:dyDescent="0.25">
      <c r="B98">
        <f t="shared" si="27"/>
        <v>4</v>
      </c>
      <c r="C98" s="10" t="s">
        <v>30</v>
      </c>
      <c r="D98" s="1">
        <v>30304298.832185101</v>
      </c>
      <c r="E98" s="1" cm="1">
        <f t="array" ref="E98">INDEX(D36:AA36,$B98)</f>
        <v>12735195</v>
      </c>
      <c r="F98" s="5"/>
      <c r="G98" s="6"/>
      <c r="I98" s="1"/>
      <c r="J98" s="1"/>
      <c r="K98" s="5"/>
      <c r="Y98" s="1" t="s">
        <v>11</v>
      </c>
      <c r="Z98" s="1" t="s">
        <v>11</v>
      </c>
      <c r="AA98" s="1" t="s">
        <v>11</v>
      </c>
    </row>
    <row r="99" spans="2:27" x14ac:dyDescent="0.25">
      <c r="B99">
        <f t="shared" si="27"/>
        <v>3</v>
      </c>
      <c r="C99" s="10" t="s">
        <v>31</v>
      </c>
      <c r="D99" s="1">
        <v>11368457.883217428</v>
      </c>
      <c r="E99" s="1" cm="1">
        <f t="array" ref="E99">INDEX(D37:AA37,$B99)</f>
        <v>11277873</v>
      </c>
      <c r="F99" s="5"/>
      <c r="G99" s="6"/>
      <c r="I99" s="1"/>
      <c r="J99" s="1"/>
      <c r="K99" s="5"/>
      <c r="Y99" s="1" t="s">
        <v>11</v>
      </c>
      <c r="Z99" s="1" t="s">
        <v>11</v>
      </c>
      <c r="AA99" s="1" t="s">
        <v>11</v>
      </c>
    </row>
    <row r="100" spans="2:27" x14ac:dyDescent="0.25">
      <c r="B100">
        <f t="shared" si="27"/>
        <v>2</v>
      </c>
      <c r="C100" s="10" t="s">
        <v>32</v>
      </c>
      <c r="D100" s="1">
        <v>9631669.6535887755</v>
      </c>
      <c r="E100" s="1" cm="1">
        <f t="array" ref="E100">INDEX(D38:AA38,$B100)</f>
        <v>9321834</v>
      </c>
      <c r="F100" s="5"/>
      <c r="G100" s="6"/>
      <c r="I100" s="1"/>
      <c r="J100" s="1"/>
      <c r="K100" s="5"/>
      <c r="Y100" s="1" t="s">
        <v>11</v>
      </c>
      <c r="Z100" s="1" t="s">
        <v>11</v>
      </c>
      <c r="AA100" s="1" t="s">
        <v>11</v>
      </c>
    </row>
    <row r="101" spans="2:27" x14ac:dyDescent="0.25">
      <c r="B101">
        <f t="shared" si="27"/>
        <v>1</v>
      </c>
      <c r="C101" s="10" t="s">
        <v>33</v>
      </c>
      <c r="D101" s="1">
        <v>32995207.804397486</v>
      </c>
      <c r="E101" s="1" cm="1">
        <f t="array" ref="E101">INDEX(D39:AA39,$B101)</f>
        <v>5149958</v>
      </c>
      <c r="F101" s="5"/>
      <c r="G101" s="6"/>
      <c r="I101" s="1"/>
      <c r="J101" s="1"/>
      <c r="K101" s="5"/>
      <c r="Y101" s="1" t="s">
        <v>11</v>
      </c>
      <c r="Z101" s="1" t="s">
        <v>11</v>
      </c>
      <c r="AA101" s="1" t="s">
        <v>11</v>
      </c>
    </row>
    <row r="102" spans="2:27" x14ac:dyDescent="0.25">
      <c r="Y102" s="1" t="s">
        <v>11</v>
      </c>
      <c r="Z102" s="1" t="s">
        <v>11</v>
      </c>
      <c r="AA102" s="1" t="s">
        <v>11</v>
      </c>
    </row>
    <row r="103" spans="2:27" x14ac:dyDescent="0.25">
      <c r="Y103" s="1" t="s">
        <v>11</v>
      </c>
      <c r="Z103" s="1" t="s">
        <v>11</v>
      </c>
      <c r="AA103" s="1" t="s">
        <v>11</v>
      </c>
    </row>
    <row r="104" spans="2:27" x14ac:dyDescent="0.25">
      <c r="Y104" s="1" t="s">
        <v>11</v>
      </c>
      <c r="Z104" s="1" t="s">
        <v>11</v>
      </c>
      <c r="AA104" s="1" t="s">
        <v>11</v>
      </c>
    </row>
    <row r="105" spans="2:27" x14ac:dyDescent="0.25">
      <c r="Y105" s="1" t="s">
        <v>11</v>
      </c>
      <c r="Z105" s="1" t="s">
        <v>11</v>
      </c>
      <c r="AA105" s="1" t="s">
        <v>11</v>
      </c>
    </row>
    <row r="106" spans="2:27" x14ac:dyDescent="0.25">
      <c r="Y106" s="1" t="s">
        <v>11</v>
      </c>
      <c r="Z106" s="1" t="s">
        <v>11</v>
      </c>
      <c r="AA106" s="1" t="s">
        <v>11</v>
      </c>
    </row>
    <row r="107" spans="2:27" ht="26.25" x14ac:dyDescent="0.4">
      <c r="C107" s="2" t="s">
        <v>36</v>
      </c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1" t="s">
        <v>11</v>
      </c>
      <c r="Z107" s="1" t="s">
        <v>11</v>
      </c>
      <c r="AA107" s="1" t="s">
        <v>11</v>
      </c>
    </row>
    <row r="108" spans="2:27" x14ac:dyDescent="0.25">
      <c r="Y108" s="1" t="s">
        <v>11</v>
      </c>
      <c r="Z108" s="1" t="s">
        <v>11</v>
      </c>
      <c r="AA108" s="1" t="s">
        <v>11</v>
      </c>
    </row>
    <row r="109" spans="2:27" x14ac:dyDescent="0.25">
      <c r="D109" s="12">
        <v>1</v>
      </c>
      <c r="E109" s="12">
        <f>+D109+1</f>
        <v>2</v>
      </c>
      <c r="F109" s="12">
        <f t="shared" si="28"/>
        <v>3</v>
      </c>
      <c r="G109" s="12">
        <f t="shared" si="28"/>
        <v>4</v>
      </c>
      <c r="H109" s="12">
        <f t="shared" si="28"/>
        <v>5</v>
      </c>
      <c r="I109" s="12">
        <f t="shared" si="28"/>
        <v>6</v>
      </c>
      <c r="J109" s="12">
        <f t="shared" si="28"/>
        <v>7</v>
      </c>
      <c r="K109" s="12">
        <f t="shared" si="28"/>
        <v>8</v>
      </c>
      <c r="L109" s="12">
        <f t="shared" si="28"/>
        <v>9</v>
      </c>
      <c r="M109" s="12">
        <f t="shared" si="28"/>
        <v>10</v>
      </c>
      <c r="N109" s="12">
        <f t="shared" si="28"/>
        <v>11</v>
      </c>
      <c r="O109" s="12">
        <f t="shared" si="28"/>
        <v>12</v>
      </c>
      <c r="P109" s="12">
        <f t="shared" si="28"/>
        <v>13</v>
      </c>
      <c r="Q109" s="12">
        <f t="shared" si="28"/>
        <v>14</v>
      </c>
      <c r="R109" s="12">
        <f t="shared" si="28"/>
        <v>15</v>
      </c>
      <c r="S109" s="12">
        <f t="shared" si="28"/>
        <v>16</v>
      </c>
      <c r="T109" s="12">
        <f t="shared" si="28"/>
        <v>17</v>
      </c>
      <c r="U109" s="12">
        <f t="shared" si="28"/>
        <v>18</v>
      </c>
      <c r="V109" s="12">
        <f t="shared" si="28"/>
        <v>19</v>
      </c>
      <c r="W109" s="12">
        <f t="shared" si="28"/>
        <v>20</v>
      </c>
      <c r="X109" s="12">
        <f t="shared" si="28"/>
        <v>21</v>
      </c>
    </row>
    <row r="110" spans="2:27" x14ac:dyDescent="0.25">
      <c r="C110" s="10" t="s">
        <v>9</v>
      </c>
      <c r="D110" s="1">
        <v>6418198</v>
      </c>
      <c r="E110" s="1">
        <v>8351947</v>
      </c>
      <c r="F110" s="1">
        <v>7241932</v>
      </c>
      <c r="G110" s="1">
        <v>6612057</v>
      </c>
      <c r="H110" s="1">
        <v>6678429</v>
      </c>
      <c r="I110" s="1">
        <v>6520501</v>
      </c>
      <c r="J110" s="1">
        <v>6390444</v>
      </c>
      <c r="K110" s="1">
        <v>6157365</v>
      </c>
      <c r="L110" s="1">
        <v>5998497</v>
      </c>
      <c r="M110" s="1">
        <v>5960040</v>
      </c>
      <c r="N110" s="1">
        <v>5927219</v>
      </c>
      <c r="O110" s="1">
        <v>5845151</v>
      </c>
      <c r="P110" s="1">
        <v>5844679</v>
      </c>
      <c r="Q110" s="1">
        <v>5823554</v>
      </c>
      <c r="R110" s="1">
        <v>5819414</v>
      </c>
      <c r="S110" s="1">
        <v>5817651</v>
      </c>
      <c r="T110" s="1">
        <v>5816446</v>
      </c>
      <c r="U110" s="1">
        <v>5815298</v>
      </c>
      <c r="V110" s="1">
        <v>5814997</v>
      </c>
      <c r="W110" s="1">
        <v>5814607</v>
      </c>
      <c r="X110" s="1">
        <v>5814513</v>
      </c>
    </row>
    <row r="111" spans="2:27" x14ac:dyDescent="0.25">
      <c r="C111" s="10" t="s">
        <v>10</v>
      </c>
      <c r="D111" s="1">
        <v>7475822</v>
      </c>
      <c r="E111" s="1">
        <v>10450029</v>
      </c>
      <c r="F111" s="1">
        <v>10185917</v>
      </c>
      <c r="G111" s="1">
        <v>9722137</v>
      </c>
      <c r="H111" s="1">
        <v>9434292</v>
      </c>
      <c r="I111" s="1">
        <v>9020873</v>
      </c>
      <c r="J111" s="1">
        <v>8704176</v>
      </c>
      <c r="K111" s="1">
        <v>8469008</v>
      </c>
      <c r="L111" s="1">
        <v>8349635</v>
      </c>
      <c r="M111" s="1">
        <v>8209160</v>
      </c>
      <c r="N111" s="1">
        <v>8096242</v>
      </c>
      <c r="O111" s="1">
        <v>8041381</v>
      </c>
      <c r="P111" s="1">
        <v>8008712</v>
      </c>
      <c r="Q111" s="1">
        <v>8003007</v>
      </c>
      <c r="R111" s="1">
        <v>8002023</v>
      </c>
      <c r="S111" s="1">
        <v>7997629</v>
      </c>
      <c r="T111" s="1">
        <v>7997019</v>
      </c>
      <c r="U111" s="1">
        <v>7996437</v>
      </c>
      <c r="V111" s="1">
        <v>7996215</v>
      </c>
      <c r="W111" s="1">
        <v>7995857</v>
      </c>
      <c r="X111" s="1">
        <v>7995850</v>
      </c>
    </row>
    <row r="112" spans="2:27" x14ac:dyDescent="0.25">
      <c r="C112" s="10" t="s">
        <v>12</v>
      </c>
      <c r="D112" s="1">
        <v>4944676</v>
      </c>
      <c r="E112" s="1">
        <v>5651989</v>
      </c>
      <c r="F112" s="1">
        <v>5515292</v>
      </c>
      <c r="G112" s="1">
        <v>5713405</v>
      </c>
      <c r="H112" s="1">
        <v>5462475</v>
      </c>
      <c r="I112" s="1">
        <v>5370959</v>
      </c>
      <c r="J112" s="1">
        <v>5305411</v>
      </c>
      <c r="K112" s="1">
        <v>5148861</v>
      </c>
      <c r="L112" s="1">
        <v>4913135</v>
      </c>
      <c r="M112" s="1">
        <v>4939885</v>
      </c>
      <c r="N112" s="1">
        <v>4852857</v>
      </c>
      <c r="O112" s="1">
        <v>4772843</v>
      </c>
      <c r="P112" s="1">
        <v>4722978</v>
      </c>
      <c r="Q112" s="1">
        <v>4724493</v>
      </c>
      <c r="R112" s="1">
        <v>4714404</v>
      </c>
      <c r="S112" s="1">
        <v>4711994</v>
      </c>
      <c r="T112" s="1">
        <v>4711744</v>
      </c>
      <c r="U112" s="1">
        <v>4711585</v>
      </c>
      <c r="V112" s="1">
        <v>4710817</v>
      </c>
      <c r="W112" s="1">
        <v>4710876</v>
      </c>
      <c r="X112" s="1">
        <v>4710870</v>
      </c>
    </row>
    <row r="113" spans="3:24" x14ac:dyDescent="0.25">
      <c r="C113" s="10" t="s">
        <v>13</v>
      </c>
      <c r="D113" s="1">
        <v>5990844</v>
      </c>
      <c r="E113" s="1">
        <v>8317434</v>
      </c>
      <c r="F113" s="1">
        <v>7538034</v>
      </c>
      <c r="G113" s="1">
        <v>7146705</v>
      </c>
      <c r="H113" s="1">
        <v>6480112</v>
      </c>
      <c r="I113" s="1">
        <v>5918174</v>
      </c>
      <c r="J113" s="1">
        <v>5524711</v>
      </c>
      <c r="K113" s="1">
        <v>5379113</v>
      </c>
      <c r="L113" s="1">
        <v>5282322</v>
      </c>
      <c r="M113" s="1">
        <v>5218946</v>
      </c>
      <c r="N113" s="1">
        <v>5148288</v>
      </c>
      <c r="O113" s="1">
        <v>5055569</v>
      </c>
      <c r="P113" s="1">
        <v>5052150</v>
      </c>
      <c r="Q113" s="1">
        <v>5048881</v>
      </c>
      <c r="R113" s="1">
        <v>5049883</v>
      </c>
      <c r="S113" s="1">
        <v>5047150</v>
      </c>
      <c r="T113" s="1">
        <v>5047033</v>
      </c>
      <c r="U113" s="1">
        <v>5046810</v>
      </c>
      <c r="V113" s="1">
        <v>5046112</v>
      </c>
      <c r="W113" s="1">
        <v>5046155</v>
      </c>
      <c r="X113" s="1">
        <v>5046123</v>
      </c>
    </row>
    <row r="114" spans="3:24" x14ac:dyDescent="0.25">
      <c r="C114" s="10" t="s">
        <v>14</v>
      </c>
      <c r="D114" s="1">
        <v>6106533</v>
      </c>
      <c r="E114" s="1">
        <v>7227067</v>
      </c>
      <c r="F114" s="1">
        <v>6609141</v>
      </c>
      <c r="G114" s="1">
        <v>6587986</v>
      </c>
      <c r="H114" s="1">
        <v>5966963</v>
      </c>
      <c r="I114" s="1">
        <v>5553219</v>
      </c>
      <c r="J114" s="1">
        <v>5440658</v>
      </c>
      <c r="K114" s="1">
        <v>5247292</v>
      </c>
      <c r="L114" s="1">
        <v>4989511</v>
      </c>
      <c r="M114" s="1">
        <v>4739938</v>
      </c>
      <c r="N114" s="1">
        <v>4632683</v>
      </c>
      <c r="O114" s="1">
        <v>4647858</v>
      </c>
      <c r="P114" s="1">
        <v>4648748</v>
      </c>
      <c r="Q114" s="1">
        <v>4631093</v>
      </c>
      <c r="R114" s="1">
        <v>4618736</v>
      </c>
      <c r="S114" s="1">
        <v>4614941</v>
      </c>
      <c r="T114" s="1">
        <v>4614019</v>
      </c>
      <c r="U114" s="1">
        <v>4612810</v>
      </c>
      <c r="V114" s="1">
        <v>4612218</v>
      </c>
      <c r="W114" s="1">
        <v>4612035</v>
      </c>
      <c r="X114" s="7">
        <v>4611960.4409988504</v>
      </c>
    </row>
    <row r="115" spans="3:24" x14ac:dyDescent="0.25">
      <c r="C115" s="10" t="s">
        <v>15</v>
      </c>
      <c r="D115" s="1">
        <v>3511339</v>
      </c>
      <c r="E115" s="1">
        <v>5097855</v>
      </c>
      <c r="F115" s="1">
        <v>4392249</v>
      </c>
      <c r="G115" s="1">
        <v>4331724</v>
      </c>
      <c r="H115" s="1">
        <v>3638678</v>
      </c>
      <c r="I115" s="1">
        <v>3261200</v>
      </c>
      <c r="J115" s="1">
        <v>2912378</v>
      </c>
      <c r="K115" s="3">
        <v>2561746</v>
      </c>
      <c r="L115" s="1">
        <v>2608839</v>
      </c>
      <c r="M115" s="1">
        <v>2512337</v>
      </c>
      <c r="N115" s="1">
        <v>2525572</v>
      </c>
      <c r="O115" s="1">
        <v>2539117</v>
      </c>
      <c r="P115" s="1">
        <v>2502024</v>
      </c>
      <c r="Q115" s="1">
        <v>2495301</v>
      </c>
      <c r="R115" s="1">
        <v>2491023</v>
      </c>
      <c r="S115" s="1">
        <v>2490185</v>
      </c>
      <c r="T115" s="1">
        <v>2490716</v>
      </c>
      <c r="U115" s="1">
        <v>2490652</v>
      </c>
      <c r="V115" s="1">
        <v>2490228</v>
      </c>
      <c r="W115" s="7">
        <v>2490129.1946694627</v>
      </c>
      <c r="X115" s="7">
        <v>2490126.0231202291</v>
      </c>
    </row>
    <row r="116" spans="3:24" x14ac:dyDescent="0.25">
      <c r="C116" s="10" t="s">
        <v>16</v>
      </c>
      <c r="D116" s="1">
        <v>4141271</v>
      </c>
      <c r="E116" s="1">
        <v>5675304</v>
      </c>
      <c r="F116" s="1">
        <v>5003527</v>
      </c>
      <c r="G116" s="1">
        <v>4490079</v>
      </c>
      <c r="H116" s="1">
        <v>3864708</v>
      </c>
      <c r="I116" s="1">
        <v>3317046</v>
      </c>
      <c r="J116" s="1">
        <v>3043775</v>
      </c>
      <c r="K116" s="1">
        <v>2982731</v>
      </c>
      <c r="L116" s="1">
        <v>2853880</v>
      </c>
      <c r="M116" s="1">
        <v>2708486</v>
      </c>
      <c r="N116" s="1">
        <v>2687185</v>
      </c>
      <c r="O116" s="1">
        <v>2706223</v>
      </c>
      <c r="P116" s="1">
        <v>2663612</v>
      </c>
      <c r="Q116" s="1">
        <v>2649484</v>
      </c>
      <c r="R116" s="1">
        <v>2644988</v>
      </c>
      <c r="S116" s="1">
        <v>2644539</v>
      </c>
      <c r="T116" s="1">
        <v>2642763</v>
      </c>
      <c r="U116" s="1">
        <v>2642281</v>
      </c>
      <c r="V116" s="7">
        <v>2642144.2354556895</v>
      </c>
      <c r="W116" s="7">
        <v>2642025.9435342876</v>
      </c>
      <c r="X116" s="7">
        <v>2642009.1892272569</v>
      </c>
    </row>
    <row r="117" spans="3:24" x14ac:dyDescent="0.25">
      <c r="C117" s="10" t="s">
        <v>17</v>
      </c>
      <c r="D117" s="1">
        <v>6591656</v>
      </c>
      <c r="E117" s="1">
        <v>9149839</v>
      </c>
      <c r="F117" s="1">
        <v>9246786</v>
      </c>
      <c r="G117" s="1">
        <v>8427024</v>
      </c>
      <c r="H117" s="1">
        <v>7881930</v>
      </c>
      <c r="I117" s="1">
        <v>7889306</v>
      </c>
      <c r="J117" s="1">
        <v>7459046</v>
      </c>
      <c r="K117" s="1">
        <v>7134362</v>
      </c>
      <c r="L117" s="1">
        <v>7020325</v>
      </c>
      <c r="M117" s="1">
        <v>6829753</v>
      </c>
      <c r="N117" s="1">
        <v>6654101</v>
      </c>
      <c r="O117" s="1">
        <v>6564713</v>
      </c>
      <c r="P117" s="1">
        <v>6557312</v>
      </c>
      <c r="Q117" s="1">
        <v>6540955</v>
      </c>
      <c r="R117" s="1">
        <v>6539478</v>
      </c>
      <c r="S117" s="1">
        <v>6538852</v>
      </c>
      <c r="T117" s="1">
        <v>6538885</v>
      </c>
      <c r="U117" s="7">
        <v>6538596.0834514061</v>
      </c>
      <c r="V117" s="7">
        <v>6537756.9314201269</v>
      </c>
      <c r="W117" s="7">
        <v>6537497.5313834306</v>
      </c>
      <c r="X117" s="7">
        <v>6537391.8450029148</v>
      </c>
    </row>
    <row r="118" spans="3:24" x14ac:dyDescent="0.25">
      <c r="C118" s="10" t="s">
        <v>18</v>
      </c>
      <c r="D118" s="1">
        <v>6289704</v>
      </c>
      <c r="E118" s="1">
        <v>9074583</v>
      </c>
      <c r="F118" s="1">
        <v>7921104</v>
      </c>
      <c r="G118" s="1">
        <v>7241833</v>
      </c>
      <c r="H118" s="1">
        <v>6605506</v>
      </c>
      <c r="I118" s="1">
        <v>6368774</v>
      </c>
      <c r="J118" s="1">
        <v>5993512</v>
      </c>
      <c r="K118" s="1">
        <v>6063255</v>
      </c>
      <c r="L118" s="1">
        <v>6123811</v>
      </c>
      <c r="M118" s="1">
        <v>6142139</v>
      </c>
      <c r="N118" s="1">
        <v>6109898</v>
      </c>
      <c r="O118" s="1">
        <v>6094584</v>
      </c>
      <c r="P118" s="1">
        <v>6054429</v>
      </c>
      <c r="Q118" s="1">
        <v>6045198</v>
      </c>
      <c r="R118" s="1">
        <v>6039123</v>
      </c>
      <c r="S118" s="1">
        <v>6037298</v>
      </c>
      <c r="T118" s="7">
        <v>6038585.3763346896</v>
      </c>
      <c r="U118" s="7">
        <v>6038381.6014532791</v>
      </c>
      <c r="V118" s="7">
        <v>6038069.0546393348</v>
      </c>
      <c r="W118" s="7">
        <v>6037664.0936511671</v>
      </c>
      <c r="X118" s="7">
        <v>6037566.4876694037</v>
      </c>
    </row>
    <row r="119" spans="3:24" x14ac:dyDescent="0.25">
      <c r="C119" s="10" t="s">
        <v>19</v>
      </c>
      <c r="D119" s="1">
        <v>4959185</v>
      </c>
      <c r="E119" s="1">
        <v>7332815</v>
      </c>
      <c r="F119" s="1">
        <v>6338245</v>
      </c>
      <c r="G119" s="1">
        <v>6335214</v>
      </c>
      <c r="H119" s="1">
        <v>5820802</v>
      </c>
      <c r="I119" s="1">
        <v>5372283</v>
      </c>
      <c r="J119" s="1">
        <v>5126418</v>
      </c>
      <c r="K119" s="1">
        <v>4909923</v>
      </c>
      <c r="L119" s="1">
        <v>4699737</v>
      </c>
      <c r="M119" s="1">
        <v>4565993</v>
      </c>
      <c r="N119" s="1">
        <v>4388069</v>
      </c>
      <c r="O119" s="1">
        <v>4350454</v>
      </c>
      <c r="P119" s="1">
        <v>4349470</v>
      </c>
      <c r="Q119" s="1">
        <v>4354085</v>
      </c>
      <c r="R119" s="1">
        <v>4354413</v>
      </c>
      <c r="S119" s="7">
        <v>4352948.1407457897</v>
      </c>
      <c r="T119" s="7">
        <v>4352078.4832169572</v>
      </c>
      <c r="U119" s="7">
        <v>4351886.1893481119</v>
      </c>
      <c r="V119" s="7">
        <v>4351284.300915584</v>
      </c>
      <c r="W119" s="7">
        <v>4351338.7979961867</v>
      </c>
      <c r="X119" s="7">
        <v>4351311.2041467037</v>
      </c>
    </row>
    <row r="120" spans="3:24" x14ac:dyDescent="0.25">
      <c r="C120" s="10" t="s">
        <v>20</v>
      </c>
      <c r="D120" s="1">
        <v>6194048</v>
      </c>
      <c r="E120" s="1">
        <v>7741218</v>
      </c>
      <c r="F120" s="1">
        <v>6754577</v>
      </c>
      <c r="G120" s="1">
        <v>6157468</v>
      </c>
      <c r="H120" s="1">
        <v>5562103</v>
      </c>
      <c r="I120" s="1">
        <v>5078341</v>
      </c>
      <c r="J120" s="1">
        <v>5094245</v>
      </c>
      <c r="K120" s="1">
        <v>4970573</v>
      </c>
      <c r="L120" s="1">
        <v>4756133</v>
      </c>
      <c r="M120" s="1">
        <v>4568920</v>
      </c>
      <c r="N120" s="1">
        <v>4414181</v>
      </c>
      <c r="O120" s="1">
        <v>4318353</v>
      </c>
      <c r="P120" s="1">
        <v>4308927</v>
      </c>
      <c r="Q120" s="1">
        <v>4284653</v>
      </c>
      <c r="R120" s="7">
        <v>4284126.1856973264</v>
      </c>
      <c r="S120" s="7">
        <v>4283398.933756154</v>
      </c>
      <c r="T120" s="7">
        <v>4282543.1711761076</v>
      </c>
      <c r="U120" s="7">
        <v>4282398.6547583621</v>
      </c>
      <c r="V120" s="7">
        <v>4281806.3768122895</v>
      </c>
      <c r="W120" s="7">
        <v>4281860.0037258863</v>
      </c>
      <c r="X120" s="7">
        <v>4281832.8504735343</v>
      </c>
    </row>
    <row r="121" spans="3:24" x14ac:dyDescent="0.25">
      <c r="C121" s="10" t="s">
        <v>21</v>
      </c>
      <c r="D121" s="1">
        <v>6500694</v>
      </c>
      <c r="E121" s="1">
        <v>9436157</v>
      </c>
      <c r="F121" s="1">
        <v>8641541</v>
      </c>
      <c r="G121" s="1">
        <v>8462835</v>
      </c>
      <c r="H121" s="1">
        <v>8478196</v>
      </c>
      <c r="I121" s="1">
        <v>8406511</v>
      </c>
      <c r="J121" s="1">
        <v>7938776</v>
      </c>
      <c r="K121" s="1">
        <v>7694015</v>
      </c>
      <c r="L121" s="1">
        <v>7414340</v>
      </c>
      <c r="M121" s="1">
        <v>7365359</v>
      </c>
      <c r="N121" s="1">
        <v>7323515</v>
      </c>
      <c r="O121" s="1">
        <v>7284864</v>
      </c>
      <c r="P121" s="1">
        <v>7266841</v>
      </c>
      <c r="Q121" s="7">
        <v>7262138.9814081136</v>
      </c>
      <c r="R121" s="7">
        <v>7246630.9215626605</v>
      </c>
      <c r="S121" s="7">
        <v>7244435.5441046013</v>
      </c>
      <c r="T121" s="7">
        <v>7242935.0166871529</v>
      </c>
      <c r="U121" s="7">
        <v>7241505.4685749281</v>
      </c>
      <c r="V121" s="7">
        <v>7240272.6996779991</v>
      </c>
      <c r="W121" s="7">
        <v>7239985.4257668266</v>
      </c>
      <c r="X121" s="1" t="s">
        <v>11</v>
      </c>
    </row>
    <row r="122" spans="3:24" x14ac:dyDescent="0.25">
      <c r="C122" s="10" t="s">
        <v>22</v>
      </c>
      <c r="D122" s="1">
        <v>5205434</v>
      </c>
      <c r="E122" s="1">
        <v>7752400</v>
      </c>
      <c r="F122" s="1">
        <v>7497356</v>
      </c>
      <c r="G122" s="1">
        <v>7293599</v>
      </c>
      <c r="H122" s="1">
        <v>6566528</v>
      </c>
      <c r="I122" s="1">
        <v>6681703</v>
      </c>
      <c r="J122" s="1">
        <v>6326840</v>
      </c>
      <c r="K122" s="1">
        <v>6334277</v>
      </c>
      <c r="L122" s="1">
        <v>6175261</v>
      </c>
      <c r="M122" s="1">
        <v>6025240</v>
      </c>
      <c r="N122" s="1">
        <v>5846424</v>
      </c>
      <c r="O122" s="1">
        <v>5844768</v>
      </c>
      <c r="P122" s="7">
        <v>5844296.0309275156</v>
      </c>
      <c r="Q122" s="7">
        <v>5828592.2638110025</v>
      </c>
      <c r="R122" s="7">
        <v>5822734.9373838697</v>
      </c>
      <c r="S122" s="7">
        <v>5820776.1229218887</v>
      </c>
      <c r="T122" s="7">
        <v>5822017.3287444562</v>
      </c>
      <c r="U122" s="7">
        <v>5820868.2291235877</v>
      </c>
      <c r="V122" s="7">
        <v>5820063.172855583</v>
      </c>
      <c r="W122" s="1" t="s">
        <v>11</v>
      </c>
      <c r="X122" s="1" t="s">
        <v>11</v>
      </c>
    </row>
    <row r="123" spans="3:24" x14ac:dyDescent="0.25">
      <c r="C123" s="10" t="s">
        <v>23</v>
      </c>
      <c r="D123" s="1">
        <v>5184519</v>
      </c>
      <c r="E123" s="1">
        <v>7275135</v>
      </c>
      <c r="F123" s="1">
        <v>7269751</v>
      </c>
      <c r="G123" s="1">
        <v>6967745</v>
      </c>
      <c r="H123" s="1">
        <v>6399402</v>
      </c>
      <c r="I123" s="1">
        <v>5827678</v>
      </c>
      <c r="J123" s="1">
        <v>5837462</v>
      </c>
      <c r="K123" s="1">
        <v>5752901</v>
      </c>
      <c r="L123" s="1">
        <v>5510232</v>
      </c>
      <c r="M123" s="1">
        <v>5306283</v>
      </c>
      <c r="N123" s="1">
        <v>5171805</v>
      </c>
      <c r="O123" s="7">
        <v>5144509.9872834291</v>
      </c>
      <c r="P123" s="7">
        <v>5090761.9401517948</v>
      </c>
      <c r="Q123" s="7">
        <v>5092394.9150120057</v>
      </c>
      <c r="R123" s="7">
        <v>5083664.3989554578</v>
      </c>
      <c r="S123" s="7">
        <v>5082128.1349104811</v>
      </c>
      <c r="T123" s="7">
        <v>5082010.3240683656</v>
      </c>
      <c r="U123" s="7">
        <v>5081785.7786171529</v>
      </c>
      <c r="V123" s="1" t="s">
        <v>11</v>
      </c>
      <c r="W123" s="1" t="s">
        <v>11</v>
      </c>
      <c r="X123" s="1" t="s">
        <v>11</v>
      </c>
    </row>
    <row r="124" spans="3:24" x14ac:dyDescent="0.25">
      <c r="C124" s="10" t="s">
        <v>24</v>
      </c>
      <c r="D124" s="1">
        <v>3419011</v>
      </c>
      <c r="E124" s="1">
        <v>4773306</v>
      </c>
      <c r="F124" s="1">
        <v>3716822</v>
      </c>
      <c r="G124" s="1">
        <v>3313659</v>
      </c>
      <c r="H124" s="1">
        <v>3377536</v>
      </c>
      <c r="I124" s="1">
        <v>3222093</v>
      </c>
      <c r="J124" s="1">
        <v>2783981</v>
      </c>
      <c r="K124" s="1">
        <v>2603716</v>
      </c>
      <c r="L124" s="1">
        <v>2643618</v>
      </c>
      <c r="M124" s="1">
        <v>2473125</v>
      </c>
      <c r="N124" s="7">
        <v>2486153.4310484622</v>
      </c>
      <c r="O124" s="7">
        <v>2479922.0743804662</v>
      </c>
      <c r="P124" s="7">
        <v>2440874.3094655182</v>
      </c>
      <c r="Q124" s="7">
        <v>2434785.6284511136</v>
      </c>
      <c r="R124" s="7">
        <v>2432338.8396622534</v>
      </c>
      <c r="S124" s="7">
        <v>2431601.9590460393</v>
      </c>
      <c r="T124" s="7">
        <v>2432120.4669642271</v>
      </c>
      <c r="U124" s="1" t="s">
        <v>11</v>
      </c>
      <c r="V124" s="1" t="s">
        <v>11</v>
      </c>
      <c r="W124" s="1" t="s">
        <v>11</v>
      </c>
      <c r="X124" s="1" t="s">
        <v>11</v>
      </c>
    </row>
    <row r="125" spans="3:24" x14ac:dyDescent="0.25">
      <c r="C125" s="10" t="s">
        <v>25</v>
      </c>
      <c r="D125" s="1">
        <v>5498188</v>
      </c>
      <c r="E125" s="1">
        <v>10669557</v>
      </c>
      <c r="F125" s="1">
        <v>10857709</v>
      </c>
      <c r="G125" s="1">
        <v>14275258</v>
      </c>
      <c r="H125" s="1">
        <v>14084665</v>
      </c>
      <c r="I125" s="1">
        <v>14163048</v>
      </c>
      <c r="J125" s="1">
        <v>13850553</v>
      </c>
      <c r="K125" s="1">
        <v>13534768</v>
      </c>
      <c r="L125" s="1">
        <v>13371613</v>
      </c>
      <c r="M125" s="7">
        <v>12509246.948925676</v>
      </c>
      <c r="N125" s="7">
        <v>12021796.518287554</v>
      </c>
      <c r="O125" s="7">
        <v>11940335.541850613</v>
      </c>
      <c r="P125" s="7">
        <v>11752328.257242585</v>
      </c>
      <c r="Q125" s="7">
        <v>11723012.459351053</v>
      </c>
      <c r="R125" s="7">
        <v>11702914.263862371</v>
      </c>
      <c r="S125" s="7">
        <v>11698977.310187871</v>
      </c>
      <c r="T125" s="1" t="s">
        <v>11</v>
      </c>
      <c r="U125" s="1" t="s">
        <v>11</v>
      </c>
      <c r="V125" s="1" t="s">
        <v>11</v>
      </c>
      <c r="W125" s="1" t="s">
        <v>11</v>
      </c>
      <c r="X125" s="1" t="s">
        <v>11</v>
      </c>
    </row>
    <row r="126" spans="3:24" x14ac:dyDescent="0.25">
      <c r="C126" s="10" t="s">
        <v>26</v>
      </c>
      <c r="D126" s="1">
        <v>6382667</v>
      </c>
      <c r="E126" s="1">
        <v>10460689</v>
      </c>
      <c r="F126" s="1">
        <v>9727516</v>
      </c>
      <c r="G126" s="1">
        <v>13561133</v>
      </c>
      <c r="H126" s="1">
        <v>12865538</v>
      </c>
      <c r="I126" s="1">
        <v>12816850</v>
      </c>
      <c r="J126" s="1">
        <v>12593535</v>
      </c>
      <c r="K126" s="1">
        <v>12422697</v>
      </c>
      <c r="L126" s="7">
        <v>12224130.246898742</v>
      </c>
      <c r="M126" s="7">
        <v>11742958.653103394</v>
      </c>
      <c r="N126" s="7">
        <v>11581432.820351794</v>
      </c>
      <c r="O126" s="7">
        <v>11619369.420600256</v>
      </c>
      <c r="P126" s="7">
        <v>11542813.61644952</v>
      </c>
      <c r="Q126" s="7">
        <v>11501093.286274416</v>
      </c>
      <c r="R126" s="7">
        <v>11503375.79114487</v>
      </c>
      <c r="S126" s="1" t="s">
        <v>11</v>
      </c>
      <c r="T126" s="1" t="s">
        <v>11</v>
      </c>
      <c r="U126" s="1" t="s">
        <v>11</v>
      </c>
      <c r="V126" s="1" t="s">
        <v>11</v>
      </c>
      <c r="W126" s="1" t="s">
        <v>11</v>
      </c>
      <c r="X126" s="1" t="s">
        <v>11</v>
      </c>
    </row>
    <row r="127" spans="3:24" x14ac:dyDescent="0.25">
      <c r="C127" s="10" t="s">
        <v>27</v>
      </c>
      <c r="D127" s="1">
        <v>3022770</v>
      </c>
      <c r="E127" s="1">
        <v>7899209</v>
      </c>
      <c r="F127" s="1">
        <v>7498380</v>
      </c>
      <c r="G127" s="1">
        <v>10736732</v>
      </c>
      <c r="H127" s="1">
        <v>10856995</v>
      </c>
      <c r="I127" s="1">
        <v>10834399</v>
      </c>
      <c r="J127" s="1">
        <v>10568629</v>
      </c>
      <c r="K127" s="7">
        <v>10581052.088599207</v>
      </c>
      <c r="L127" s="7">
        <v>10096628.623946123</v>
      </c>
      <c r="M127" s="7">
        <v>9975491.7573046703</v>
      </c>
      <c r="N127" s="7">
        <v>9718935.6156471204</v>
      </c>
      <c r="O127" s="7">
        <v>9653079.0704981461</v>
      </c>
      <c r="P127" s="7">
        <v>9650895.7053124961</v>
      </c>
      <c r="Q127" s="7">
        <v>9644651.081130581</v>
      </c>
      <c r="R127" s="1" t="s">
        <v>11</v>
      </c>
      <c r="S127" s="1" t="s">
        <v>11</v>
      </c>
      <c r="T127" s="1" t="s">
        <v>11</v>
      </c>
      <c r="U127" s="1" t="s">
        <v>11</v>
      </c>
      <c r="V127" s="1" t="s">
        <v>11</v>
      </c>
      <c r="W127" s="1" t="s">
        <v>11</v>
      </c>
      <c r="X127" s="1" t="s">
        <v>11</v>
      </c>
    </row>
    <row r="128" spans="3:24" x14ac:dyDescent="0.25">
      <c r="C128" s="10" t="s">
        <v>28</v>
      </c>
      <c r="D128" s="1">
        <v>6936281</v>
      </c>
      <c r="E128" s="1">
        <v>21936281</v>
      </c>
      <c r="F128" s="1">
        <v>21767538</v>
      </c>
      <c r="G128" s="1">
        <v>25515798</v>
      </c>
      <c r="H128" s="1">
        <v>25644750</v>
      </c>
      <c r="I128" s="1">
        <v>25593031</v>
      </c>
      <c r="J128" s="7">
        <v>23891507.733473364</v>
      </c>
      <c r="K128" s="7">
        <v>23246010.894867908</v>
      </c>
      <c r="L128" s="7">
        <v>22874442.232607983</v>
      </c>
      <c r="M128" s="7">
        <v>22600000.301401637</v>
      </c>
      <c r="N128" s="7">
        <v>21834589.340684753</v>
      </c>
      <c r="O128" s="7">
        <v>21828404.691752657</v>
      </c>
      <c r="P128" s="7">
        <v>21826642.032924082</v>
      </c>
      <c r="Q128" s="1" t="s">
        <v>11</v>
      </c>
      <c r="R128" s="1" t="s">
        <v>11</v>
      </c>
      <c r="S128" s="1" t="s">
        <v>11</v>
      </c>
      <c r="T128" s="1" t="s">
        <v>11</v>
      </c>
      <c r="U128" s="1" t="s">
        <v>11</v>
      </c>
      <c r="V128" s="1" t="s">
        <v>11</v>
      </c>
      <c r="W128" s="1" t="s">
        <v>11</v>
      </c>
      <c r="X128" s="1" t="s">
        <v>11</v>
      </c>
    </row>
    <row r="129" spans="3:24" x14ac:dyDescent="0.25">
      <c r="C129" s="10" t="s">
        <v>29</v>
      </c>
      <c r="D129" s="1">
        <v>6691248</v>
      </c>
      <c r="E129" s="1">
        <v>11756013</v>
      </c>
      <c r="F129" s="1">
        <v>11113520</v>
      </c>
      <c r="G129" s="1">
        <v>14458725</v>
      </c>
      <c r="H129" s="1">
        <v>14275150</v>
      </c>
      <c r="I129" s="7">
        <v>14354593.073899878</v>
      </c>
      <c r="J129" s="7">
        <v>12402781.167541984</v>
      </c>
      <c r="K129" s="7">
        <v>12036804.734843614</v>
      </c>
      <c r="L129" s="7">
        <v>11521528.254948137</v>
      </c>
      <c r="M129" s="7">
        <v>11193651.338659037</v>
      </c>
      <c r="N129" s="7">
        <v>10757465.996110424</v>
      </c>
      <c r="O129" s="7">
        <v>10684572.258248758</v>
      </c>
      <c r="P129" s="1" t="s">
        <v>11</v>
      </c>
      <c r="Q129" s="1" t="s">
        <v>11</v>
      </c>
      <c r="R129" s="1" t="s">
        <v>11</v>
      </c>
      <c r="S129" s="1" t="s">
        <v>11</v>
      </c>
      <c r="T129" s="1" t="s">
        <v>11</v>
      </c>
      <c r="U129" s="1" t="s">
        <v>11</v>
      </c>
      <c r="V129" s="1" t="s">
        <v>11</v>
      </c>
      <c r="W129" s="1" t="s">
        <v>11</v>
      </c>
      <c r="X129" s="1" t="s">
        <v>11</v>
      </c>
    </row>
    <row r="130" spans="3:24" x14ac:dyDescent="0.25">
      <c r="C130" s="10" t="s">
        <v>30</v>
      </c>
      <c r="D130" s="1">
        <v>4191817</v>
      </c>
      <c r="E130" s="1">
        <v>9775450</v>
      </c>
      <c r="F130" s="1">
        <v>9803541</v>
      </c>
      <c r="G130" s="1">
        <v>12735195</v>
      </c>
      <c r="H130" s="7">
        <v>10961457.47058348</v>
      </c>
      <c r="I130" s="7">
        <v>10971715.327517381</v>
      </c>
      <c r="J130" s="7">
        <v>10837814.846004097</v>
      </c>
      <c r="K130" s="7">
        <v>10574707.312378405</v>
      </c>
      <c r="L130" s="7">
        <v>10301866.153651753</v>
      </c>
      <c r="M130" s="7">
        <v>9777026.4520721342</v>
      </c>
      <c r="N130" s="7">
        <v>9725705.387888914</v>
      </c>
      <c r="O130" s="1" t="s">
        <v>11</v>
      </c>
      <c r="P130" s="1" t="s">
        <v>11</v>
      </c>
      <c r="Q130" s="1" t="s">
        <v>11</v>
      </c>
      <c r="R130" s="1" t="s">
        <v>11</v>
      </c>
      <c r="S130" s="1" t="s">
        <v>11</v>
      </c>
      <c r="T130" s="1" t="s">
        <v>11</v>
      </c>
      <c r="U130" s="1" t="s">
        <v>11</v>
      </c>
      <c r="V130" s="1" t="s">
        <v>11</v>
      </c>
      <c r="W130" s="1" t="s">
        <v>11</v>
      </c>
      <c r="X130" s="1" t="s">
        <v>11</v>
      </c>
    </row>
    <row r="131" spans="3:24" x14ac:dyDescent="0.25">
      <c r="C131" s="10" t="s">
        <v>31</v>
      </c>
      <c r="D131" s="1">
        <v>5916671</v>
      </c>
      <c r="E131" s="1">
        <v>11716355</v>
      </c>
      <c r="F131" s="1">
        <v>11277873</v>
      </c>
      <c r="G131" s="7">
        <v>15722486.162974082</v>
      </c>
      <c r="H131" s="7">
        <v>13206996.684580598</v>
      </c>
      <c r="I131" s="7">
        <v>13438643.582781073</v>
      </c>
      <c r="J131" s="7">
        <v>12823617.884306055</v>
      </c>
      <c r="K131" s="7">
        <v>12445223.565790841</v>
      </c>
      <c r="L131" s="7">
        <v>11992843.644415259</v>
      </c>
      <c r="M131" s="7">
        <v>11381855.267596291</v>
      </c>
      <c r="N131" s="1" t="s">
        <v>11</v>
      </c>
      <c r="O131" s="1" t="s">
        <v>11</v>
      </c>
      <c r="P131" s="1" t="s">
        <v>11</v>
      </c>
      <c r="Q131" s="1" t="s">
        <v>11</v>
      </c>
      <c r="R131" s="1" t="s">
        <v>11</v>
      </c>
      <c r="S131" s="1" t="s">
        <v>11</v>
      </c>
      <c r="T131" s="1" t="s">
        <v>11</v>
      </c>
      <c r="U131" s="1" t="s">
        <v>11</v>
      </c>
      <c r="V131" s="1" t="s">
        <v>11</v>
      </c>
      <c r="W131" s="1" t="s">
        <v>11</v>
      </c>
      <c r="X131" s="1" t="s">
        <v>11</v>
      </c>
    </row>
    <row r="132" spans="3:24" x14ac:dyDescent="0.25">
      <c r="C132" s="10" t="s">
        <v>32</v>
      </c>
      <c r="D132" s="1">
        <v>4926500</v>
      </c>
      <c r="E132" s="1">
        <v>9321834</v>
      </c>
      <c r="F132" s="7">
        <v>8133738.8424170464</v>
      </c>
      <c r="G132" s="7">
        <v>7763397.5761043355</v>
      </c>
      <c r="H132" s="7">
        <v>7841326.762728286</v>
      </c>
      <c r="I132" s="7">
        <v>7848664.7657557027</v>
      </c>
      <c r="J132" s="7">
        <v>7386204.3868308086</v>
      </c>
      <c r="K132" s="7">
        <v>7186645.1277760481</v>
      </c>
      <c r="L132" s="7">
        <v>6833590.5297694504</v>
      </c>
      <c r="M132" s="1" t="s">
        <v>11</v>
      </c>
      <c r="N132" s="1" t="s">
        <v>11</v>
      </c>
      <c r="O132" s="1" t="s">
        <v>11</v>
      </c>
      <c r="P132" s="1" t="s">
        <v>11</v>
      </c>
      <c r="Q132" s="1" t="s">
        <v>11</v>
      </c>
      <c r="R132" s="1" t="s">
        <v>11</v>
      </c>
      <c r="S132" s="1" t="s">
        <v>11</v>
      </c>
      <c r="T132" s="1" t="s">
        <v>11</v>
      </c>
      <c r="U132" s="1" t="s">
        <v>11</v>
      </c>
      <c r="V132" s="1" t="s">
        <v>11</v>
      </c>
      <c r="W132" s="1" t="s">
        <v>11</v>
      </c>
      <c r="X132" s="1" t="s">
        <v>11</v>
      </c>
    </row>
    <row r="133" spans="3:24" x14ac:dyDescent="0.25">
      <c r="C133" s="10" t="s">
        <v>33</v>
      </c>
      <c r="D133" s="1">
        <v>5149958</v>
      </c>
      <c r="E133" s="7">
        <v>7430194.0627911901</v>
      </c>
      <c r="F133" s="7">
        <v>6483193.9782687854</v>
      </c>
      <c r="G133" s="7">
        <v>5919311.0521294549</v>
      </c>
      <c r="H133" s="7">
        <v>5659337.7573409975</v>
      </c>
      <c r="I133" s="7">
        <v>5168575.1068367027</v>
      </c>
      <c r="J133" s="7">
        <v>5065483.4314163839</v>
      </c>
      <c r="K133" s="7">
        <v>4909309.1307235686</v>
      </c>
      <c r="L133" s="1" t="s">
        <v>11</v>
      </c>
      <c r="M133" s="1" t="s">
        <v>11</v>
      </c>
      <c r="N133" s="1" t="s">
        <v>11</v>
      </c>
      <c r="O133" s="1" t="s">
        <v>11</v>
      </c>
      <c r="P133" s="1" t="s">
        <v>11</v>
      </c>
      <c r="Q133" s="1" t="s">
        <v>11</v>
      </c>
      <c r="R133" s="1" t="s">
        <v>11</v>
      </c>
      <c r="S133" s="1" t="s">
        <v>11</v>
      </c>
      <c r="T133" s="1" t="s">
        <v>11</v>
      </c>
      <c r="U133" s="1" t="s">
        <v>11</v>
      </c>
      <c r="V133" s="1" t="s">
        <v>11</v>
      </c>
      <c r="W133" s="1" t="s">
        <v>11</v>
      </c>
      <c r="X133" s="1" t="s">
        <v>11</v>
      </c>
    </row>
  </sheetData>
  <mergeCells count="4">
    <mergeCell ref="C13:AA13"/>
    <mergeCell ref="F76:H76"/>
    <mergeCell ref="I76:K76"/>
    <mergeCell ref="C42:AA42"/>
  </mergeCells>
  <conditionalFormatting sqref="D44:D66">
    <cfRule type="colorScale" priority="2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E44:E66">
    <cfRule type="colorScale" priority="2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F44:F66">
    <cfRule type="colorScale" priority="2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G44:G66">
    <cfRule type="colorScale" priority="2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H44:H66">
    <cfRule type="colorScale" priority="1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I44:I66">
    <cfRule type="colorScale" priority="1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J44:J66">
    <cfRule type="colorScale" priority="1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K44:K66">
    <cfRule type="colorScale" priority="1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L44:L66">
    <cfRule type="colorScale" priority="1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M44:M66">
    <cfRule type="colorScale" priority="1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N44:N57">
    <cfRule type="colorScale" priority="1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O44:O57">
    <cfRule type="colorScale" priority="1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P44:P57">
    <cfRule type="colorScale" priority="1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Q44:Q57">
    <cfRule type="colorScale" priority="1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44:R57">
    <cfRule type="colorScale" priority="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S44:S57">
    <cfRule type="colorScale" priority="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T44:T57">
    <cfRule type="colorScale" priority="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U44:U57">
    <cfRule type="colorScale" priority="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44:V57">
    <cfRule type="colorScale" priority="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W44:W57">
    <cfRule type="colorScale" priority="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X44:X57">
    <cfRule type="colorScale" priority="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Y44:Y57">
    <cfRule type="colorScale" priority="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Z44:Z57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91B035-B5D1-4CC0-B678-6D02D142215D}">
  <dimension ref="A1:AD28"/>
  <sheetViews>
    <sheetView showGridLines="0" zoomScaleNormal="100" workbookViewId="0">
      <pane xSplit="2" ySplit="3" topLeftCell="K4" activePane="bottomRight" state="frozen"/>
      <selection pane="topRight" activeCell="C1" sqref="C1"/>
      <selection pane="bottomLeft" activeCell="A4" sqref="A4"/>
      <selection pane="bottomRight" activeCell="C4" sqref="C4:Z27"/>
    </sheetView>
  </sheetViews>
  <sheetFormatPr baseColWidth="10" defaultColWidth="8.7109375" defaultRowHeight="15" x14ac:dyDescent="0.25"/>
  <cols>
    <col min="1" max="2" width="10" style="33" customWidth="1"/>
    <col min="3" max="27" width="12" style="33" customWidth="1"/>
    <col min="28" max="28" width="12.7109375" style="33" bestFit="1" customWidth="1"/>
    <col min="29" max="30" width="12" style="33" customWidth="1"/>
    <col min="31" max="16384" width="8.7109375" style="33"/>
  </cols>
  <sheetData>
    <row r="1" spans="1:30" ht="25.5" customHeight="1" x14ac:dyDescent="0.25">
      <c r="A1" s="32" t="s">
        <v>53</v>
      </c>
      <c r="B1" s="32"/>
      <c r="C1" s="32"/>
      <c r="D1" s="32"/>
      <c r="E1" s="32"/>
      <c r="F1" s="32"/>
      <c r="G1" s="32"/>
      <c r="H1" s="32"/>
      <c r="I1" s="32"/>
      <c r="J1" s="32"/>
      <c r="K1" s="32"/>
      <c r="L1" s="32"/>
      <c r="M1" s="32"/>
      <c r="N1" s="32"/>
      <c r="O1" s="32"/>
      <c r="P1" s="32"/>
      <c r="Q1" s="32"/>
      <c r="R1" s="32"/>
      <c r="S1" s="32"/>
      <c r="T1" s="32"/>
      <c r="U1" s="32"/>
      <c r="V1" s="32"/>
      <c r="W1" s="32"/>
      <c r="X1" s="32"/>
      <c r="Y1" s="32"/>
      <c r="Z1" s="32"/>
      <c r="AA1" s="32"/>
      <c r="AB1" s="32"/>
      <c r="AC1" s="32"/>
      <c r="AD1" s="32"/>
    </row>
    <row r="2" spans="1:30" ht="15.75" customHeight="1" x14ac:dyDescent="0.25">
      <c r="A2" s="34" t="s">
        <v>54</v>
      </c>
      <c r="B2" s="34"/>
      <c r="C2" s="34"/>
      <c r="D2" s="34"/>
      <c r="E2" s="34"/>
      <c r="F2" s="34"/>
      <c r="G2" s="34"/>
      <c r="H2" s="34"/>
      <c r="I2" s="34"/>
      <c r="J2" s="34"/>
      <c r="K2" s="34"/>
      <c r="L2" s="34"/>
      <c r="M2" s="34"/>
      <c r="N2" s="34"/>
      <c r="O2" s="34"/>
      <c r="P2" s="34"/>
      <c r="Q2" s="34"/>
      <c r="R2" s="34"/>
      <c r="S2" s="34"/>
      <c r="T2" s="34"/>
      <c r="U2" s="34"/>
      <c r="V2" s="34"/>
      <c r="W2" s="34"/>
      <c r="X2" s="34"/>
      <c r="Y2" s="34"/>
      <c r="Z2" s="34"/>
      <c r="AA2" s="34"/>
      <c r="AB2" s="34"/>
      <c r="AC2" s="34"/>
      <c r="AD2" s="34"/>
    </row>
    <row r="3" spans="1:30" ht="31.5" customHeight="1" x14ac:dyDescent="0.25">
      <c r="A3" s="35" t="s">
        <v>55</v>
      </c>
      <c r="B3" s="35" t="s">
        <v>56</v>
      </c>
      <c r="C3" s="36" t="s">
        <v>57</v>
      </c>
      <c r="D3" s="36" t="s">
        <v>58</v>
      </c>
      <c r="E3" s="36" t="s">
        <v>59</v>
      </c>
      <c r="F3" s="36" t="s">
        <v>60</v>
      </c>
      <c r="G3" s="36" t="s">
        <v>61</v>
      </c>
      <c r="H3" s="36" t="s">
        <v>62</v>
      </c>
      <c r="I3" s="36" t="s">
        <v>63</v>
      </c>
      <c r="J3" s="36" t="s">
        <v>64</v>
      </c>
      <c r="K3" s="36" t="s">
        <v>65</v>
      </c>
      <c r="L3" s="36" t="s">
        <v>66</v>
      </c>
      <c r="M3" s="36" t="s">
        <v>67</v>
      </c>
      <c r="N3" s="36" t="s">
        <v>68</v>
      </c>
      <c r="O3" s="36" t="s">
        <v>69</v>
      </c>
      <c r="P3" s="36" t="s">
        <v>70</v>
      </c>
      <c r="Q3" s="36" t="s">
        <v>71</v>
      </c>
      <c r="R3" s="36" t="s">
        <v>72</v>
      </c>
      <c r="S3" s="36" t="s">
        <v>73</v>
      </c>
      <c r="T3" s="36" t="s">
        <v>74</v>
      </c>
      <c r="U3" s="36" t="s">
        <v>75</v>
      </c>
      <c r="V3" s="36" t="s">
        <v>76</v>
      </c>
      <c r="W3" s="36" t="s">
        <v>77</v>
      </c>
      <c r="X3" s="36" t="s">
        <v>78</v>
      </c>
      <c r="Y3" s="36" t="s">
        <v>79</v>
      </c>
      <c r="Z3" s="36" t="s">
        <v>80</v>
      </c>
      <c r="AA3" s="36" t="s">
        <v>81</v>
      </c>
      <c r="AB3" s="37" t="s">
        <v>82</v>
      </c>
      <c r="AC3" s="38" t="s">
        <v>83</v>
      </c>
      <c r="AD3" s="39" t="s">
        <v>84</v>
      </c>
    </row>
    <row r="4" spans="1:30" ht="15" customHeight="1" x14ac:dyDescent="0.25">
      <c r="A4" s="46" t="s">
        <v>85</v>
      </c>
      <c r="B4" s="47" t="s">
        <v>86</v>
      </c>
      <c r="C4" s="48">
        <f>'[1]1_Triangulo'!C5</f>
        <v>8026787</v>
      </c>
      <c r="D4" s="48">
        <f>'[1]1_Triangulo'!D5</f>
        <v>12478218</v>
      </c>
      <c r="E4" s="48">
        <f>'[1]1_Triangulo'!E5</f>
        <v>16561110</v>
      </c>
      <c r="F4" s="48">
        <f>'[1]1_Triangulo'!F5</f>
        <v>19671914</v>
      </c>
      <c r="G4" s="48">
        <f>'[1]1_Triangulo'!G5</f>
        <v>23896258</v>
      </c>
      <c r="H4" s="48">
        <f>'[1]1_Triangulo'!H5</f>
        <v>27806005</v>
      </c>
      <c r="I4" s="48">
        <f>'[1]1_Triangulo'!I5</f>
        <v>33182773</v>
      </c>
      <c r="J4" s="48">
        <f>'[1]1_Triangulo'!J5</f>
        <v>36270491</v>
      </c>
      <c r="K4" s="48">
        <f>'[1]1_Triangulo'!K5</f>
        <v>37629155</v>
      </c>
      <c r="L4" s="48">
        <f>'[1]1_Triangulo'!L5</f>
        <v>40293411</v>
      </c>
      <c r="M4" s="48">
        <f>'[1]1_Triangulo'!M5</f>
        <v>41332746</v>
      </c>
      <c r="N4" s="48">
        <f>'[1]1_Triangulo'!N5</f>
        <v>43695091</v>
      </c>
      <c r="O4" s="48">
        <f>'[1]1_Triangulo'!O5</f>
        <v>44033840</v>
      </c>
      <c r="P4" s="48">
        <f>'[1]1_Triangulo'!P5</f>
        <v>45247872</v>
      </c>
      <c r="Q4" s="48">
        <f>'[1]1_Triangulo'!Q5</f>
        <v>46619184</v>
      </c>
      <c r="R4" s="48">
        <f>'[1]1_Triangulo'!R5</f>
        <v>47705616</v>
      </c>
      <c r="S4" s="48">
        <f>'[1]1_Triangulo'!S5</f>
        <v>48088887</v>
      </c>
      <c r="T4" s="48">
        <f>'[1]1_Triangulo'!T5</f>
        <v>48548192</v>
      </c>
      <c r="U4" s="48">
        <f>'[1]1_Triangulo'!U5</f>
        <v>49027700</v>
      </c>
      <c r="V4" s="48">
        <f>'[1]1_Triangulo'!V5</f>
        <v>49404837</v>
      </c>
      <c r="W4" s="48">
        <f>'[1]1_Triangulo'!W5</f>
        <v>49751067</v>
      </c>
      <c r="X4" s="48">
        <f>'[1]1_Triangulo'!X5</f>
        <v>50026159</v>
      </c>
      <c r="Y4" s="48">
        <f>'[1]1_Triangulo'!Y5</f>
        <v>50392506</v>
      </c>
      <c r="Z4" s="43">
        <f>'[1]1_Triangulo'!Z5</f>
        <v>50579274</v>
      </c>
      <c r="AA4" s="49">
        <f>Z4*'[1]2_Factores'!Z31</f>
        <v>50757466.621208936</v>
      </c>
      <c r="AB4" s="44">
        <f>AA4</f>
        <v>50757466.621208936</v>
      </c>
      <c r="AC4" s="45">
        <f>'[1]1_Triangulo'!Z5</f>
        <v>50579274</v>
      </c>
      <c r="AD4" s="44">
        <f t="shared" ref="AD4:AD27" si="0">AB4-AC4</f>
        <v>178192.62120893598</v>
      </c>
    </row>
    <row r="5" spans="1:30" ht="15" customHeight="1" x14ac:dyDescent="0.25">
      <c r="A5" s="40" t="s">
        <v>87</v>
      </c>
      <c r="B5" s="41" t="s">
        <v>88</v>
      </c>
      <c r="C5" s="42">
        <f>'[1]1_Triangulo'!C6</f>
        <v>7547459</v>
      </c>
      <c r="D5" s="42">
        <f>'[1]1_Triangulo'!D6</f>
        <v>13305190</v>
      </c>
      <c r="E5" s="42">
        <f>'[1]1_Triangulo'!E6</f>
        <v>16410123</v>
      </c>
      <c r="F5" s="42">
        <f>'[1]1_Triangulo'!F6</f>
        <v>19898245</v>
      </c>
      <c r="G5" s="42">
        <f>'[1]1_Triangulo'!G6</f>
        <v>24703335</v>
      </c>
      <c r="H5" s="42">
        <f>'[1]1_Triangulo'!H6</f>
        <v>29063602</v>
      </c>
      <c r="I5" s="42">
        <f>'[1]1_Triangulo'!I6</f>
        <v>33129961</v>
      </c>
      <c r="J5" s="42">
        <f>'[1]1_Triangulo'!J6</f>
        <v>36336823</v>
      </c>
      <c r="K5" s="42">
        <f>'[1]1_Triangulo'!K6</f>
        <v>38481672</v>
      </c>
      <c r="L5" s="42">
        <f>'[1]1_Triangulo'!L6</f>
        <v>40628864</v>
      </c>
      <c r="M5" s="42">
        <f>'[1]1_Triangulo'!M6</f>
        <v>42718987</v>
      </c>
      <c r="N5" s="42">
        <f>'[1]1_Triangulo'!N6</f>
        <v>44050445</v>
      </c>
      <c r="O5" s="42">
        <f>'[1]1_Triangulo'!O6</f>
        <v>45153748</v>
      </c>
      <c r="P5" s="42">
        <f>'[1]1_Triangulo'!P6</f>
        <v>45915529</v>
      </c>
      <c r="Q5" s="42">
        <f>'[1]1_Triangulo'!Q6</f>
        <v>46926085</v>
      </c>
      <c r="R5" s="42">
        <f>'[1]1_Triangulo'!R6</f>
        <v>48363556</v>
      </c>
      <c r="S5" s="42">
        <f>'[1]1_Triangulo'!S6</f>
        <v>48946892</v>
      </c>
      <c r="T5" s="42">
        <f>'[1]1_Triangulo'!T6</f>
        <v>49209093</v>
      </c>
      <c r="U5" s="42">
        <f>'[1]1_Triangulo'!U6</f>
        <v>49862927</v>
      </c>
      <c r="V5" s="42">
        <f>'[1]1_Triangulo'!V6</f>
        <v>50284216</v>
      </c>
      <c r="W5" s="42">
        <f>'[1]1_Triangulo'!W6</f>
        <v>50428976</v>
      </c>
      <c r="X5" s="42">
        <f>'[1]1_Triangulo'!X6</f>
        <v>50771759</v>
      </c>
      <c r="Y5" s="43">
        <f>'[1]1_Triangulo'!Y6</f>
        <v>51107802</v>
      </c>
      <c r="Z5" s="49">
        <f>Y5*'[1]2_Factores'!Y31</f>
        <v>51277230.632723898</v>
      </c>
      <c r="AA5" s="49">
        <f>Z5*'[1]2_Factores'!Z31</f>
        <v>51457882.180525482</v>
      </c>
      <c r="AB5" s="44">
        <f>AA5</f>
        <v>51457882.180525482</v>
      </c>
      <c r="AC5" s="45">
        <f>'[1]1_Triangulo'!Y6</f>
        <v>51107802</v>
      </c>
      <c r="AD5" s="44">
        <f t="shared" si="0"/>
        <v>350080.1805254817</v>
      </c>
    </row>
    <row r="6" spans="1:30" ht="15" customHeight="1" x14ac:dyDescent="0.25">
      <c r="A6" s="46" t="s">
        <v>89</v>
      </c>
      <c r="B6" s="47" t="s">
        <v>90</v>
      </c>
      <c r="C6" s="48">
        <f>'[1]1_Triangulo'!C7</f>
        <v>8196316</v>
      </c>
      <c r="D6" s="48">
        <f>'[1]1_Triangulo'!D7</f>
        <v>14072883</v>
      </c>
      <c r="E6" s="48">
        <f>'[1]1_Triangulo'!E7</f>
        <v>15565617</v>
      </c>
      <c r="F6" s="48">
        <f>'[1]1_Triangulo'!F7</f>
        <v>20952216</v>
      </c>
      <c r="G6" s="48">
        <f>'[1]1_Triangulo'!G7</f>
        <v>24749531</v>
      </c>
      <c r="H6" s="48">
        <f>'[1]1_Triangulo'!H7</f>
        <v>28724252</v>
      </c>
      <c r="I6" s="48">
        <f>'[1]1_Triangulo'!I7</f>
        <v>33121092</v>
      </c>
      <c r="J6" s="48">
        <f>'[1]1_Triangulo'!J7</f>
        <v>36239250</v>
      </c>
      <c r="K6" s="48">
        <f>'[1]1_Triangulo'!K7</f>
        <v>39042314</v>
      </c>
      <c r="L6" s="48">
        <f>'[1]1_Triangulo'!L7</f>
        <v>41187384</v>
      </c>
      <c r="M6" s="48">
        <f>'[1]1_Triangulo'!M7</f>
        <v>43489183</v>
      </c>
      <c r="N6" s="48">
        <f>'[1]1_Triangulo'!N7</f>
        <v>44630626</v>
      </c>
      <c r="O6" s="48">
        <f>'[1]1_Triangulo'!O7</f>
        <v>45574135</v>
      </c>
      <c r="P6" s="48">
        <f>'[1]1_Triangulo'!P7</f>
        <v>46694631</v>
      </c>
      <c r="Q6" s="48">
        <f>'[1]1_Triangulo'!Q7</f>
        <v>48052882</v>
      </c>
      <c r="R6" s="48">
        <f>'[1]1_Triangulo'!R7</f>
        <v>48915394</v>
      </c>
      <c r="S6" s="48">
        <f>'[1]1_Triangulo'!S7</f>
        <v>49268124</v>
      </c>
      <c r="T6" s="48">
        <f>'[1]1_Triangulo'!T7</f>
        <v>49963443</v>
      </c>
      <c r="U6" s="48">
        <f>'[1]1_Triangulo'!U7</f>
        <v>50411848</v>
      </c>
      <c r="V6" s="48">
        <f>'[1]1_Triangulo'!V7</f>
        <v>51033429</v>
      </c>
      <c r="W6" s="48">
        <f>'[1]1_Triangulo'!W7</f>
        <v>51102720</v>
      </c>
      <c r="X6" s="43">
        <f>'[1]1_Triangulo'!X7</f>
        <v>51395178</v>
      </c>
      <c r="Y6" s="49">
        <f>X6*'[1]2_Factores'!X31</f>
        <v>51727634.008026935</v>
      </c>
      <c r="Z6" s="49">
        <f>Y6*'[1]2_Factores'!Y31</f>
        <v>51899117.459888592</v>
      </c>
      <c r="AA6" s="49">
        <f>Z6*'[1]2_Factores'!Z31</f>
        <v>52081959.937592171</v>
      </c>
      <c r="AB6" s="44">
        <f>AA6</f>
        <v>52081959.937592171</v>
      </c>
      <c r="AC6" s="45">
        <f>'[1]1_Triangulo'!X7</f>
        <v>51395178</v>
      </c>
      <c r="AD6" s="44">
        <f t="shared" si="0"/>
        <v>686781.93759217113</v>
      </c>
    </row>
    <row r="7" spans="1:30" ht="15" customHeight="1" x14ac:dyDescent="0.25">
      <c r="A7" s="40" t="s">
        <v>91</v>
      </c>
      <c r="B7" s="41" t="s">
        <v>92</v>
      </c>
      <c r="C7" s="42">
        <f>'[1]1_Triangulo'!C8</f>
        <v>8189220</v>
      </c>
      <c r="D7" s="42">
        <f>'[1]1_Triangulo'!D8</f>
        <v>12850472</v>
      </c>
      <c r="E7" s="42">
        <f>'[1]1_Triangulo'!E8</f>
        <v>17199059</v>
      </c>
      <c r="F7" s="42">
        <f>'[1]1_Triangulo'!F8</f>
        <v>20932964</v>
      </c>
      <c r="G7" s="42">
        <f>'[1]1_Triangulo'!G8</f>
        <v>25037960</v>
      </c>
      <c r="H7" s="42">
        <f>'[1]1_Triangulo'!H8</f>
        <v>29146772</v>
      </c>
      <c r="I7" s="42">
        <f>'[1]1_Triangulo'!I8</f>
        <v>32754663</v>
      </c>
      <c r="J7" s="42">
        <f>'[1]1_Triangulo'!J8</f>
        <v>37542026</v>
      </c>
      <c r="K7" s="42">
        <f>'[1]1_Triangulo'!K8</f>
        <v>39509804</v>
      </c>
      <c r="L7" s="42">
        <f>'[1]1_Triangulo'!L8</f>
        <v>41243551</v>
      </c>
      <c r="M7" s="42">
        <f>'[1]1_Triangulo'!M8</f>
        <v>43435080</v>
      </c>
      <c r="N7" s="42">
        <f>'[1]1_Triangulo'!N8</f>
        <v>45553651</v>
      </c>
      <c r="O7" s="42">
        <f>'[1]1_Triangulo'!O8</f>
        <v>47018570</v>
      </c>
      <c r="P7" s="42">
        <f>'[1]1_Triangulo'!P8</f>
        <v>47506350</v>
      </c>
      <c r="Q7" s="42">
        <f>'[1]1_Triangulo'!Q8</f>
        <v>48543727</v>
      </c>
      <c r="R7" s="42">
        <f>'[1]1_Triangulo'!R8</f>
        <v>49490339</v>
      </c>
      <c r="S7" s="42">
        <f>'[1]1_Triangulo'!S8</f>
        <v>49680980</v>
      </c>
      <c r="T7" s="42">
        <f>'[1]1_Triangulo'!T8</f>
        <v>50551414</v>
      </c>
      <c r="U7" s="42">
        <f>'[1]1_Triangulo'!U8</f>
        <v>51086096</v>
      </c>
      <c r="V7" s="42">
        <f>'[1]1_Triangulo'!V8</f>
        <v>51900283</v>
      </c>
      <c r="W7" s="43">
        <f>'[1]1_Triangulo'!W8</f>
        <v>52457834</v>
      </c>
      <c r="X7" s="49">
        <f>W7*'[1]2_Factores'!W31</f>
        <v>52716092.507155277</v>
      </c>
      <c r="Y7" s="49">
        <f>X7*'[1]2_Factores'!X31</f>
        <v>53057093.012566656</v>
      </c>
      <c r="Z7" s="49">
        <f>Y7*'[1]2_Factores'!Y31</f>
        <v>53232983.784105286</v>
      </c>
      <c r="AA7" s="49">
        <f>Z7*'[1]2_Factores'!Z31</f>
        <v>53420525.521364354</v>
      </c>
      <c r="AB7" s="44">
        <f>AA7</f>
        <v>53420525.521364354</v>
      </c>
      <c r="AC7" s="45">
        <f>'[1]1_Triangulo'!W8</f>
        <v>52457834</v>
      </c>
      <c r="AD7" s="44">
        <f t="shared" si="0"/>
        <v>962691.5213643536</v>
      </c>
    </row>
    <row r="8" spans="1:30" ht="15" customHeight="1" x14ac:dyDescent="0.25">
      <c r="A8" s="46" t="s">
        <v>93</v>
      </c>
      <c r="B8" s="47" t="s">
        <v>94</v>
      </c>
      <c r="C8" s="48">
        <f>'[1]1_Triangulo'!C9</f>
        <v>8533077</v>
      </c>
      <c r="D8" s="48">
        <f>'[1]1_Triangulo'!D9</f>
        <v>13680302</v>
      </c>
      <c r="E8" s="48">
        <f>'[1]1_Triangulo'!E9</f>
        <v>16690403</v>
      </c>
      <c r="F8" s="48">
        <f>'[1]1_Triangulo'!F9</f>
        <v>21697562</v>
      </c>
      <c r="G8" s="48">
        <f>'[1]1_Triangulo'!G9</f>
        <v>25794797</v>
      </c>
      <c r="H8" s="48">
        <f>'[1]1_Triangulo'!H9</f>
        <v>30117551</v>
      </c>
      <c r="I8" s="48">
        <f>'[1]1_Triangulo'!I9</f>
        <v>33470325</v>
      </c>
      <c r="J8" s="48">
        <f>'[1]1_Triangulo'!J9</f>
        <v>39031531</v>
      </c>
      <c r="K8" s="48">
        <f>'[1]1_Triangulo'!K9</f>
        <v>39534504</v>
      </c>
      <c r="L8" s="48">
        <f>'[1]1_Triangulo'!L9</f>
        <v>42405783</v>
      </c>
      <c r="M8" s="48">
        <f>'[1]1_Triangulo'!M9</f>
        <v>44954118</v>
      </c>
      <c r="N8" s="48">
        <f>'[1]1_Triangulo'!N9</f>
        <v>45675532</v>
      </c>
      <c r="O8" s="48">
        <f>'[1]1_Triangulo'!O9</f>
        <v>46885671</v>
      </c>
      <c r="P8" s="48">
        <f>'[1]1_Triangulo'!P9</f>
        <v>48125981</v>
      </c>
      <c r="Q8" s="48">
        <f>'[1]1_Triangulo'!Q9</f>
        <v>49014808</v>
      </c>
      <c r="R8" s="48">
        <f>'[1]1_Triangulo'!R9</f>
        <v>49846037</v>
      </c>
      <c r="S8" s="48">
        <f>'[1]1_Triangulo'!S9</f>
        <v>50714853</v>
      </c>
      <c r="T8" s="48">
        <f>'[1]1_Triangulo'!T9</f>
        <v>51067131</v>
      </c>
      <c r="U8" s="48">
        <f>'[1]1_Triangulo'!U9</f>
        <v>51832054</v>
      </c>
      <c r="V8" s="43">
        <f>'[1]1_Triangulo'!V9</f>
        <v>52189573</v>
      </c>
      <c r="W8" s="49">
        <f>V8*'[1]2_Factores'!V31</f>
        <v>52535480.797035307</v>
      </c>
      <c r="X8" s="49">
        <f>W8*'[1]2_Factores'!W31</f>
        <v>52794121.572087653</v>
      </c>
      <c r="Y8" s="49">
        <f>X8*'[1]2_Factores'!X31</f>
        <v>53135626.818069004</v>
      </c>
      <c r="Z8" s="49">
        <f>Y8*'[1]2_Factores'!Y31</f>
        <v>53311777.938806154</v>
      </c>
      <c r="AA8" s="49">
        <f>Z8*'[1]2_Factores'!Z31</f>
        <v>53499597.270736948</v>
      </c>
      <c r="AB8" s="44">
        <f>AA8</f>
        <v>53499597.270736948</v>
      </c>
      <c r="AC8" s="45">
        <f>'[1]1_Triangulo'!V9</f>
        <v>52189573</v>
      </c>
      <c r="AD8" s="44">
        <f t="shared" si="0"/>
        <v>1310024.2707369477</v>
      </c>
    </row>
    <row r="9" spans="1:30" ht="15" customHeight="1" x14ac:dyDescent="0.25">
      <c r="A9" s="40" t="s">
        <v>95</v>
      </c>
      <c r="B9" s="41" t="s">
        <v>96</v>
      </c>
      <c r="C9" s="42">
        <f>'[1]1_Triangulo'!C10</f>
        <v>9090871</v>
      </c>
      <c r="D9" s="42">
        <f>'[1]1_Triangulo'!D10</f>
        <v>13511905</v>
      </c>
      <c r="E9" s="42">
        <f>'[1]1_Triangulo'!E10</f>
        <v>17345041</v>
      </c>
      <c r="F9" s="42">
        <f>'[1]1_Triangulo'!F10</f>
        <v>21806021</v>
      </c>
      <c r="G9" s="42">
        <f>'[1]1_Triangulo'!G10</f>
        <v>25028889</v>
      </c>
      <c r="H9" s="42">
        <f>'[1]1_Triangulo'!H10</f>
        <v>30200086</v>
      </c>
      <c r="I9" s="42">
        <f>'[1]1_Triangulo'!I10</f>
        <v>35166411</v>
      </c>
      <c r="J9" s="42">
        <f>'[1]1_Triangulo'!J10</f>
        <v>37925306</v>
      </c>
      <c r="K9" s="42">
        <f>'[1]1_Triangulo'!K10</f>
        <v>40840433</v>
      </c>
      <c r="L9" s="42">
        <f>'[1]1_Triangulo'!L10</f>
        <v>42831737</v>
      </c>
      <c r="M9" s="42">
        <f>'[1]1_Triangulo'!M10</f>
        <v>44990674</v>
      </c>
      <c r="N9" s="42">
        <f>'[1]1_Triangulo'!N10</f>
        <v>46203474</v>
      </c>
      <c r="O9" s="42">
        <f>'[1]1_Triangulo'!O10</f>
        <v>47281109</v>
      </c>
      <c r="P9" s="42">
        <f>'[1]1_Triangulo'!P10</f>
        <v>48891844</v>
      </c>
      <c r="Q9" s="42">
        <f>'[1]1_Triangulo'!Q10</f>
        <v>49870444</v>
      </c>
      <c r="R9" s="42">
        <f>'[1]1_Triangulo'!R10</f>
        <v>50902793</v>
      </c>
      <c r="S9" s="42">
        <f>'[1]1_Triangulo'!S10</f>
        <v>51450099</v>
      </c>
      <c r="T9" s="42">
        <f>'[1]1_Triangulo'!T10</f>
        <v>51817100</v>
      </c>
      <c r="U9" s="43">
        <f>'[1]1_Triangulo'!U10</f>
        <v>52496431</v>
      </c>
      <c r="V9" s="49">
        <f>U9*'[1]2_Factores'!U31</f>
        <v>53029254.657523595</v>
      </c>
      <c r="W9" s="49">
        <f>V9*'[1]2_Factores'!V31</f>
        <v>53380727.789082043</v>
      </c>
      <c r="X9" s="49">
        <f>W9*'[1]2_Factores'!W31</f>
        <v>53643529.853491925</v>
      </c>
      <c r="Y9" s="49">
        <f>X9*'[1]2_Factores'!X31</f>
        <v>53990529.601047345</v>
      </c>
      <c r="Z9" s="49">
        <f>Y9*'[1]2_Factores'!Y31</f>
        <v>54169514.829375975</v>
      </c>
      <c r="AA9" s="49">
        <f>Z9*'[1]2_Factores'!Z31</f>
        <v>54360355.999556921</v>
      </c>
      <c r="AB9" s="44">
        <f>AA9</f>
        <v>54360355.999556921</v>
      </c>
      <c r="AC9" s="45">
        <f>'[1]1_Triangulo'!U10</f>
        <v>52496431</v>
      </c>
      <c r="AD9" s="44">
        <f t="shared" si="0"/>
        <v>1863924.9995569214</v>
      </c>
    </row>
    <row r="10" spans="1:30" ht="15" customHeight="1" x14ac:dyDescent="0.25">
      <c r="A10" s="46" t="s">
        <v>97</v>
      </c>
      <c r="B10" s="47" t="s">
        <v>98</v>
      </c>
      <c r="C10" s="48">
        <f>'[1]1_Triangulo'!C11</f>
        <v>8761626</v>
      </c>
      <c r="D10" s="48">
        <f>'[1]1_Triangulo'!D11</f>
        <v>13726504</v>
      </c>
      <c r="E10" s="48">
        <f>'[1]1_Triangulo'!E11</f>
        <v>18756182</v>
      </c>
      <c r="F10" s="48">
        <f>'[1]1_Triangulo'!F11</f>
        <v>21909222</v>
      </c>
      <c r="G10" s="48">
        <f>'[1]1_Triangulo'!G11</f>
        <v>25388197</v>
      </c>
      <c r="H10" s="48">
        <f>'[1]1_Triangulo'!H11</f>
        <v>30856195</v>
      </c>
      <c r="I10" s="48">
        <f>'[1]1_Triangulo'!I11</f>
        <v>34341954</v>
      </c>
      <c r="J10" s="48">
        <f>'[1]1_Triangulo'!J11</f>
        <v>39746500</v>
      </c>
      <c r="K10" s="48">
        <f>'[1]1_Triangulo'!K11</f>
        <v>41879308</v>
      </c>
      <c r="L10" s="48">
        <f>'[1]1_Triangulo'!L11</f>
        <v>42925218</v>
      </c>
      <c r="M10" s="48">
        <f>'[1]1_Triangulo'!M11</f>
        <v>45670877</v>
      </c>
      <c r="N10" s="48">
        <f>'[1]1_Triangulo'!N11</f>
        <v>47423287</v>
      </c>
      <c r="O10" s="48">
        <f>'[1]1_Triangulo'!O11</f>
        <v>48601882</v>
      </c>
      <c r="P10" s="48">
        <f>'[1]1_Triangulo'!P11</f>
        <v>49939887</v>
      </c>
      <c r="Q10" s="48">
        <f>'[1]1_Triangulo'!Q11</f>
        <v>50408360</v>
      </c>
      <c r="R10" s="48">
        <f>'[1]1_Triangulo'!R11</f>
        <v>51370763</v>
      </c>
      <c r="S10" s="48">
        <f>'[1]1_Triangulo'!S11</f>
        <v>51910061</v>
      </c>
      <c r="T10" s="43">
        <f>'[1]1_Triangulo'!T11</f>
        <v>52493077</v>
      </c>
      <c r="U10" s="49">
        <f>T10*'[1]2_Factores'!T31</f>
        <v>53078053.912081093</v>
      </c>
      <c r="V10" s="49">
        <f>U10*'[1]2_Factores'!U31</f>
        <v>53616780.874675363</v>
      </c>
      <c r="W10" s="49">
        <f>V10*'[1]2_Factores'!V31</f>
        <v>53972148.077171609</v>
      </c>
      <c r="X10" s="49">
        <f>W10*'[1]2_Factores'!W31</f>
        <v>54237861.800509371</v>
      </c>
      <c r="Y10" s="49">
        <f>X10*'[1]2_Factores'!X31</f>
        <v>54588706.057107024</v>
      </c>
      <c r="Z10" s="49">
        <f>Y10*'[1]2_Factores'!Y31</f>
        <v>54769674.313762285</v>
      </c>
      <c r="AA10" s="49">
        <f>Z10*'[1]2_Factores'!Z31</f>
        <v>54962629.867626682</v>
      </c>
      <c r="AB10" s="44">
        <f>AA10</f>
        <v>54962629.867626682</v>
      </c>
      <c r="AC10" s="45">
        <f>'[1]1_Triangulo'!T11</f>
        <v>52493077</v>
      </c>
      <c r="AD10" s="44">
        <f t="shared" si="0"/>
        <v>2469552.8676266819</v>
      </c>
    </row>
    <row r="11" spans="1:30" ht="15" customHeight="1" x14ac:dyDescent="0.25">
      <c r="A11" s="40" t="s">
        <v>99</v>
      </c>
      <c r="B11" s="41" t="s">
        <v>100</v>
      </c>
      <c r="C11" s="42">
        <f>'[1]1_Triangulo'!C12</f>
        <v>8749177</v>
      </c>
      <c r="D11" s="42">
        <f>'[1]1_Triangulo'!D12</f>
        <v>14426300</v>
      </c>
      <c r="E11" s="42">
        <f>'[1]1_Triangulo'!E12</f>
        <v>18134563</v>
      </c>
      <c r="F11" s="42">
        <f>'[1]1_Triangulo'!F12</f>
        <v>22405469</v>
      </c>
      <c r="G11" s="42">
        <f>'[1]1_Triangulo'!G12</f>
        <v>26419623</v>
      </c>
      <c r="H11" s="42">
        <f>'[1]1_Triangulo'!H12</f>
        <v>31746466</v>
      </c>
      <c r="I11" s="42">
        <f>'[1]1_Triangulo'!I12</f>
        <v>35208936</v>
      </c>
      <c r="J11" s="42">
        <f>'[1]1_Triangulo'!J12</f>
        <v>41386939</v>
      </c>
      <c r="K11" s="42">
        <f>'[1]1_Triangulo'!K12</f>
        <v>42171998</v>
      </c>
      <c r="L11" s="42">
        <f>'[1]1_Triangulo'!L12</f>
        <v>43487191</v>
      </c>
      <c r="M11" s="42">
        <f>'[1]1_Triangulo'!M12</f>
        <v>45453496</v>
      </c>
      <c r="N11" s="42">
        <f>'[1]1_Triangulo'!N12</f>
        <v>48088062</v>
      </c>
      <c r="O11" s="42">
        <f>'[1]1_Triangulo'!O12</f>
        <v>48917465</v>
      </c>
      <c r="P11" s="42">
        <f>'[1]1_Triangulo'!P12</f>
        <v>50273293</v>
      </c>
      <c r="Q11" s="42">
        <f>'[1]1_Triangulo'!Q12</f>
        <v>51267767</v>
      </c>
      <c r="R11" s="42">
        <f>'[1]1_Triangulo'!R12</f>
        <v>52212664</v>
      </c>
      <c r="S11" s="43">
        <f>'[1]1_Triangulo'!S12</f>
        <v>52617714</v>
      </c>
      <c r="T11" s="49">
        <f>S11*'[1]2_Factores'!S31</f>
        <v>53188590.056113496</v>
      </c>
      <c r="U11" s="49">
        <f>T11*'[1]2_Factores'!T31</f>
        <v>53781317.687015615</v>
      </c>
      <c r="V11" s="49">
        <f>U11*'[1]2_Factores'!U31</f>
        <v>54327182.57441023</v>
      </c>
      <c r="W11" s="49">
        <f>V11*'[1]2_Factores'!V31</f>
        <v>54687258.255494058</v>
      </c>
      <c r="X11" s="49">
        <f>W11*'[1]2_Factores'!W31</f>
        <v>54956492.583344482</v>
      </c>
      <c r="Y11" s="49">
        <f>X11*'[1]2_Factores'!X31</f>
        <v>55311985.391238265</v>
      </c>
      <c r="Z11" s="49">
        <f>Y11*'[1]2_Factores'!Y31</f>
        <v>55495351.407606594</v>
      </c>
      <c r="AA11" s="49">
        <f>Z11*'[1]2_Factores'!Z31</f>
        <v>55690863.548255995</v>
      </c>
      <c r="AB11" s="44">
        <f>AA11</f>
        <v>55690863.548255995</v>
      </c>
      <c r="AC11" s="45">
        <f>'[1]1_Triangulo'!S12</f>
        <v>52617714</v>
      </c>
      <c r="AD11" s="44">
        <f t="shared" si="0"/>
        <v>3073149.5482559949</v>
      </c>
    </row>
    <row r="12" spans="1:30" ht="15" customHeight="1" x14ac:dyDescent="0.25">
      <c r="A12" s="46" t="s">
        <v>101</v>
      </c>
      <c r="B12" s="47" t="s">
        <v>102</v>
      </c>
      <c r="C12" s="48">
        <f>'[1]1_Triangulo'!C13</f>
        <v>8371517</v>
      </c>
      <c r="D12" s="48">
        <f>'[1]1_Triangulo'!D13</f>
        <v>14229540</v>
      </c>
      <c r="E12" s="48">
        <f>'[1]1_Triangulo'!E13</f>
        <v>18697376</v>
      </c>
      <c r="F12" s="48">
        <f>'[1]1_Triangulo'!F13</f>
        <v>22355074</v>
      </c>
      <c r="G12" s="48">
        <f>'[1]1_Triangulo'!G13</f>
        <v>26045884</v>
      </c>
      <c r="H12" s="48">
        <f>'[1]1_Triangulo'!H13</f>
        <v>31405240</v>
      </c>
      <c r="I12" s="48">
        <f>'[1]1_Triangulo'!I13</f>
        <v>36062571</v>
      </c>
      <c r="J12" s="48">
        <f>'[1]1_Triangulo'!J13</f>
        <v>39881124</v>
      </c>
      <c r="K12" s="48">
        <f>'[1]1_Triangulo'!K13</f>
        <v>42497948</v>
      </c>
      <c r="L12" s="48">
        <f>'[1]1_Triangulo'!L13</f>
        <v>44493523</v>
      </c>
      <c r="M12" s="48">
        <f>'[1]1_Triangulo'!M13</f>
        <v>46036365</v>
      </c>
      <c r="N12" s="48">
        <f>'[1]1_Triangulo'!N13</f>
        <v>48689399</v>
      </c>
      <c r="O12" s="48">
        <f>'[1]1_Triangulo'!O13</f>
        <v>49834379</v>
      </c>
      <c r="P12" s="48">
        <f>'[1]1_Triangulo'!P13</f>
        <v>51057856</v>
      </c>
      <c r="Q12" s="48">
        <f>'[1]1_Triangulo'!Q13</f>
        <v>52106577</v>
      </c>
      <c r="R12" s="43">
        <f>'[1]1_Triangulo'!R13</f>
        <v>52625937</v>
      </c>
      <c r="S12" s="49">
        <f>R12*'[1]2_Factores'!R31</f>
        <v>53134054.91486983</v>
      </c>
      <c r="T12" s="49">
        <f>S12*'[1]2_Factores'!S31</f>
        <v>53710533.013388492</v>
      </c>
      <c r="U12" s="49">
        <f>T12*'[1]2_Factores'!T31</f>
        <v>54309077.117564395</v>
      </c>
      <c r="V12" s="49">
        <f>U12*'[1]2_Factores'!U31</f>
        <v>54860298.611202918</v>
      </c>
      <c r="W12" s="49">
        <f>V12*'[1]2_Factores'!V31</f>
        <v>55223907.737441607</v>
      </c>
      <c r="X12" s="49">
        <f>W12*'[1]2_Factores'!W31</f>
        <v>55495784.078572132</v>
      </c>
      <c r="Y12" s="49">
        <f>X12*'[1]2_Factores'!X31</f>
        <v>55854765.359599836</v>
      </c>
      <c r="Z12" s="49">
        <f>Y12*'[1]2_Factores'!Y31</f>
        <v>56039930.758142918</v>
      </c>
      <c r="AA12" s="49">
        <f>Z12*'[1]2_Factores'!Z31</f>
        <v>56237361.471643485</v>
      </c>
      <c r="AB12" s="44">
        <f>AA12</f>
        <v>56237361.471643485</v>
      </c>
      <c r="AC12" s="45">
        <f>'[1]1_Triangulo'!R13</f>
        <v>52625937</v>
      </c>
      <c r="AD12" s="44">
        <f t="shared" si="0"/>
        <v>3611424.4716434851</v>
      </c>
    </row>
    <row r="13" spans="1:30" ht="15" customHeight="1" x14ac:dyDescent="0.25">
      <c r="A13" s="40" t="s">
        <v>103</v>
      </c>
      <c r="B13" s="41" t="s">
        <v>104</v>
      </c>
      <c r="C13" s="42">
        <f>'[1]1_Triangulo'!C14</f>
        <v>8682427</v>
      </c>
      <c r="D13" s="42">
        <f>'[1]1_Triangulo'!D14</f>
        <v>14906686</v>
      </c>
      <c r="E13" s="42">
        <f>'[1]1_Triangulo'!E14</f>
        <v>18757916</v>
      </c>
      <c r="F13" s="42">
        <f>'[1]1_Triangulo'!F14</f>
        <v>22830889</v>
      </c>
      <c r="G13" s="42">
        <f>'[1]1_Triangulo'!G14</f>
        <v>29522980</v>
      </c>
      <c r="H13" s="42">
        <f>'[1]1_Triangulo'!H14</f>
        <v>32068510</v>
      </c>
      <c r="I13" s="42">
        <f>'[1]1_Triangulo'!I14</f>
        <v>36997185</v>
      </c>
      <c r="J13" s="42">
        <f>'[1]1_Triangulo'!J14</f>
        <v>41471804</v>
      </c>
      <c r="K13" s="42">
        <f>'[1]1_Triangulo'!K14</f>
        <v>43329632</v>
      </c>
      <c r="L13" s="42">
        <f>'[1]1_Triangulo'!L14</f>
        <v>43726919.25</v>
      </c>
      <c r="M13" s="42">
        <f>'[1]1_Triangulo'!M14</f>
        <v>47455481</v>
      </c>
      <c r="N13" s="42">
        <f>'[1]1_Triangulo'!N14</f>
        <v>48918769</v>
      </c>
      <c r="O13" s="42">
        <f>'[1]1_Triangulo'!O14</f>
        <v>50240254</v>
      </c>
      <c r="P13" s="42">
        <f>'[1]1_Triangulo'!P14</f>
        <v>51286052</v>
      </c>
      <c r="Q13" s="43">
        <f>'[1]1_Triangulo'!Q14</f>
        <v>52557910</v>
      </c>
      <c r="R13" s="49">
        <f>Q13*'[1]2_Factores'!Q31</f>
        <v>53619962.847867727</v>
      </c>
      <c r="S13" s="49">
        <f>R13*'[1]2_Factores'!R31</f>
        <v>54137678.356052525</v>
      </c>
      <c r="T13" s="49">
        <f>S13*'[1]2_Factores'!S31</f>
        <v>54725045.270302057</v>
      </c>
      <c r="U13" s="49">
        <f>T13*'[1]2_Factores'!T31</f>
        <v>55334894.984307572</v>
      </c>
      <c r="V13" s="49">
        <f>U13*'[1]2_Factores'!U31</f>
        <v>55896528.233894058</v>
      </c>
      <c r="W13" s="49">
        <f>V13*'[1]2_Factores'!V31</f>
        <v>56267005.396895722</v>
      </c>
      <c r="X13" s="49">
        <f>W13*'[1]2_Factores'!W31</f>
        <v>56544017.078618996</v>
      </c>
      <c r="Y13" s="49">
        <f>X13*'[1]2_Factores'!X31</f>
        <v>56909778.983281814</v>
      </c>
      <c r="Z13" s="49">
        <f>Y13*'[1]2_Factores'!Y31</f>
        <v>57098441.881399728</v>
      </c>
      <c r="AA13" s="49">
        <f>Z13*'[1]2_Factores'!Z31</f>
        <v>57299601.768071741</v>
      </c>
      <c r="AB13" s="44">
        <f>AA13</f>
        <v>57299601.768071741</v>
      </c>
      <c r="AC13" s="45">
        <f>'[1]1_Triangulo'!Q14</f>
        <v>52557910</v>
      </c>
      <c r="AD13" s="44">
        <f t="shared" si="0"/>
        <v>4741691.7680717409</v>
      </c>
    </row>
    <row r="14" spans="1:30" ht="15" customHeight="1" x14ac:dyDescent="0.25">
      <c r="A14" s="46" t="s">
        <v>105</v>
      </c>
      <c r="B14" s="47" t="s">
        <v>106</v>
      </c>
      <c r="C14" s="48">
        <f>'[1]1_Triangulo'!C15</f>
        <v>10022030</v>
      </c>
      <c r="D14" s="48">
        <f>'[1]1_Triangulo'!D15</f>
        <v>13917909</v>
      </c>
      <c r="E14" s="48">
        <f>'[1]1_Triangulo'!E15</f>
        <v>19108092</v>
      </c>
      <c r="F14" s="48">
        <f>'[1]1_Triangulo'!F15</f>
        <v>21916301</v>
      </c>
      <c r="G14" s="48">
        <f>'[1]1_Triangulo'!G15</f>
        <v>27210886</v>
      </c>
      <c r="H14" s="48">
        <f>'[1]1_Triangulo'!H15</f>
        <v>32820335</v>
      </c>
      <c r="I14" s="48">
        <f>'[1]1_Triangulo'!I15</f>
        <v>36848132</v>
      </c>
      <c r="J14" s="48">
        <f>'[1]1_Triangulo'!J15</f>
        <v>40852155</v>
      </c>
      <c r="K14" s="48">
        <f>'[1]1_Triangulo'!K15</f>
        <v>43196364</v>
      </c>
      <c r="L14" s="48">
        <f>'[1]1_Triangulo'!L15</f>
        <v>43896309</v>
      </c>
      <c r="M14" s="48">
        <f>'[1]1_Triangulo'!M15</f>
        <v>47459873</v>
      </c>
      <c r="N14" s="48">
        <f>'[1]1_Triangulo'!N15</f>
        <v>49956170</v>
      </c>
      <c r="O14" s="48">
        <f>'[1]1_Triangulo'!O15</f>
        <v>51012409</v>
      </c>
      <c r="P14" s="43">
        <f>'[1]1_Triangulo'!P15</f>
        <v>51927991</v>
      </c>
      <c r="Q14" s="49">
        <f>P14*'[1]2_Factores'!P31</f>
        <v>53055826.788801707</v>
      </c>
      <c r="R14" s="49">
        <f>Q14*'[1]2_Factores'!Q31</f>
        <v>54127941.184846446</v>
      </c>
      <c r="S14" s="49">
        <f>R14*'[1]2_Factores'!R31</f>
        <v>54650561.363771543</v>
      </c>
      <c r="T14" s="49">
        <f>S14*'[1]2_Factores'!S31</f>
        <v>55243492.80385156</v>
      </c>
      <c r="U14" s="49">
        <f>T14*'[1]2_Factores'!T31</f>
        <v>55859120.038524263</v>
      </c>
      <c r="V14" s="49">
        <f>U14*'[1]2_Factores'!U31</f>
        <v>56426074.021452665</v>
      </c>
      <c r="W14" s="49">
        <f>V14*'[1]2_Factores'!V31</f>
        <v>56800060.966318294</v>
      </c>
      <c r="X14" s="49">
        <f>W14*'[1]2_Factores'!W31</f>
        <v>57079696.967901781</v>
      </c>
      <c r="Y14" s="49">
        <f>X14*'[1]2_Factores'!X31</f>
        <v>57448923.983582824</v>
      </c>
      <c r="Z14" s="49">
        <f>Y14*'[1]2_Factores'!Y31</f>
        <v>57639374.213510484</v>
      </c>
      <c r="AA14" s="49">
        <f>Z14*'[1]2_Factores'!Z31</f>
        <v>57842439.824455164</v>
      </c>
      <c r="AB14" s="44">
        <f>AA14</f>
        <v>57842439.824455164</v>
      </c>
      <c r="AC14" s="45">
        <f>'[1]1_Triangulo'!P15</f>
        <v>51927991</v>
      </c>
      <c r="AD14" s="44">
        <f t="shared" si="0"/>
        <v>5914448.8244551644</v>
      </c>
    </row>
    <row r="15" spans="1:30" ht="15" customHeight="1" x14ac:dyDescent="0.25">
      <c r="A15" s="40" t="s">
        <v>107</v>
      </c>
      <c r="B15" s="41" t="s">
        <v>108</v>
      </c>
      <c r="C15" s="42">
        <f>'[1]1_Triangulo'!C16</f>
        <v>10087956</v>
      </c>
      <c r="D15" s="42">
        <f>'[1]1_Triangulo'!D16</f>
        <v>15373929</v>
      </c>
      <c r="E15" s="42">
        <f>'[1]1_Triangulo'!E16</f>
        <v>17870492</v>
      </c>
      <c r="F15" s="42">
        <f>'[1]1_Triangulo'!F16</f>
        <v>23254623</v>
      </c>
      <c r="G15" s="42">
        <f>'[1]1_Triangulo'!G16</f>
        <v>27462859</v>
      </c>
      <c r="H15" s="42">
        <f>'[1]1_Triangulo'!H16</f>
        <v>33114279</v>
      </c>
      <c r="I15" s="42">
        <f>'[1]1_Triangulo'!I16</f>
        <v>36827916</v>
      </c>
      <c r="J15" s="42">
        <f>'[1]1_Triangulo'!J16</f>
        <v>41964520</v>
      </c>
      <c r="K15" s="42">
        <f>'[1]1_Triangulo'!K16</f>
        <v>44426818</v>
      </c>
      <c r="L15" s="42">
        <f>'[1]1_Triangulo'!L16</f>
        <v>44996619.5</v>
      </c>
      <c r="M15" s="42">
        <f>'[1]1_Triangulo'!M16</f>
        <v>47898086</v>
      </c>
      <c r="N15" s="42">
        <f>'[1]1_Triangulo'!N16</f>
        <v>50415504</v>
      </c>
      <c r="O15" s="43">
        <f>'[1]1_Triangulo'!O16</f>
        <v>51522184</v>
      </c>
      <c r="P15" s="49">
        <f>O15*'[1]2_Factores'!O31</f>
        <v>52675255.33755362</v>
      </c>
      <c r="Q15" s="49">
        <f>P15*'[1]2_Factores'!P31</f>
        <v>53819321.129622512</v>
      </c>
      <c r="R15" s="49">
        <f>Q15*'[1]2_Factores'!Q31</f>
        <v>54906863.676044606</v>
      </c>
      <c r="S15" s="49">
        <f>R15*'[1]2_Factores'!R31</f>
        <v>55437004.566136762</v>
      </c>
      <c r="T15" s="49">
        <f>S15*'[1]2_Factores'!S31</f>
        <v>56038468.524252884</v>
      </c>
      <c r="U15" s="49">
        <f>T15*'[1]2_Factores'!T31</f>
        <v>56662954.878426239</v>
      </c>
      <c r="V15" s="49">
        <f>U15*'[1]2_Factores'!U31</f>
        <v>57238067.553503476</v>
      </c>
      <c r="W15" s="49">
        <f>V15*'[1]2_Factores'!V31</f>
        <v>57617436.318486288</v>
      </c>
      <c r="X15" s="49">
        <f>W15*'[1]2_Factores'!W31</f>
        <v>57901096.392779991</v>
      </c>
      <c r="Y15" s="49">
        <f>X15*'[1]2_Factores'!X31</f>
        <v>58275636.731313825</v>
      </c>
      <c r="Z15" s="49">
        <f>Y15*'[1]2_Factores'!Y31</f>
        <v>58468827.615408212</v>
      </c>
      <c r="AA15" s="49">
        <f>Z15*'[1]2_Factores'!Z31</f>
        <v>58674815.420844153</v>
      </c>
      <c r="AB15" s="44">
        <f>AA15</f>
        <v>58674815.420844153</v>
      </c>
      <c r="AC15" s="45">
        <f>'[1]1_Triangulo'!O16</f>
        <v>51522184</v>
      </c>
      <c r="AD15" s="44">
        <f t="shared" si="0"/>
        <v>7152631.4208441526</v>
      </c>
    </row>
    <row r="16" spans="1:30" ht="15" customHeight="1" x14ac:dyDescent="0.25">
      <c r="A16" s="46" t="s">
        <v>109</v>
      </c>
      <c r="B16" s="47" t="s">
        <v>110</v>
      </c>
      <c r="C16" s="48">
        <f>'[1]1_Triangulo'!C17</f>
        <v>9141610</v>
      </c>
      <c r="D16" s="48">
        <f>'[1]1_Triangulo'!D17</f>
        <v>16200065</v>
      </c>
      <c r="E16" s="48">
        <f>'[1]1_Triangulo'!E17</f>
        <v>19463623</v>
      </c>
      <c r="F16" s="48">
        <f>'[1]1_Triangulo'!F17</f>
        <v>22713844</v>
      </c>
      <c r="G16" s="48">
        <f>'[1]1_Triangulo'!G17</f>
        <v>28815023</v>
      </c>
      <c r="H16" s="48">
        <f>'[1]1_Triangulo'!H17</f>
        <v>34375385</v>
      </c>
      <c r="I16" s="48">
        <f>'[1]1_Triangulo'!I17</f>
        <v>38448539</v>
      </c>
      <c r="J16" s="48">
        <f>'[1]1_Triangulo'!J17</f>
        <v>41701968</v>
      </c>
      <c r="K16" s="48">
        <f>'[1]1_Triangulo'!K17</f>
        <v>44492052</v>
      </c>
      <c r="L16" s="48">
        <f>'[1]1_Triangulo'!L17</f>
        <v>45252217.25</v>
      </c>
      <c r="M16" s="48">
        <f>'[1]1_Triangulo'!M17</f>
        <v>48757427</v>
      </c>
      <c r="N16" s="43">
        <f>'[1]1_Triangulo'!N17</f>
        <v>51401276</v>
      </c>
      <c r="O16" s="49">
        <f>N16*'[1]2_Factores'!N31</f>
        <v>52585831.879693456</v>
      </c>
      <c r="P16" s="49">
        <f>O16*'[1]2_Factores'!O31</f>
        <v>53762707.757119142</v>
      </c>
      <c r="Q16" s="49">
        <f>P16*'[1]2_Factores'!P31</f>
        <v>54930392.174399339</v>
      </c>
      <c r="R16" s="49">
        <f>Q16*'[1]2_Factores'!Q31</f>
        <v>56040386.453915246</v>
      </c>
      <c r="S16" s="49">
        <f>R16*'[1]2_Factores'!R31</f>
        <v>56581471.818598881</v>
      </c>
      <c r="T16" s="49">
        <f>S16*'[1]2_Factores'!S31</f>
        <v>57195352.677826226</v>
      </c>
      <c r="U16" s="49">
        <f>T16*'[1]2_Factores'!T31</f>
        <v>57832731.218140483</v>
      </c>
      <c r="V16" s="49">
        <f>U16*'[1]2_Factores'!U31</f>
        <v>58419716.786211357</v>
      </c>
      <c r="W16" s="49">
        <f>V16*'[1]2_Factores'!V31</f>
        <v>58806917.416056417</v>
      </c>
      <c r="X16" s="49">
        <f>W16*'[1]2_Factores'!W31</f>
        <v>59096433.500580125</v>
      </c>
      <c r="Y16" s="49">
        <f>X16*'[1]2_Factores'!X31</f>
        <v>59478706.023699559</v>
      </c>
      <c r="Z16" s="49">
        <f>Y16*'[1]2_Factores'!Y31</f>
        <v>59675885.230071649</v>
      </c>
      <c r="AA16" s="49">
        <f>Z16*'[1]2_Factores'!Z31</f>
        <v>59886125.54336895</v>
      </c>
      <c r="AB16" s="44">
        <f>AA16</f>
        <v>59886125.54336895</v>
      </c>
      <c r="AC16" s="45">
        <f>'[1]1_Triangulo'!N17</f>
        <v>51401276</v>
      </c>
      <c r="AD16" s="44">
        <f t="shared" si="0"/>
        <v>8484849.5433689505</v>
      </c>
    </row>
    <row r="17" spans="1:30" ht="15" customHeight="1" x14ac:dyDescent="0.25">
      <c r="A17" s="40" t="s">
        <v>111</v>
      </c>
      <c r="B17" s="41" t="s">
        <v>112</v>
      </c>
      <c r="C17" s="42">
        <f>'[1]1_Triangulo'!C18</f>
        <v>9809392</v>
      </c>
      <c r="D17" s="42">
        <f>'[1]1_Triangulo'!D18</f>
        <v>14964880</v>
      </c>
      <c r="E17" s="42">
        <f>'[1]1_Triangulo'!E18</f>
        <v>29456240</v>
      </c>
      <c r="F17" s="42">
        <f>'[1]1_Triangulo'!F18</f>
        <v>21886059</v>
      </c>
      <c r="G17" s="42">
        <f>'[1]1_Triangulo'!G18</f>
        <v>27984336</v>
      </c>
      <c r="H17" s="42">
        <f>'[1]1_Triangulo'!H18</f>
        <v>33309956</v>
      </c>
      <c r="I17" s="42">
        <f>'[1]1_Triangulo'!I18</f>
        <v>37548097</v>
      </c>
      <c r="J17" s="42">
        <f>'[1]1_Triangulo'!J18</f>
        <v>44170211</v>
      </c>
      <c r="K17" s="42">
        <f>'[1]1_Triangulo'!K18</f>
        <v>44580640</v>
      </c>
      <c r="L17" s="42">
        <f>'[1]1_Triangulo'!L18</f>
        <v>45267489.5</v>
      </c>
      <c r="M17" s="43">
        <f>'[1]1_Triangulo'!M18</f>
        <v>49785597</v>
      </c>
      <c r="N17" s="49">
        <f>M17*'[1]2_Factores'!M31</f>
        <v>51907410.949214831</v>
      </c>
      <c r="O17" s="49">
        <f>N17*'[1]2_Factores'!N31</f>
        <v>53103630.841490597</v>
      </c>
      <c r="P17" s="49">
        <f>O17*'[1]2_Factores'!O31</f>
        <v>54292095.108520716</v>
      </c>
      <c r="Q17" s="49">
        <f>P17*'[1]2_Factores'!P31</f>
        <v>55471277.409496233</v>
      </c>
      <c r="R17" s="49">
        <f>Q17*'[1]2_Factores'!Q31</f>
        <v>56592201.512977824</v>
      </c>
      <c r="S17" s="49">
        <f>R17*'[1]2_Factores'!R31</f>
        <v>57138614.804026067</v>
      </c>
      <c r="T17" s="49">
        <f>S17*'[1]2_Factores'!S31</f>
        <v>57758540.387853421</v>
      </c>
      <c r="U17" s="49">
        <f>T17*'[1]2_Factores'!T31</f>
        <v>58402195.028300539</v>
      </c>
      <c r="V17" s="49">
        <f>U17*'[1]2_Factores'!U31</f>
        <v>58994960.490058988</v>
      </c>
      <c r="W17" s="49">
        <f>V17*'[1]2_Factores'!V31</f>
        <v>59385973.783448093</v>
      </c>
      <c r="X17" s="49">
        <f>W17*'[1]2_Factores'!W31</f>
        <v>59678340.657293394</v>
      </c>
      <c r="Y17" s="49">
        <f>X17*'[1]2_Factores'!X31</f>
        <v>60064377.318176165</v>
      </c>
      <c r="Z17" s="49">
        <f>Y17*'[1]2_Factores'!Y31</f>
        <v>60263498.096730299</v>
      </c>
      <c r="AA17" s="49">
        <f>Z17*'[1]2_Factores'!Z31</f>
        <v>60475808.591520637</v>
      </c>
      <c r="AB17" s="44">
        <f>AA17</f>
        <v>60475808.591520637</v>
      </c>
      <c r="AC17" s="45">
        <f>'[1]1_Triangulo'!M18</f>
        <v>49785597</v>
      </c>
      <c r="AD17" s="44">
        <f t="shared" si="0"/>
        <v>10690211.591520637</v>
      </c>
    </row>
    <row r="18" spans="1:30" ht="15" customHeight="1" x14ac:dyDescent="0.25">
      <c r="A18" s="46" t="s">
        <v>113</v>
      </c>
      <c r="B18" s="47" t="s">
        <v>114</v>
      </c>
      <c r="C18" s="48">
        <f>'[1]1_Triangulo'!C19</f>
        <v>10210239</v>
      </c>
      <c r="D18" s="48">
        <f>'[1]1_Triangulo'!D19</f>
        <v>14903106</v>
      </c>
      <c r="E18" s="48">
        <f>'[1]1_Triangulo'!E19</f>
        <v>20445946</v>
      </c>
      <c r="F18" s="48">
        <f>'[1]1_Triangulo'!F19</f>
        <v>24098871</v>
      </c>
      <c r="G18" s="48">
        <f>'[1]1_Triangulo'!G19</f>
        <v>28388139</v>
      </c>
      <c r="H18" s="48">
        <f>'[1]1_Triangulo'!H19</f>
        <v>34217767</v>
      </c>
      <c r="I18" s="48">
        <f>'[1]1_Triangulo'!I19</f>
        <v>38960082</v>
      </c>
      <c r="J18" s="48">
        <f>'[1]1_Triangulo'!J19</f>
        <v>43388072</v>
      </c>
      <c r="K18" s="48">
        <f>'[1]1_Triangulo'!K19</f>
        <v>46005265</v>
      </c>
      <c r="L18" s="43">
        <f>'[1]1_Triangulo'!L19</f>
        <v>46502204.25</v>
      </c>
      <c r="M18" s="49">
        <f>L18*'[1]2_Factores'!L31</f>
        <v>49269346.730484635</v>
      </c>
      <c r="N18" s="49">
        <f>M18*'[1]2_Factores'!M31</f>
        <v>51369158.592968568</v>
      </c>
      <c r="O18" s="49">
        <f>N18*'[1]2_Factores'!N31</f>
        <v>52552974.318597764</v>
      </c>
      <c r="P18" s="49">
        <f>O18*'[1]2_Factores'!O31</f>
        <v>53729114.840706967</v>
      </c>
      <c r="Q18" s="49">
        <f>P18*'[1]2_Factores'!P31</f>
        <v>54896069.645832904</v>
      </c>
      <c r="R18" s="49">
        <f>Q18*'[1]2_Factores'!Q31</f>
        <v>56005370.360113628</v>
      </c>
      <c r="S18" s="49">
        <f>R18*'[1]2_Factores'!R31</f>
        <v>56546117.634768203</v>
      </c>
      <c r="T18" s="49">
        <f>S18*'[1]2_Factores'!S31</f>
        <v>57159614.918665148</v>
      </c>
      <c r="U18" s="49">
        <f>T18*'[1]2_Factores'!T31</f>
        <v>57796595.201433964</v>
      </c>
      <c r="V18" s="49">
        <f>U18*'[1]2_Factores'!U31</f>
        <v>58383213.999341175</v>
      </c>
      <c r="W18" s="49">
        <f>V18*'[1]2_Factores'!V31</f>
        <v>58770172.691997141</v>
      </c>
      <c r="X18" s="49">
        <f>W18*'[1]2_Factores'!W31</f>
        <v>59059507.876227073</v>
      </c>
      <c r="Y18" s="49">
        <f>X18*'[1]2_Factores'!X31</f>
        <v>59441541.54141967</v>
      </c>
      <c r="Z18" s="49">
        <f>Y18*'[1]2_Factores'!Y31</f>
        <v>59638597.542974256</v>
      </c>
      <c r="AA18" s="49">
        <f>Z18*'[1]2_Factores'!Z31</f>
        <v>59848706.49039425</v>
      </c>
      <c r="AB18" s="44">
        <f>AA18</f>
        <v>59848706.49039425</v>
      </c>
      <c r="AC18" s="45">
        <f>'[1]1_Triangulo'!L19</f>
        <v>46502204.25</v>
      </c>
      <c r="AD18" s="44">
        <f t="shared" si="0"/>
        <v>13346502.24039425</v>
      </c>
    </row>
    <row r="19" spans="1:30" ht="15" customHeight="1" x14ac:dyDescent="0.25">
      <c r="A19" s="40" t="s">
        <v>115</v>
      </c>
      <c r="B19" s="41" t="s">
        <v>116</v>
      </c>
      <c r="C19" s="42">
        <f>'[1]1_Triangulo'!C20</f>
        <v>9812587</v>
      </c>
      <c r="D19" s="42">
        <f>'[1]1_Triangulo'!D20</f>
        <v>15038280</v>
      </c>
      <c r="E19" s="42">
        <f>'[1]1_Triangulo'!E20</f>
        <v>20982739</v>
      </c>
      <c r="F19" s="42">
        <f>'[1]1_Triangulo'!F20</f>
        <v>23658407</v>
      </c>
      <c r="G19" s="42">
        <f>'[1]1_Triangulo'!G20</f>
        <v>30806585</v>
      </c>
      <c r="H19" s="42">
        <f>'[1]1_Triangulo'!H20</f>
        <v>33132506</v>
      </c>
      <c r="I19" s="42">
        <f>'[1]1_Triangulo'!I20</f>
        <v>39260427</v>
      </c>
      <c r="J19" s="42">
        <f>'[1]1_Triangulo'!J20</f>
        <v>44710406</v>
      </c>
      <c r="K19" s="43">
        <f>'[1]1_Triangulo'!K20</f>
        <v>46743977</v>
      </c>
      <c r="L19" s="49">
        <f>K19*'[1]2_Factores'!K31</f>
        <v>47378459.724305913</v>
      </c>
      <c r="M19" s="49">
        <f>L19*'[1]2_Factores'!L31</f>
        <v>50197744.329789042</v>
      </c>
      <c r="N19" s="49">
        <f>M19*'[1]2_Factores'!M31</f>
        <v>52337123.59922044</v>
      </c>
      <c r="O19" s="49">
        <f>N19*'[1]2_Factores'!N31</f>
        <v>53543246.332159981</v>
      </c>
      <c r="P19" s="49">
        <f>O19*'[1]2_Factores'!O31</f>
        <v>54741549.235336341</v>
      </c>
      <c r="Q19" s="49">
        <f>P19*'[1]2_Factores'!P31</f>
        <v>55930493.332212016</v>
      </c>
      <c r="R19" s="49">
        <f>Q19*'[1]2_Factores'!Q31</f>
        <v>57060696.944306232</v>
      </c>
      <c r="S19" s="49">
        <f>R19*'[1]2_Factores'!R31</f>
        <v>57611633.687767163</v>
      </c>
      <c r="T19" s="49">
        <f>S19*'[1]2_Factores'!S31</f>
        <v>58236691.291484572</v>
      </c>
      <c r="U19" s="49">
        <f>T19*'[1]2_Factores'!T31</f>
        <v>58885674.391513415</v>
      </c>
      <c r="V19" s="49">
        <f>U19*'[1]2_Factores'!U31</f>
        <v>59483347.029583417</v>
      </c>
      <c r="W19" s="49">
        <f>V19*'[1]2_Factores'!V31</f>
        <v>59877597.305041499</v>
      </c>
      <c r="X19" s="49">
        <f>W19*'[1]2_Factores'!W31</f>
        <v>60172384.521990739</v>
      </c>
      <c r="Y19" s="49">
        <f>X19*'[1]2_Factores'!X31</f>
        <v>60561616.966163673</v>
      </c>
      <c r="Z19" s="49">
        <f>Y19*'[1]2_Factores'!Y31</f>
        <v>60762386.155144356</v>
      </c>
      <c r="AA19" s="49">
        <f>Z19*'[1]2_Factores'!Z31</f>
        <v>60976454.250702523</v>
      </c>
      <c r="AB19" s="44">
        <f>AA19</f>
        <v>60976454.250702523</v>
      </c>
      <c r="AC19" s="45">
        <f>'[1]1_Triangulo'!K20</f>
        <v>46743977</v>
      </c>
      <c r="AD19" s="44">
        <f t="shared" si="0"/>
        <v>14232477.250702523</v>
      </c>
    </row>
    <row r="20" spans="1:30" ht="15" customHeight="1" x14ac:dyDescent="0.25">
      <c r="A20" s="46" t="s">
        <v>117</v>
      </c>
      <c r="B20" s="47" t="s">
        <v>118</v>
      </c>
      <c r="C20" s="48">
        <f>'[1]1_Triangulo'!C21</f>
        <v>9656222</v>
      </c>
      <c r="D20" s="48">
        <f>'[1]1_Triangulo'!D21</f>
        <v>15173530</v>
      </c>
      <c r="E20" s="48">
        <f>'[1]1_Triangulo'!E21</f>
        <v>19994922</v>
      </c>
      <c r="F20" s="48">
        <f>'[1]1_Triangulo'!F21</f>
        <v>24377061</v>
      </c>
      <c r="G20" s="48">
        <f>'[1]1_Triangulo'!G21</f>
        <v>30354330</v>
      </c>
      <c r="H20" s="48">
        <f>'[1]1_Triangulo'!H21</f>
        <v>35076444</v>
      </c>
      <c r="I20" s="48">
        <f>'[1]1_Triangulo'!I21</f>
        <v>39440849</v>
      </c>
      <c r="J20" s="43">
        <f>'[1]1_Triangulo'!J21</f>
        <v>45510753</v>
      </c>
      <c r="K20" s="49">
        <f>J20*'[1]2_Factores'!J31</f>
        <v>47720185.831291966</v>
      </c>
      <c r="L20" s="49">
        <f>K20*'[1]2_Factores'!K31</f>
        <v>48367919.196183503</v>
      </c>
      <c r="M20" s="49">
        <f>L20*'[1]2_Factores'!L31</f>
        <v>51246082.200691134</v>
      </c>
      <c r="N20" s="49">
        <f>M20*'[1]2_Factores'!M31</f>
        <v>53430140.615337364</v>
      </c>
      <c r="O20" s="49">
        <f>N20*'[1]2_Factores'!N31</f>
        <v>54661452.211935587</v>
      </c>
      <c r="P20" s="49">
        <f>O20*'[1]2_Factores'!O31</f>
        <v>55884780.66817183</v>
      </c>
      <c r="Q20" s="49">
        <f>P20*'[1]2_Factores'!P31</f>
        <v>57098554.867271848</v>
      </c>
      <c r="R20" s="49">
        <f>Q20*'[1]2_Factores'!Q31</f>
        <v>58252361.835736111</v>
      </c>
      <c r="S20" s="49">
        <f>R20*'[1]2_Factores'!R31</f>
        <v>58814804.431907214</v>
      </c>
      <c r="T20" s="49">
        <f>S20*'[1]2_Factores'!S31</f>
        <v>59452915.840456314</v>
      </c>
      <c r="U20" s="49">
        <f>T20*'[1]2_Factores'!T31</f>
        <v>60115452.409279808</v>
      </c>
      <c r="V20" s="49">
        <f>U20*'[1]2_Factores'!U31</f>
        <v>60725606.940097302</v>
      </c>
      <c r="W20" s="49">
        <f>V20*'[1]2_Factores'!V31</f>
        <v>61128090.802540109</v>
      </c>
      <c r="X20" s="49">
        <f>W20*'[1]2_Factores'!W31</f>
        <v>61429034.403755449</v>
      </c>
      <c r="Y20" s="49">
        <f>X20*'[1]2_Factores'!X31</f>
        <v>61826395.641707033</v>
      </c>
      <c r="Z20" s="49">
        <f>Y20*'[1]2_Factores'!Y31</f>
        <v>62031357.727140114</v>
      </c>
      <c r="AA20" s="49">
        <f>Z20*'[1]2_Factores'!Z31</f>
        <v>62249896.45568233</v>
      </c>
      <c r="AB20" s="44">
        <f>AA20</f>
        <v>62249896.45568233</v>
      </c>
      <c r="AC20" s="45">
        <f>'[1]1_Triangulo'!J21</f>
        <v>45510753</v>
      </c>
      <c r="AD20" s="44">
        <f t="shared" si="0"/>
        <v>16739143.45568233</v>
      </c>
    </row>
    <row r="21" spans="1:30" ht="15" customHeight="1" x14ac:dyDescent="0.25">
      <c r="A21" s="40" t="s">
        <v>119</v>
      </c>
      <c r="B21" s="41" t="s">
        <v>120</v>
      </c>
      <c r="C21" s="42">
        <f>'[1]1_Triangulo'!C22</f>
        <v>10157249</v>
      </c>
      <c r="D21" s="42">
        <f>'[1]1_Triangulo'!D22</f>
        <v>15227277</v>
      </c>
      <c r="E21" s="42">
        <f>'[1]1_Triangulo'!E22</f>
        <v>20949821</v>
      </c>
      <c r="F21" s="42">
        <f>'[1]1_Triangulo'!F22</f>
        <v>24555011</v>
      </c>
      <c r="G21" s="42">
        <f>'[1]1_Triangulo'!G22</f>
        <v>29825871</v>
      </c>
      <c r="H21" s="42">
        <f>'[1]1_Triangulo'!H22</f>
        <v>35812219</v>
      </c>
      <c r="I21" s="43">
        <f>'[1]1_Triangulo'!I22</f>
        <v>40828576</v>
      </c>
      <c r="J21" s="49">
        <f>I21*'[1]2_Factores'!I31</f>
        <v>45965417.704887874</v>
      </c>
      <c r="K21" s="49">
        <f>J21*'[1]2_Factores'!J31</f>
        <v>48196923.366445005</v>
      </c>
      <c r="L21" s="49">
        <f>K21*'[1]2_Factores'!K31</f>
        <v>48851127.762461744</v>
      </c>
      <c r="M21" s="49">
        <f>L21*'[1]2_Factores'!L31</f>
        <v>51758044.392141514</v>
      </c>
      <c r="N21" s="49">
        <f>M21*'[1]2_Factores'!M31</f>
        <v>53963922.139782593</v>
      </c>
      <c r="O21" s="49">
        <f>N21*'[1]2_Factores'!N31</f>
        <v>55207534.871536553</v>
      </c>
      <c r="P21" s="49">
        <f>O21*'[1]2_Factores'!O31</f>
        <v>56443084.709201828</v>
      </c>
      <c r="Q21" s="49">
        <f>P21*'[1]2_Factores'!P31</f>
        <v>57668984.840123594</v>
      </c>
      <c r="R21" s="49">
        <f>Q21*'[1]2_Factores'!Q31</f>
        <v>58834318.651591629</v>
      </c>
      <c r="S21" s="49">
        <f>R21*'[1]2_Factores'!R31</f>
        <v>59402380.201090194</v>
      </c>
      <c r="T21" s="49">
        <f>S21*'[1]2_Factores'!S31</f>
        <v>60046866.514823869</v>
      </c>
      <c r="U21" s="49">
        <f>T21*'[1]2_Factores'!T31</f>
        <v>60716022.002774924</v>
      </c>
      <c r="V21" s="49">
        <f>U21*'[1]2_Factores'!U31</f>
        <v>61332272.142023467</v>
      </c>
      <c r="W21" s="49">
        <f>V21*'[1]2_Factores'!V31</f>
        <v>61738776.926874213</v>
      </c>
      <c r="X21" s="49">
        <f>W21*'[1]2_Factores'!W31</f>
        <v>62042727.035884194</v>
      </c>
      <c r="Y21" s="49">
        <f>X21*'[1]2_Factores'!X31</f>
        <v>62444058.019842558</v>
      </c>
      <c r="Z21" s="49">
        <f>Y21*'[1]2_Factores'!Y31</f>
        <v>62651067.731824175</v>
      </c>
      <c r="AA21" s="49">
        <f>Z21*'[1]2_Factores'!Z31</f>
        <v>62871789.721243642</v>
      </c>
      <c r="AB21" s="44">
        <f>AA21</f>
        <v>62871789.721243642</v>
      </c>
      <c r="AC21" s="45">
        <f>'[1]1_Triangulo'!I22</f>
        <v>40828576</v>
      </c>
      <c r="AD21" s="44">
        <f t="shared" si="0"/>
        <v>22043213.721243642</v>
      </c>
    </row>
    <row r="22" spans="1:30" ht="15" customHeight="1" x14ac:dyDescent="0.25">
      <c r="A22" s="46" t="s">
        <v>121</v>
      </c>
      <c r="B22" s="47" t="s">
        <v>122</v>
      </c>
      <c r="C22" s="48">
        <f>'[1]1_Triangulo'!C23</f>
        <v>10159861</v>
      </c>
      <c r="D22" s="48">
        <f>'[1]1_Triangulo'!D23</f>
        <v>14850703</v>
      </c>
      <c r="E22" s="48">
        <f>'[1]1_Triangulo'!E23</f>
        <v>21643786</v>
      </c>
      <c r="F22" s="48">
        <f>'[1]1_Triangulo'!F23</f>
        <v>25037048</v>
      </c>
      <c r="G22" s="48">
        <f>'[1]1_Triangulo'!G23</f>
        <v>30971544</v>
      </c>
      <c r="H22" s="43">
        <f>'[1]1_Triangulo'!H23</f>
        <v>35649464</v>
      </c>
      <c r="I22" s="49">
        <f>H22*'[1]2_Factores'!H31</f>
        <v>40609937.766198255</v>
      </c>
      <c r="J22" s="49">
        <f>I22*'[1]2_Factores'!I31</f>
        <v>45719271.531605802</v>
      </c>
      <c r="K22" s="49">
        <f>J22*'[1]2_Factores'!J31</f>
        <v>47938827.414249234</v>
      </c>
      <c r="L22" s="49">
        <f>K22*'[1]2_Factores'!K31</f>
        <v>48589528.526348099</v>
      </c>
      <c r="M22" s="49">
        <f>L22*'[1]2_Factores'!L31</f>
        <v>51480878.531374536</v>
      </c>
      <c r="N22" s="49">
        <f>M22*'[1]2_Factores'!M31</f>
        <v>53674943.738340013</v>
      </c>
      <c r="O22" s="49">
        <f>N22*'[1]2_Factores'!N31</f>
        <v>54911896.887080252</v>
      </c>
      <c r="P22" s="49">
        <f>O22*'[1]2_Factores'!O31</f>
        <v>56140830.318768471</v>
      </c>
      <c r="Q22" s="49">
        <f>P22*'[1]2_Factores'!P31</f>
        <v>57360165.718178615</v>
      </c>
      <c r="R22" s="49">
        <f>Q22*'[1]2_Factores'!Q31</f>
        <v>58519259.132569641</v>
      </c>
      <c r="S22" s="49">
        <f>R22*'[1]2_Factores'!R31</f>
        <v>59084278.695644945</v>
      </c>
      <c r="T22" s="49">
        <f>S22*'[1]2_Factores'!S31</f>
        <v>59725313.766079217</v>
      </c>
      <c r="U22" s="49">
        <f>T22*'[1]2_Factores'!T31</f>
        <v>60390885.906572253</v>
      </c>
      <c r="V22" s="49">
        <f>U22*'[1]2_Factores'!U31</f>
        <v>61003836.008072101</v>
      </c>
      <c r="W22" s="49">
        <f>V22*'[1]2_Factores'!V31</f>
        <v>61408163.947759502</v>
      </c>
      <c r="X22" s="49">
        <f>W22*'[1]2_Factores'!W31</f>
        <v>61710486.394932881</v>
      </c>
      <c r="Y22" s="49">
        <f>X22*'[1]2_Factores'!X31</f>
        <v>62109668.239584923</v>
      </c>
      <c r="Z22" s="49">
        <f>Y22*'[1]2_Factores'!Y31</f>
        <v>62315569.408427358</v>
      </c>
      <c r="AA22" s="49">
        <f>Z22*'[1]2_Factores'!Z31</f>
        <v>62535109.425055809</v>
      </c>
      <c r="AB22" s="44">
        <f>AA22</f>
        <v>62535109.425055809</v>
      </c>
      <c r="AC22" s="45">
        <f>'[1]1_Triangulo'!H23</f>
        <v>35649464</v>
      </c>
      <c r="AD22" s="44">
        <f t="shared" si="0"/>
        <v>26885645.425055809</v>
      </c>
    </row>
    <row r="23" spans="1:30" ht="15" customHeight="1" x14ac:dyDescent="0.25">
      <c r="A23" s="40" t="s">
        <v>123</v>
      </c>
      <c r="B23" s="41" t="s">
        <v>124</v>
      </c>
      <c r="C23" s="42">
        <f>'[1]1_Triangulo'!C24</f>
        <v>10216038</v>
      </c>
      <c r="D23" s="42">
        <f>'[1]1_Triangulo'!D24</f>
        <v>15551970</v>
      </c>
      <c r="E23" s="42">
        <f>'[1]1_Triangulo'!E24</f>
        <v>21643436</v>
      </c>
      <c r="F23" s="42">
        <f>'[1]1_Triangulo'!F24</f>
        <v>26300255</v>
      </c>
      <c r="G23" s="43">
        <f>'[1]1_Triangulo'!G24</f>
        <v>31915838</v>
      </c>
      <c r="H23" s="49">
        <f>G23*'[1]2_Factores'!G31</f>
        <v>37465926.123932183</v>
      </c>
      <c r="I23" s="49">
        <f>H23*'[1]2_Factores'!H31</f>
        <v>42679152.995003439</v>
      </c>
      <c r="J23" s="49">
        <f>I23*'[1]2_Factores'!I31</f>
        <v>48048824.791394867</v>
      </c>
      <c r="K23" s="49">
        <f>J23*'[1]2_Factores'!J31</f>
        <v>50381474.637885064</v>
      </c>
      <c r="L23" s="49">
        <f>K23*'[1]2_Factores'!K31</f>
        <v>51065331.197261572</v>
      </c>
      <c r="M23" s="49">
        <f>L23*'[1]2_Factores'!L31</f>
        <v>54104005.374431565</v>
      </c>
      <c r="N23" s="49">
        <f>M23*'[1]2_Factores'!M31</f>
        <v>56409865.708131351</v>
      </c>
      <c r="O23" s="49">
        <f>N23*'[1]2_Factores'!N31</f>
        <v>57709845.850594841</v>
      </c>
      <c r="P23" s="49">
        <f>O23*'[1]2_Factores'!O31</f>
        <v>59001397.643992387</v>
      </c>
      <c r="Q23" s="49">
        <f>P23*'[1]2_Factores'!P31</f>
        <v>60282862.352538794</v>
      </c>
      <c r="R23" s="49">
        <f>Q23*'[1]2_Factores'!Q31</f>
        <v>61501015.540881559</v>
      </c>
      <c r="S23" s="49">
        <f>R23*'[1]2_Factores'!R31</f>
        <v>62094824.783252098</v>
      </c>
      <c r="T23" s="49">
        <f>S23*'[1]2_Factores'!S31</f>
        <v>62768522.783080094</v>
      </c>
      <c r="U23" s="49">
        <f>T23*'[1]2_Factores'!T31</f>
        <v>63468008.100611359</v>
      </c>
      <c r="V23" s="49">
        <f>U23*'[1]2_Factores'!U31</f>
        <v>64112190.106277704</v>
      </c>
      <c r="W23" s="49">
        <f>V23*'[1]2_Factores'!V31</f>
        <v>64537119.937429443</v>
      </c>
      <c r="X23" s="49">
        <f>W23*'[1]2_Factores'!W31</f>
        <v>64854846.747330546</v>
      </c>
      <c r="Y23" s="49">
        <f>X23*'[1]2_Factores'!X31</f>
        <v>65274368.272303499</v>
      </c>
      <c r="Z23" s="49">
        <f>Y23*'[1]2_Factores'!Y31</f>
        <v>65490760.809949562</v>
      </c>
      <c r="AA23" s="49">
        <f>Z23*'[1]2_Factores'!Z31</f>
        <v>65721487.141325779</v>
      </c>
      <c r="AB23" s="44">
        <f>AA23</f>
        <v>65721487.141325779</v>
      </c>
      <c r="AC23" s="45">
        <f>'[1]1_Triangulo'!G24</f>
        <v>31915838</v>
      </c>
      <c r="AD23" s="44">
        <f t="shared" si="0"/>
        <v>33805649.141325779</v>
      </c>
    </row>
    <row r="24" spans="1:30" ht="15" customHeight="1" x14ac:dyDescent="0.25">
      <c r="A24" s="46" t="s">
        <v>125</v>
      </c>
      <c r="B24" s="47" t="s">
        <v>126</v>
      </c>
      <c r="C24" s="48">
        <f>'[1]1_Triangulo'!C25</f>
        <v>10453025</v>
      </c>
      <c r="D24" s="48">
        <f>'[1]1_Triangulo'!D25</f>
        <v>15565827</v>
      </c>
      <c r="E24" s="48">
        <f>'[1]1_Triangulo'!E25</f>
        <v>21209178</v>
      </c>
      <c r="F24" s="43">
        <f>'[1]1_Triangulo'!F25</f>
        <v>26324052</v>
      </c>
      <c r="G24" s="49">
        <f>F24*'[1]2_Factores'!F31</f>
        <v>31958257.928281192</v>
      </c>
      <c r="H24" s="49">
        <f>G24*'[1]2_Factores'!G31</f>
        <v>37515722.776589885</v>
      </c>
      <c r="I24" s="49">
        <f>H24*'[1]2_Factores'!H31</f>
        <v>42735878.643540382</v>
      </c>
      <c r="J24" s="49">
        <f>I24*'[1]2_Factores'!I31</f>
        <v>48112687.369643524</v>
      </c>
      <c r="K24" s="49">
        <f>J24*'[1]2_Factores'!J31</f>
        <v>50448437.584019825</v>
      </c>
      <c r="L24" s="49">
        <f>K24*'[1]2_Factores'!K31</f>
        <v>51133203.069748305</v>
      </c>
      <c r="M24" s="49">
        <f>L24*'[1]2_Factores'!L31</f>
        <v>54175916.004749618</v>
      </c>
      <c r="N24" s="49">
        <f>M24*'[1]2_Factores'!M31</f>
        <v>56484841.099900506</v>
      </c>
      <c r="O24" s="49">
        <f>N24*'[1]2_Factores'!N31</f>
        <v>57786549.069921285</v>
      </c>
      <c r="P24" s="49">
        <f>O24*'[1]2_Factores'!O31</f>
        <v>59079817.488602094</v>
      </c>
      <c r="Q24" s="49">
        <f>P24*'[1]2_Factores'!P31</f>
        <v>60362985.415501453</v>
      </c>
      <c r="R24" s="49">
        <f>Q24*'[1]2_Factores'!Q31</f>
        <v>61582757.673689254</v>
      </c>
      <c r="S24" s="49">
        <f>R24*'[1]2_Factores'!R31</f>
        <v>62177356.158863761</v>
      </c>
      <c r="T24" s="49">
        <f>S24*'[1]2_Factores'!S31</f>
        <v>62851949.583115079</v>
      </c>
      <c r="U24" s="49">
        <f>T24*'[1]2_Factores'!T31</f>
        <v>63552364.599468708</v>
      </c>
      <c r="V24" s="49">
        <f>U24*'[1]2_Factores'!U31</f>
        <v>64197402.79930675</v>
      </c>
      <c r="W24" s="49">
        <f>V24*'[1]2_Factores'!V31</f>
        <v>64622897.412525684</v>
      </c>
      <c r="X24" s="49">
        <f>W24*'[1]2_Factores'!W31</f>
        <v>64941046.518983409</v>
      </c>
      <c r="Y24" s="49">
        <f>X24*'[1]2_Factores'!X31</f>
        <v>65361125.637744181</v>
      </c>
      <c r="Z24" s="49">
        <f>Y24*'[1]2_Factores'!Y31</f>
        <v>65577805.786698692</v>
      </c>
      <c r="AA24" s="49">
        <f>Z24*'[1]2_Factores'!Z31</f>
        <v>65808838.780692682</v>
      </c>
      <c r="AB24" s="44">
        <f>AA24</f>
        <v>65808838.780692682</v>
      </c>
      <c r="AC24" s="45">
        <f>'[1]1_Triangulo'!F25</f>
        <v>26324052</v>
      </c>
      <c r="AD24" s="44">
        <f t="shared" si="0"/>
        <v>39484786.780692682</v>
      </c>
    </row>
    <row r="25" spans="1:30" ht="15" customHeight="1" x14ac:dyDescent="0.25">
      <c r="A25" s="40" t="s">
        <v>127</v>
      </c>
      <c r="B25" s="41" t="s">
        <v>128</v>
      </c>
      <c r="C25" s="42">
        <f>'[1]1_Triangulo'!C26</f>
        <v>10530025</v>
      </c>
      <c r="D25" s="42">
        <f>'[1]1_Triangulo'!D26</f>
        <v>16254730</v>
      </c>
      <c r="E25" s="43">
        <f>'[1]1_Triangulo'!E26</f>
        <v>22079496</v>
      </c>
      <c r="F25" s="49">
        <f>E25*'[1]2_Factores'!E31</f>
        <v>26747783.589975812</v>
      </c>
      <c r="G25" s="49">
        <f>F25*'[1]2_Factores'!F31</f>
        <v>32472681.902402185</v>
      </c>
      <c r="H25" s="49">
        <f>G25*'[1]2_Factores'!G31</f>
        <v>38119603.85315121</v>
      </c>
      <c r="I25" s="49">
        <f>H25*'[1]2_Factores'!H31</f>
        <v>43423787.245401554</v>
      </c>
      <c r="J25" s="49">
        <f>I25*'[1]2_Factores'!I31</f>
        <v>48887145.098155394</v>
      </c>
      <c r="K25" s="49">
        <f>J25*'[1]2_Factores'!J31</f>
        <v>51260493.291449375</v>
      </c>
      <c r="L25" s="49">
        <f>K25*'[1]2_Factores'!K31</f>
        <v>51956281.273563601</v>
      </c>
      <c r="M25" s="49">
        <f>L25*'[1]2_Factores'!L31</f>
        <v>55047971.987129852</v>
      </c>
      <c r="N25" s="49">
        <f>M25*'[1]2_Factores'!M31</f>
        <v>57394063.264056377</v>
      </c>
      <c r="O25" s="49">
        <f>N25*'[1]2_Factores'!N31</f>
        <v>58716724.497192614</v>
      </c>
      <c r="P25" s="49">
        <f>O25*'[1]2_Factores'!O31</f>
        <v>60030810.32967101</v>
      </c>
      <c r="Q25" s="49">
        <f>P25*'[1]2_Factores'!P31</f>
        <v>61334633.085312963</v>
      </c>
      <c r="R25" s="49">
        <f>Q25*'[1]2_Factores'!Q31</f>
        <v>62574039.708239533</v>
      </c>
      <c r="S25" s="49">
        <f>R25*'[1]2_Factores'!R31</f>
        <v>63178209.294455789</v>
      </c>
      <c r="T25" s="49">
        <f>S25*'[1]2_Factores'!S31</f>
        <v>63863661.477998614</v>
      </c>
      <c r="U25" s="49">
        <f>T25*'[1]2_Factores'!T31</f>
        <v>64575350.897264168</v>
      </c>
      <c r="V25" s="49">
        <f>U25*'[1]2_Factores'!U31</f>
        <v>65230772.113440745</v>
      </c>
      <c r="W25" s="49">
        <f>V25*'[1]2_Factores'!V31</f>
        <v>65663115.805554733</v>
      </c>
      <c r="X25" s="49">
        <f>W25*'[1]2_Factores'!W31</f>
        <v>65986386.077505089</v>
      </c>
      <c r="Y25" s="49">
        <f>X25*'[1]2_Factores'!X31</f>
        <v>66413227.103319839</v>
      </c>
      <c r="Z25" s="49">
        <f>Y25*'[1]2_Factores'!Y31</f>
        <v>66633395.09768784</v>
      </c>
      <c r="AA25" s="49">
        <f>Z25*'[1]2_Factores'!Z31</f>
        <v>66868146.971202433</v>
      </c>
      <c r="AB25" s="44">
        <f>AA25</f>
        <v>66868146.971202433</v>
      </c>
      <c r="AC25" s="45">
        <f>'[1]1_Triangulo'!E26</f>
        <v>22079496</v>
      </c>
      <c r="AD25" s="44">
        <f t="shared" si="0"/>
        <v>44788650.971202433</v>
      </c>
    </row>
    <row r="26" spans="1:30" ht="15" customHeight="1" x14ac:dyDescent="0.25">
      <c r="A26" s="46" t="s">
        <v>129</v>
      </c>
      <c r="B26" s="47" t="s">
        <v>130</v>
      </c>
      <c r="C26" s="48">
        <f>'[1]1_Triangulo'!C27</f>
        <v>10382200</v>
      </c>
      <c r="D26" s="43">
        <f>'[1]1_Triangulo'!D27</f>
        <v>17132382</v>
      </c>
      <c r="E26" s="49">
        <f>D26*'[1]2_Factores'!D31</f>
        <v>22411594.916065115</v>
      </c>
      <c r="F26" s="49">
        <f>E26*'[1]2_Factores'!E31</f>
        <v>27150098.476935878</v>
      </c>
      <c r="G26" s="49">
        <f>F26*'[1]2_Factores'!F31</f>
        <v>32961105.300359957</v>
      </c>
      <c r="H26" s="49">
        <f>G26*'[1]2_Factores'!G31</f>
        <v>38692962.915353671</v>
      </c>
      <c r="I26" s="49">
        <f>H26*'[1]2_Factores'!H31</f>
        <v>44076926.822303124</v>
      </c>
      <c r="J26" s="49">
        <f>I26*'[1]2_Factores'!I31</f>
        <v>49622459.341588087</v>
      </c>
      <c r="K26" s="49">
        <f>J26*'[1]2_Factores'!J31</f>
        <v>52031505.195844896</v>
      </c>
      <c r="L26" s="49">
        <f>K26*'[1]2_Factores'!K31</f>
        <v>52737758.563340716</v>
      </c>
      <c r="M26" s="49">
        <f>L26*'[1]2_Factores'!L31</f>
        <v>55875951.567302726</v>
      </c>
      <c r="N26" s="49">
        <f>M26*'[1]2_Factores'!M31</f>
        <v>58257330.532410949</v>
      </c>
      <c r="O26" s="49">
        <f>N26*'[1]2_Factores'!N31</f>
        <v>59599885.986042343</v>
      </c>
      <c r="P26" s="49">
        <f>O26*'[1]2_Factores'!O31</f>
        <v>60933737.055942036</v>
      </c>
      <c r="Q26" s="49">
        <f>P26*'[1]2_Factores'!P31</f>
        <v>62257170.681501023</v>
      </c>
      <c r="R26" s="49">
        <f>Q26*'[1]2_Factores'!Q31</f>
        <v>63515219.287742697</v>
      </c>
      <c r="S26" s="49">
        <f>R26*'[1]2_Factores'!R31</f>
        <v>64128476.221999049</v>
      </c>
      <c r="T26" s="49">
        <f>S26*'[1]2_Factores'!S31</f>
        <v>64824238.329607584</v>
      </c>
      <c r="U26" s="49">
        <f>T26*'[1]2_Factores'!T31</f>
        <v>65546632.3086472</v>
      </c>
      <c r="V26" s="49">
        <f>U26*'[1]2_Factores'!U31</f>
        <v>66211911.75145442</v>
      </c>
      <c r="W26" s="49">
        <f>V26*'[1]2_Factores'!V31</f>
        <v>66650758.348866545</v>
      </c>
      <c r="X26" s="49">
        <f>W26*'[1]2_Factores'!W31</f>
        <v>66978890.946791679</v>
      </c>
      <c r="Y26" s="49">
        <f>X26*'[1]2_Factores'!X31</f>
        <v>67412152.11199753</v>
      </c>
      <c r="Z26" s="49">
        <f>Y26*'[1]2_Factores'!Y31</f>
        <v>67635631.665301561</v>
      </c>
      <c r="AA26" s="49">
        <f>Z26*'[1]2_Factores'!Z31</f>
        <v>67873914.454682097</v>
      </c>
      <c r="AB26" s="44">
        <f>AA26</f>
        <v>67873914.454682097</v>
      </c>
      <c r="AC26" s="45">
        <f>'[1]1_Triangulo'!D27</f>
        <v>17132382</v>
      </c>
      <c r="AD26" s="44">
        <f t="shared" si="0"/>
        <v>50741532.454682097</v>
      </c>
    </row>
    <row r="27" spans="1:30" ht="15" customHeight="1" x14ac:dyDescent="0.25">
      <c r="A27" s="40" t="s">
        <v>131</v>
      </c>
      <c r="B27" s="41" t="s">
        <v>132</v>
      </c>
      <c r="C27" s="43">
        <f>'[1]1_Triangulo'!C28</f>
        <v>10443357</v>
      </c>
      <c r="D27" s="49">
        <f>C27*'[1]2_Factores'!C31</f>
        <v>16407713.803051155</v>
      </c>
      <c r="E27" s="49">
        <f>D27*'[1]2_Factores'!D31</f>
        <v>21463625.738248933</v>
      </c>
      <c r="F27" s="49">
        <f>E27*'[1]2_Factores'!E31</f>
        <v>26001699.327870406</v>
      </c>
      <c r="G27" s="49">
        <f>F27*'[1]2_Factores'!F31</f>
        <v>31566911.267828301</v>
      </c>
      <c r="H27" s="49">
        <f>G27*'[1]2_Factores'!G31</f>
        <v>37056321.865062021</v>
      </c>
      <c r="I27" s="49">
        <f>H27*'[1]2_Factores'!H31</f>
        <v>42212554.017204307</v>
      </c>
      <c r="J27" s="49">
        <f>I27*'[1]2_Factores'!I31</f>
        <v>47523520.727025568</v>
      </c>
      <c r="K27" s="49">
        <f>J27*'[1]2_Factores'!J31</f>
        <v>49830668.379644603</v>
      </c>
      <c r="L27" s="49">
        <f>K27*'[1]2_Factores'!K31</f>
        <v>50507048.530770846</v>
      </c>
      <c r="M27" s="49">
        <f>L27*'[1]2_Factores'!L31</f>
        <v>53512501.75191348</v>
      </c>
      <c r="N27" s="49">
        <f>M27*'[1]2_Factores'!M31</f>
        <v>55793152.773826368</v>
      </c>
      <c r="O27" s="49">
        <f>N27*'[1]2_Factores'!N31</f>
        <v>57078920.605054356</v>
      </c>
      <c r="P27" s="49">
        <f>O27*'[1]2_Factores'!O31</f>
        <v>58356352.231947087</v>
      </c>
      <c r="Q27" s="49">
        <f>P27*'[1]2_Factores'!P31</f>
        <v>59623807.053203478</v>
      </c>
      <c r="R27" s="49">
        <f>Q27*'[1]2_Factores'!Q31</f>
        <v>60828642.521005958</v>
      </c>
      <c r="S27" s="49">
        <f>R27*'[1]2_Factores'!R31</f>
        <v>61415959.816698685</v>
      </c>
      <c r="T27" s="49">
        <f>S27*'[1]2_Factores'!S31</f>
        <v>62082292.468903638</v>
      </c>
      <c r="U27" s="49">
        <f>T27*'[1]2_Factores'!T31</f>
        <v>62774130.513439961</v>
      </c>
      <c r="V27" s="49">
        <f>U27*'[1]2_Factores'!U31</f>
        <v>63411269.861408867</v>
      </c>
      <c r="W27" s="49">
        <f>V27*'[1]2_Factores'!V31</f>
        <v>63831554.056203321</v>
      </c>
      <c r="X27" s="49">
        <f>W27*'[1]2_Factores'!W31</f>
        <v>64145807.24972932</v>
      </c>
      <c r="Y27" s="49">
        <f>X27*'[1]2_Factores'!X31</f>
        <v>64560742.265810214</v>
      </c>
      <c r="Z27" s="49">
        <f>Y27*'[1]2_Factores'!Y31</f>
        <v>64774769.04570844</v>
      </c>
      <c r="AA27" s="49">
        <f>Z27*'[1]2_Factores'!Z31</f>
        <v>65002972.912067972</v>
      </c>
      <c r="AB27" s="44">
        <f>AA27</f>
        <v>65002972.912067972</v>
      </c>
      <c r="AC27" s="45">
        <f>'[1]1_Triangulo'!C28</f>
        <v>10443357</v>
      </c>
      <c r="AD27" s="44">
        <f t="shared" si="0"/>
        <v>54559615.912067972</v>
      </c>
    </row>
    <row r="28" spans="1:30" ht="19.5" customHeight="1" x14ac:dyDescent="0.25">
      <c r="A28" s="50" t="s">
        <v>133</v>
      </c>
      <c r="B28" s="50"/>
      <c r="C28" s="50"/>
      <c r="D28" s="50"/>
      <c r="E28" s="50"/>
      <c r="F28" s="50"/>
      <c r="G28" s="50"/>
      <c r="H28" s="50"/>
      <c r="I28" s="50"/>
      <c r="J28" s="50"/>
      <c r="K28" s="50"/>
      <c r="L28" s="50"/>
      <c r="M28" s="50"/>
      <c r="N28" s="50"/>
      <c r="O28" s="50"/>
      <c r="P28" s="50"/>
      <c r="Q28" s="50"/>
      <c r="R28" s="50"/>
      <c r="S28" s="50"/>
      <c r="T28" s="50"/>
      <c r="U28" s="50"/>
      <c r="V28" s="50"/>
      <c r="W28" s="50"/>
      <c r="X28" s="50"/>
      <c r="Y28" s="50"/>
      <c r="Z28" s="50"/>
      <c r="AA28" s="50" t="s">
        <v>133</v>
      </c>
      <c r="AB28" s="51">
        <f>SUM(AB4:AB27)</f>
        <v>1416404750.1698208</v>
      </c>
      <c r="AC28" s="50"/>
      <c r="AD28" s="51">
        <f>SUM(AD4:AD27)</f>
        <v>368116872.91982114</v>
      </c>
    </row>
  </sheetData>
  <mergeCells count="2">
    <mergeCell ref="A1:AD1"/>
    <mergeCell ref="A2:AD2"/>
  </mergeCell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Nombre Equipo</vt:lpstr>
      <vt:lpstr>Triangulo1</vt:lpstr>
      <vt:lpstr>ChainLadder Tri1</vt:lpstr>
      <vt:lpstr>triangulo2 </vt:lpstr>
      <vt:lpstr>3_ChainLadder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Karla Eugenia Medina Diaz</dc:creator>
  <cp:lastModifiedBy>Alejandro Favila Limon</cp:lastModifiedBy>
  <dcterms:created xsi:type="dcterms:W3CDTF">2026-09-04T01:46:11Z</dcterms:created>
  <dcterms:modified xsi:type="dcterms:W3CDTF">2026-09-05T02:37:25Z</dcterms:modified>
</cp:coreProperties>
</file>