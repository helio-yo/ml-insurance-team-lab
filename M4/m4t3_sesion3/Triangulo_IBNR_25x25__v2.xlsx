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ktua\Downloads\"/>
    </mc:Choice>
  </mc:AlternateContent>
  <xr:revisionPtr revIDLastSave="0" documentId="13_ncr:1_{F5BD3ACA-320B-4918-A6BD-033F2A15E5B6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1_Triangulo" sheetId="1" r:id="rId1"/>
    <sheet name="2_Factores" sheetId="2" r:id="rId2"/>
    <sheet name="3_ChainLadder" sheetId="3" r:id="rId3"/>
    <sheet name="4_BF" sheetId="4" r:id="rId4"/>
    <sheet name="5_CapeCod" sheetId="5" r:id="rId5"/>
    <sheet name="6_Resume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29" i="3" l="1"/>
  <c r="E30" i="2"/>
  <c r="E29" i="2"/>
  <c r="D30" i="2"/>
  <c r="D29" i="2"/>
  <c r="K30" i="2"/>
  <c r="K29" i="2"/>
  <c r="K31" i="2" s="1"/>
  <c r="E18" i="1"/>
  <c r="D39" i="1"/>
  <c r="D38" i="1"/>
  <c r="D37" i="1"/>
  <c r="D36" i="1"/>
  <c r="D35" i="1"/>
  <c r="D34" i="1"/>
  <c r="D33" i="1"/>
  <c r="D32" i="1"/>
  <c r="B3" i="6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32" i="4"/>
  <c r="G32" i="4" s="1"/>
  <c r="C32" i="4"/>
  <c r="D31" i="4"/>
  <c r="G31" i="4" s="1"/>
  <c r="C31" i="4"/>
  <c r="D30" i="4"/>
  <c r="G30" i="4" s="1"/>
  <c r="C30" i="4"/>
  <c r="D29" i="4"/>
  <c r="G29" i="4" s="1"/>
  <c r="C29" i="4"/>
  <c r="D28" i="4"/>
  <c r="G28" i="4" s="1"/>
  <c r="C28" i="4"/>
  <c r="D27" i="4"/>
  <c r="G27" i="4" s="1"/>
  <c r="C27" i="4"/>
  <c r="D26" i="4"/>
  <c r="G26" i="4" s="1"/>
  <c r="C26" i="4"/>
  <c r="D25" i="4"/>
  <c r="G25" i="4" s="1"/>
  <c r="C25" i="4"/>
  <c r="D24" i="4"/>
  <c r="G24" i="4" s="1"/>
  <c r="C24" i="4"/>
  <c r="D23" i="4"/>
  <c r="G23" i="4" s="1"/>
  <c r="C23" i="4"/>
  <c r="D22" i="4"/>
  <c r="G22" i="4" s="1"/>
  <c r="C22" i="4"/>
  <c r="D21" i="4"/>
  <c r="G21" i="4" s="1"/>
  <c r="C21" i="4"/>
  <c r="D20" i="4"/>
  <c r="G20" i="4" s="1"/>
  <c r="C20" i="4"/>
  <c r="D19" i="4"/>
  <c r="G19" i="4" s="1"/>
  <c r="C19" i="4"/>
  <c r="D18" i="4"/>
  <c r="G18" i="4" s="1"/>
  <c r="C18" i="4"/>
  <c r="D17" i="4"/>
  <c r="G17" i="4" s="1"/>
  <c r="C17" i="4"/>
  <c r="D16" i="4"/>
  <c r="G16" i="4" s="1"/>
  <c r="C16" i="4"/>
  <c r="D15" i="4"/>
  <c r="G15" i="4" s="1"/>
  <c r="C15" i="4"/>
  <c r="D14" i="4"/>
  <c r="G14" i="4" s="1"/>
  <c r="C14" i="4"/>
  <c r="D13" i="4"/>
  <c r="G13" i="4" s="1"/>
  <c r="C13" i="4"/>
  <c r="D12" i="4"/>
  <c r="G12" i="4" s="1"/>
  <c r="C12" i="4"/>
  <c r="D11" i="4"/>
  <c r="G11" i="4" s="1"/>
  <c r="C11" i="4"/>
  <c r="D10" i="4"/>
  <c r="G10" i="4" s="1"/>
  <c r="C10" i="4"/>
  <c r="D9" i="4"/>
  <c r="G9" i="4" s="1"/>
  <c r="C9" i="4"/>
  <c r="F8" i="4"/>
  <c r="E8" i="4"/>
  <c r="E8" i="5" s="1"/>
  <c r="F8" i="5" s="1"/>
  <c r="D8" i="4"/>
  <c r="G8" i="4" s="1"/>
  <c r="H8" i="4" s="1"/>
  <c r="C8" i="4"/>
  <c r="I8" i="4" s="1"/>
  <c r="AC28" i="3"/>
  <c r="C28" i="3"/>
  <c r="AC27" i="3"/>
  <c r="D27" i="3"/>
  <c r="C27" i="3"/>
  <c r="AC26" i="3"/>
  <c r="E26" i="3"/>
  <c r="D26" i="3"/>
  <c r="C26" i="3"/>
  <c r="AC25" i="3"/>
  <c r="F25" i="3"/>
  <c r="E25" i="3"/>
  <c r="D25" i="3"/>
  <c r="C25" i="3"/>
  <c r="AC24" i="3"/>
  <c r="G24" i="3"/>
  <c r="F24" i="3"/>
  <c r="E24" i="3"/>
  <c r="D24" i="3"/>
  <c r="C24" i="3"/>
  <c r="AC23" i="3"/>
  <c r="H23" i="3"/>
  <c r="G23" i="3"/>
  <c r="F23" i="3"/>
  <c r="E23" i="3"/>
  <c r="D23" i="3"/>
  <c r="C23" i="3"/>
  <c r="AC22" i="3"/>
  <c r="I22" i="3"/>
  <c r="H22" i="3"/>
  <c r="G22" i="3"/>
  <c r="F22" i="3"/>
  <c r="E22" i="3"/>
  <c r="D22" i="3"/>
  <c r="C22" i="3"/>
  <c r="AC21" i="3"/>
  <c r="J21" i="3"/>
  <c r="I21" i="3"/>
  <c r="H21" i="3"/>
  <c r="G21" i="3"/>
  <c r="F21" i="3"/>
  <c r="E21" i="3"/>
  <c r="D21" i="3"/>
  <c r="C21" i="3"/>
  <c r="AC20" i="3"/>
  <c r="K20" i="3"/>
  <c r="J20" i="3"/>
  <c r="I20" i="3"/>
  <c r="H20" i="3"/>
  <c r="G20" i="3"/>
  <c r="F20" i="3"/>
  <c r="E20" i="3"/>
  <c r="D20" i="3"/>
  <c r="C20" i="3"/>
  <c r="AC19" i="3"/>
  <c r="L19" i="3"/>
  <c r="K19" i="3"/>
  <c r="J19" i="3"/>
  <c r="I19" i="3"/>
  <c r="H19" i="3"/>
  <c r="G19" i="3"/>
  <c r="F19" i="3"/>
  <c r="E19" i="3"/>
  <c r="D19" i="3"/>
  <c r="C19" i="3"/>
  <c r="AC18" i="3"/>
  <c r="M18" i="3"/>
  <c r="L18" i="3"/>
  <c r="K18" i="3"/>
  <c r="J18" i="3"/>
  <c r="I18" i="3"/>
  <c r="H18" i="3"/>
  <c r="G18" i="3"/>
  <c r="F18" i="3"/>
  <c r="E18" i="3"/>
  <c r="D18" i="3"/>
  <c r="C18" i="3"/>
  <c r="AC17" i="3"/>
  <c r="N17" i="3"/>
  <c r="M17" i="3"/>
  <c r="L17" i="3"/>
  <c r="K17" i="3"/>
  <c r="J17" i="3"/>
  <c r="I17" i="3"/>
  <c r="H17" i="3"/>
  <c r="G17" i="3"/>
  <c r="F17" i="3"/>
  <c r="E17" i="3"/>
  <c r="D17" i="3"/>
  <c r="C17" i="3"/>
  <c r="AC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AC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AC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AC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AC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AC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AC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AC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AC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AC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AC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AC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AC4" i="3"/>
  <c r="AA4" i="3"/>
  <c r="AB4" i="3" s="1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J30" i="2"/>
  <c r="I30" i="2"/>
  <c r="H30" i="2"/>
  <c r="G30" i="2"/>
  <c r="F30" i="2"/>
  <c r="C30" i="2"/>
  <c r="Z29" i="2"/>
  <c r="Z31" i="2" s="1"/>
  <c r="Z33" i="2" s="1"/>
  <c r="Z34" i="2" s="1"/>
  <c r="Y29" i="2"/>
  <c r="Y31" i="2" s="1"/>
  <c r="Y33" i="2" s="1"/>
  <c r="Y34" i="2" s="1"/>
  <c r="X29" i="2"/>
  <c r="X31" i="2" s="1"/>
  <c r="X33" i="2" s="1"/>
  <c r="X34" i="2" s="1"/>
  <c r="W29" i="2"/>
  <c r="W31" i="2" s="1"/>
  <c r="W33" i="2" s="1"/>
  <c r="W34" i="2" s="1"/>
  <c r="V29" i="2"/>
  <c r="V31" i="2" s="1"/>
  <c r="V33" i="2" s="1"/>
  <c r="V34" i="2" s="1"/>
  <c r="U29" i="2"/>
  <c r="U31" i="2" s="1"/>
  <c r="T29" i="2"/>
  <c r="T31" i="2" s="1"/>
  <c r="S29" i="2"/>
  <c r="S31" i="2" s="1"/>
  <c r="R29" i="2"/>
  <c r="R31" i="2" s="1"/>
  <c r="Q29" i="2"/>
  <c r="Q31" i="2" s="1"/>
  <c r="P29" i="2"/>
  <c r="P31" i="2" s="1"/>
  <c r="O29" i="2"/>
  <c r="O31" i="2" s="1"/>
  <c r="N29" i="2"/>
  <c r="N31" i="2" s="1"/>
  <c r="M29" i="2"/>
  <c r="M31" i="2" s="1"/>
  <c r="L29" i="2"/>
  <c r="J29" i="2"/>
  <c r="J31" i="2" s="1"/>
  <c r="I29" i="2"/>
  <c r="I31" i="2" s="1"/>
  <c r="H29" i="2"/>
  <c r="H31" i="2" s="1"/>
  <c r="G29" i="2"/>
  <c r="G31" i="2" s="1"/>
  <c r="F29" i="2"/>
  <c r="F31" i="2" s="1"/>
  <c r="C29" i="2"/>
  <c r="C31" i="2" s="1"/>
  <c r="C27" i="2"/>
  <c r="D26" i="2"/>
  <c r="C26" i="2"/>
  <c r="E25" i="2"/>
  <c r="D25" i="2"/>
  <c r="C25" i="2"/>
  <c r="F24" i="2"/>
  <c r="E24" i="2"/>
  <c r="D24" i="2"/>
  <c r="C24" i="2"/>
  <c r="G23" i="2"/>
  <c r="F23" i="2"/>
  <c r="E23" i="2"/>
  <c r="D23" i="2"/>
  <c r="C23" i="2"/>
  <c r="H22" i="2"/>
  <c r="G22" i="2"/>
  <c r="F22" i="2"/>
  <c r="E22" i="2"/>
  <c r="D22" i="2"/>
  <c r="C22" i="2"/>
  <c r="I21" i="2"/>
  <c r="H21" i="2"/>
  <c r="G21" i="2"/>
  <c r="F21" i="2"/>
  <c r="E21" i="2"/>
  <c r="D21" i="2"/>
  <c r="C21" i="2"/>
  <c r="J20" i="2"/>
  <c r="I20" i="2"/>
  <c r="H20" i="2"/>
  <c r="G20" i="2"/>
  <c r="F20" i="2"/>
  <c r="E20" i="2"/>
  <c r="D20" i="2"/>
  <c r="C20" i="2"/>
  <c r="K19" i="2"/>
  <c r="J19" i="2"/>
  <c r="I19" i="2"/>
  <c r="H19" i="2"/>
  <c r="G19" i="2"/>
  <c r="F19" i="2"/>
  <c r="E19" i="2"/>
  <c r="D19" i="2"/>
  <c r="C19" i="2"/>
  <c r="L18" i="2"/>
  <c r="K18" i="2"/>
  <c r="J18" i="2"/>
  <c r="I18" i="2"/>
  <c r="H18" i="2"/>
  <c r="G18" i="2"/>
  <c r="F18" i="2"/>
  <c r="E18" i="2"/>
  <c r="D18" i="2"/>
  <c r="C18" i="2"/>
  <c r="M17" i="2"/>
  <c r="L17" i="2"/>
  <c r="K17" i="2"/>
  <c r="J17" i="2"/>
  <c r="I17" i="2"/>
  <c r="H17" i="2"/>
  <c r="G17" i="2"/>
  <c r="F17" i="2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L31" i="2" l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E31" i="2"/>
  <c r="D31" i="2"/>
  <c r="E27" i="3" s="1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U33" i="2"/>
  <c r="G8" i="5"/>
  <c r="D8" i="6"/>
  <c r="AD4" i="3"/>
  <c r="K8" i="4" s="1"/>
  <c r="J8" i="4"/>
  <c r="J8" i="5"/>
  <c r="Z35" i="2"/>
  <c r="E9" i="4"/>
  <c r="Y35" i="2"/>
  <c r="E10" i="4"/>
  <c r="X35" i="2"/>
  <c r="E11" i="4"/>
  <c r="W35" i="2"/>
  <c r="E12" i="4"/>
  <c r="V35" i="2"/>
  <c r="E13" i="4"/>
  <c r="S13" i="3"/>
  <c r="T13" i="3" s="1"/>
  <c r="U13" i="3" s="1"/>
  <c r="V13" i="3" s="1"/>
  <c r="W13" i="3" s="1"/>
  <c r="X13" i="3" s="1"/>
  <c r="Y13" i="3" s="1"/>
  <c r="Z13" i="3" s="1"/>
  <c r="AA13" i="3" s="1"/>
  <c r="AB13" i="3" s="1"/>
  <c r="K21" i="3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H24" i="3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G25" i="3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D28" i="3"/>
  <c r="F26" i="3"/>
  <c r="G26" i="3" s="1"/>
  <c r="H26" i="3" s="1"/>
  <c r="I26" i="3" s="1"/>
  <c r="J26" i="3" s="1"/>
  <c r="K26" i="3" s="1"/>
  <c r="L26" i="3" s="1"/>
  <c r="I23" i="3"/>
  <c r="J23" i="3" s="1"/>
  <c r="K23" i="3" s="1"/>
  <c r="L23" i="3" s="1"/>
  <c r="J22" i="3"/>
  <c r="K22" i="3" s="1"/>
  <c r="L22" i="3" s="1"/>
  <c r="L20" i="3"/>
  <c r="N18" i="3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O17" i="3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P16" i="3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Q15" i="3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R14" i="3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T12" i="3"/>
  <c r="U12" i="3" s="1"/>
  <c r="V12" i="3" s="1"/>
  <c r="W12" i="3" s="1"/>
  <c r="X12" i="3" s="1"/>
  <c r="Y12" i="3" s="1"/>
  <c r="Z12" i="3" s="1"/>
  <c r="AA12" i="3" s="1"/>
  <c r="AB12" i="3" s="1"/>
  <c r="U11" i="3"/>
  <c r="V11" i="3" s="1"/>
  <c r="W11" i="3" s="1"/>
  <c r="X11" i="3" s="1"/>
  <c r="Y11" i="3" s="1"/>
  <c r="Z11" i="3" s="1"/>
  <c r="AA11" i="3" s="1"/>
  <c r="AB11" i="3" s="1"/>
  <c r="V10" i="3"/>
  <c r="W10" i="3" s="1"/>
  <c r="X10" i="3" s="1"/>
  <c r="Y10" i="3" s="1"/>
  <c r="Z10" i="3" s="1"/>
  <c r="AA10" i="3" s="1"/>
  <c r="AB10" i="3" s="1"/>
  <c r="W9" i="3"/>
  <c r="X9" i="3" s="1"/>
  <c r="Y9" i="3" s="1"/>
  <c r="Z9" i="3" s="1"/>
  <c r="AA9" i="3" s="1"/>
  <c r="AB9" i="3" s="1"/>
  <c r="X8" i="3"/>
  <c r="Y8" i="3" s="1"/>
  <c r="Z8" i="3" s="1"/>
  <c r="AA8" i="3" s="1"/>
  <c r="AB8" i="3" s="1"/>
  <c r="Y7" i="3"/>
  <c r="Z7" i="3" s="1"/>
  <c r="AA7" i="3" s="1"/>
  <c r="AB7" i="3" s="1"/>
  <c r="Z6" i="3"/>
  <c r="AA6" i="3" s="1"/>
  <c r="AB6" i="3" s="1"/>
  <c r="AA5" i="3"/>
  <c r="AB5" i="3" s="1"/>
  <c r="M26" i="3" l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M23" i="3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M22" i="3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M20" i="3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E28" i="3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J32" i="4" s="1"/>
  <c r="T33" i="2"/>
  <c r="U34" i="2"/>
  <c r="C8" i="6"/>
  <c r="F8" i="6" s="1"/>
  <c r="F9" i="4"/>
  <c r="H9" i="4" s="1"/>
  <c r="E9" i="5"/>
  <c r="F10" i="4"/>
  <c r="H10" i="4" s="1"/>
  <c r="E10" i="5"/>
  <c r="F11" i="4"/>
  <c r="H11" i="4" s="1"/>
  <c r="E11" i="5"/>
  <c r="E12" i="5"/>
  <c r="F12" i="4"/>
  <c r="H12" i="4" s="1"/>
  <c r="F13" i="4"/>
  <c r="H13" i="4" s="1"/>
  <c r="E13" i="5"/>
  <c r="AD13" i="3"/>
  <c r="C17" i="6" s="1"/>
  <c r="J17" i="5"/>
  <c r="J17" i="4"/>
  <c r="AD21" i="3"/>
  <c r="C25" i="6" s="1"/>
  <c r="J25" i="4"/>
  <c r="J25" i="5"/>
  <c r="AD24" i="3"/>
  <c r="C28" i="6" s="1"/>
  <c r="J28" i="4"/>
  <c r="J28" i="5"/>
  <c r="J29" i="5"/>
  <c r="J29" i="4"/>
  <c r="AD25" i="3"/>
  <c r="C29" i="6" s="1"/>
  <c r="AD27" i="3"/>
  <c r="C31" i="6" s="1"/>
  <c r="J31" i="4"/>
  <c r="J31" i="5"/>
  <c r="J23" i="5"/>
  <c r="J23" i="4"/>
  <c r="AD19" i="3"/>
  <c r="C23" i="6" s="1"/>
  <c r="J22" i="5"/>
  <c r="J22" i="4"/>
  <c r="AD18" i="3"/>
  <c r="C22" i="6" s="1"/>
  <c r="J21" i="4"/>
  <c r="J21" i="5"/>
  <c r="AD17" i="3"/>
  <c r="C21" i="6" s="1"/>
  <c r="J20" i="4"/>
  <c r="J20" i="5"/>
  <c r="AD16" i="3"/>
  <c r="C20" i="6" s="1"/>
  <c r="AD15" i="3"/>
  <c r="C19" i="6" s="1"/>
  <c r="J19" i="5"/>
  <c r="J19" i="4"/>
  <c r="J18" i="5"/>
  <c r="J18" i="4"/>
  <c r="AD14" i="3"/>
  <c r="C18" i="6" s="1"/>
  <c r="J16" i="5"/>
  <c r="AD12" i="3"/>
  <c r="C16" i="6" s="1"/>
  <c r="J16" i="4"/>
  <c r="J15" i="5"/>
  <c r="J15" i="4"/>
  <c r="AD11" i="3"/>
  <c r="C15" i="6" s="1"/>
  <c r="J14" i="5"/>
  <c r="J14" i="4"/>
  <c r="AD10" i="3"/>
  <c r="C14" i="6" s="1"/>
  <c r="J13" i="5"/>
  <c r="J13" i="4"/>
  <c r="AD9" i="3"/>
  <c r="J12" i="5"/>
  <c r="J12" i="4"/>
  <c r="AD8" i="3"/>
  <c r="C12" i="6" s="1"/>
  <c r="J11" i="5"/>
  <c r="J11" i="4"/>
  <c r="AD7" i="3"/>
  <c r="C11" i="6" s="1"/>
  <c r="J10" i="5"/>
  <c r="J10" i="4"/>
  <c r="AD6" i="3"/>
  <c r="C10" i="6" s="1"/>
  <c r="J9" i="5"/>
  <c r="J9" i="4"/>
  <c r="AD5" i="3"/>
  <c r="C9" i="6" s="1"/>
  <c r="J27" i="5" l="1"/>
  <c r="AD23" i="3"/>
  <c r="C27" i="6" s="1"/>
  <c r="J27" i="4"/>
  <c r="J30" i="4"/>
  <c r="J30" i="5"/>
  <c r="AD26" i="3"/>
  <c r="C30" i="6" s="1"/>
  <c r="J26" i="5"/>
  <c r="J26" i="4"/>
  <c r="AD22" i="3"/>
  <c r="C26" i="6" s="1"/>
  <c r="J24" i="5"/>
  <c r="J24" i="4"/>
  <c r="J33" i="4" s="1"/>
  <c r="AD20" i="3"/>
  <c r="J32" i="5"/>
  <c r="AD28" i="3"/>
  <c r="C32" i="6" s="1"/>
  <c r="S33" i="2"/>
  <c r="T34" i="2"/>
  <c r="U35" i="2"/>
  <c r="E14" i="4"/>
  <c r="H8" i="6"/>
  <c r="I9" i="4"/>
  <c r="D9" i="6"/>
  <c r="K9" i="4"/>
  <c r="G9" i="5"/>
  <c r="F9" i="5"/>
  <c r="D10" i="6"/>
  <c r="F10" i="6" s="1"/>
  <c r="H10" i="6" s="1"/>
  <c r="K10" i="4"/>
  <c r="I10" i="4"/>
  <c r="G10" i="5"/>
  <c r="F10" i="5"/>
  <c r="D11" i="6"/>
  <c r="F11" i="6" s="1"/>
  <c r="H11" i="6" s="1"/>
  <c r="K11" i="4"/>
  <c r="I11" i="4"/>
  <c r="G11" i="5"/>
  <c r="F11" i="5"/>
  <c r="G12" i="5"/>
  <c r="F12" i="5"/>
  <c r="K12" i="4"/>
  <c r="D12" i="6"/>
  <c r="F12" i="6" s="1"/>
  <c r="H12" i="6" s="1"/>
  <c r="I12" i="4"/>
  <c r="K13" i="4"/>
  <c r="D13" i="6"/>
  <c r="F13" i="6" s="1"/>
  <c r="H13" i="6" s="1"/>
  <c r="I13" i="4"/>
  <c r="G13" i="5"/>
  <c r="F13" i="5"/>
  <c r="C13" i="6"/>
  <c r="J33" i="5" l="1"/>
  <c r="C24" i="6"/>
  <c r="AD29" i="3"/>
  <c r="C33" i="6"/>
  <c r="R33" i="2"/>
  <c r="S34" i="2"/>
  <c r="E15" i="4"/>
  <c r="T35" i="2"/>
  <c r="F14" i="4"/>
  <c r="H14" i="4" s="1"/>
  <c r="E14" i="5"/>
  <c r="F9" i="6"/>
  <c r="Q33" i="2" l="1"/>
  <c r="R34" i="2"/>
  <c r="E16" i="4"/>
  <c r="S35" i="2"/>
  <c r="E15" i="5"/>
  <c r="F15" i="4"/>
  <c r="H15" i="4" s="1"/>
  <c r="I14" i="4"/>
  <c r="K14" i="4"/>
  <c r="D14" i="6"/>
  <c r="F14" i="6" s="1"/>
  <c r="H14" i="6" s="1"/>
  <c r="F14" i="5"/>
  <c r="G14" i="5"/>
  <c r="H9" i="6"/>
  <c r="Q34" i="2" l="1"/>
  <c r="P33" i="2"/>
  <c r="E17" i="4"/>
  <c r="R35" i="2"/>
  <c r="E16" i="5"/>
  <c r="F16" i="4"/>
  <c r="H16" i="4" s="1"/>
  <c r="F15" i="5"/>
  <c r="G15" i="5"/>
  <c r="K15" i="4"/>
  <c r="D15" i="6"/>
  <c r="F15" i="6" s="1"/>
  <c r="H15" i="6" s="1"/>
  <c r="I15" i="4"/>
  <c r="Q35" i="2" l="1"/>
  <c r="E18" i="4"/>
  <c r="P34" i="2"/>
  <c r="O33" i="2"/>
  <c r="E17" i="5"/>
  <c r="F17" i="4"/>
  <c r="H17" i="4" s="1"/>
  <c r="F16" i="5"/>
  <c r="G16" i="5"/>
  <c r="K16" i="4"/>
  <c r="I16" i="4"/>
  <c r="D16" i="6"/>
  <c r="F16" i="6" s="1"/>
  <c r="H16" i="6" s="1"/>
  <c r="E18" i="5" l="1"/>
  <c r="F18" i="4"/>
  <c r="H18" i="4" s="1"/>
  <c r="E19" i="4"/>
  <c r="P35" i="2"/>
  <c r="N33" i="2"/>
  <c r="O34" i="2"/>
  <c r="F17" i="5"/>
  <c r="G17" i="5"/>
  <c r="I17" i="4"/>
  <c r="D17" i="6"/>
  <c r="F17" i="6" s="1"/>
  <c r="H17" i="6" s="1"/>
  <c r="K17" i="4"/>
  <c r="F18" i="5" l="1"/>
  <c r="G18" i="5"/>
  <c r="I18" i="4"/>
  <c r="K18" i="4"/>
  <c r="D18" i="6"/>
  <c r="F18" i="6" s="1"/>
  <c r="H18" i="6" s="1"/>
  <c r="F19" i="4"/>
  <c r="H19" i="4" s="1"/>
  <c r="E19" i="5"/>
  <c r="N34" i="2"/>
  <c r="M33" i="2"/>
  <c r="O35" i="2"/>
  <c r="E20" i="4"/>
  <c r="D19" i="6" l="1"/>
  <c r="F19" i="6" s="1"/>
  <c r="H19" i="6" s="1"/>
  <c r="I19" i="4"/>
  <c r="K19" i="4"/>
  <c r="G19" i="5"/>
  <c r="F19" i="5"/>
  <c r="N35" i="2"/>
  <c r="E21" i="4"/>
  <c r="M34" i="2"/>
  <c r="L33" i="2"/>
  <c r="F20" i="4"/>
  <c r="H20" i="4" s="1"/>
  <c r="E20" i="5"/>
  <c r="E21" i="5" l="1"/>
  <c r="F21" i="4"/>
  <c r="H21" i="4" s="1"/>
  <c r="E22" i="4"/>
  <c r="M35" i="2"/>
  <c r="K33" i="2"/>
  <c r="L34" i="2"/>
  <c r="I20" i="4"/>
  <c r="K20" i="4"/>
  <c r="D20" i="6"/>
  <c r="F20" i="6" s="1"/>
  <c r="H20" i="6" s="1"/>
  <c r="F20" i="5"/>
  <c r="G20" i="5"/>
  <c r="G21" i="5" l="1"/>
  <c r="F21" i="5"/>
  <c r="I21" i="4"/>
  <c r="K21" i="4"/>
  <c r="D21" i="6"/>
  <c r="F21" i="6" s="1"/>
  <c r="H21" i="6" s="1"/>
  <c r="E22" i="5"/>
  <c r="F22" i="4"/>
  <c r="H22" i="4" s="1"/>
  <c r="K34" i="2"/>
  <c r="J33" i="2"/>
  <c r="L35" i="2"/>
  <c r="E23" i="4"/>
  <c r="F22" i="5" l="1"/>
  <c r="G22" i="5"/>
  <c r="I22" i="4"/>
  <c r="D22" i="6"/>
  <c r="F22" i="6" s="1"/>
  <c r="H22" i="6" s="1"/>
  <c r="K22" i="4"/>
  <c r="K35" i="2"/>
  <c r="E24" i="4"/>
  <c r="I33" i="2"/>
  <c r="J34" i="2"/>
  <c r="E23" i="5"/>
  <c r="F23" i="4"/>
  <c r="H23" i="4" s="1"/>
  <c r="E24" i="5" l="1"/>
  <c r="F24" i="4"/>
  <c r="H24" i="4" s="1"/>
  <c r="I34" i="2"/>
  <c r="H33" i="2"/>
  <c r="E25" i="4"/>
  <c r="J35" i="2"/>
  <c r="F23" i="5"/>
  <c r="G23" i="5"/>
  <c r="I23" i="4"/>
  <c r="K23" i="4"/>
  <c r="D23" i="6"/>
  <c r="F23" i="6" s="1"/>
  <c r="H23" i="6" s="1"/>
  <c r="F24" i="5" l="1"/>
  <c r="G24" i="5"/>
  <c r="I24" i="4"/>
  <c r="D24" i="6"/>
  <c r="F24" i="6" s="1"/>
  <c r="H24" i="6" s="1"/>
  <c r="K24" i="4"/>
  <c r="I35" i="2"/>
  <c r="E26" i="4"/>
  <c r="H34" i="2"/>
  <c r="G33" i="2"/>
  <c r="E25" i="5"/>
  <c r="F25" i="4"/>
  <c r="H25" i="4" s="1"/>
  <c r="F26" i="4" l="1"/>
  <c r="H26" i="4" s="1"/>
  <c r="E26" i="5"/>
  <c r="H35" i="2"/>
  <c r="E27" i="4"/>
  <c r="F33" i="2"/>
  <c r="G34" i="2"/>
  <c r="F25" i="5"/>
  <c r="G25" i="5"/>
  <c r="D25" i="6"/>
  <c r="F25" i="6" s="1"/>
  <c r="H25" i="6" s="1"/>
  <c r="K25" i="4"/>
  <c r="I25" i="4"/>
  <c r="I26" i="4" l="1"/>
  <c r="K26" i="4"/>
  <c r="D26" i="6"/>
  <c r="F26" i="6" s="1"/>
  <c r="H26" i="6" s="1"/>
  <c r="F26" i="5"/>
  <c r="G26" i="5"/>
  <c r="E27" i="5"/>
  <c r="F27" i="4"/>
  <c r="H27" i="4" s="1"/>
  <c r="E33" i="2"/>
  <c r="F34" i="2"/>
  <c r="G35" i="2"/>
  <c r="E28" i="4"/>
  <c r="F27" i="5" l="1"/>
  <c r="G27" i="5"/>
  <c r="I27" i="4"/>
  <c r="D27" i="6"/>
  <c r="F27" i="6" s="1"/>
  <c r="H27" i="6" s="1"/>
  <c r="K27" i="4"/>
  <c r="E34" i="2"/>
  <c r="D33" i="2"/>
  <c r="E29" i="4"/>
  <c r="F35" i="2"/>
  <c r="E28" i="5"/>
  <c r="F28" i="4"/>
  <c r="H28" i="4" s="1"/>
  <c r="E35" i="2" l="1"/>
  <c r="E30" i="4"/>
  <c r="D34" i="2"/>
  <c r="C33" i="2"/>
  <c r="C34" i="2" s="1"/>
  <c r="E29" i="5"/>
  <c r="F29" i="4"/>
  <c r="H29" i="4" s="1"/>
  <c r="F28" i="5"/>
  <c r="G28" i="5"/>
  <c r="I28" i="4"/>
  <c r="K28" i="4"/>
  <c r="D28" i="6"/>
  <c r="F28" i="6" s="1"/>
  <c r="H28" i="6" s="1"/>
  <c r="F30" i="4" l="1"/>
  <c r="H30" i="4" s="1"/>
  <c r="E30" i="5"/>
  <c r="D35" i="2"/>
  <c r="E31" i="4"/>
  <c r="C35" i="2"/>
  <c r="E32" i="4"/>
  <c r="F29" i="5"/>
  <c r="G29" i="5"/>
  <c r="I29" i="4"/>
  <c r="K29" i="4"/>
  <c r="D29" i="6"/>
  <c r="F29" i="6" s="1"/>
  <c r="H29" i="6" s="1"/>
  <c r="I30" i="4" l="1"/>
  <c r="D30" i="6"/>
  <c r="K30" i="4"/>
  <c r="F30" i="5"/>
  <c r="G30" i="5"/>
  <c r="E31" i="5"/>
  <c r="F31" i="4"/>
  <c r="H31" i="4" s="1"/>
  <c r="E32" i="5"/>
  <c r="F32" i="4"/>
  <c r="H32" i="4" s="1"/>
  <c r="H33" i="4" l="1"/>
  <c r="F30" i="6"/>
  <c r="F31" i="5"/>
  <c r="G31" i="5"/>
  <c r="K31" i="4"/>
  <c r="D31" i="6"/>
  <c r="I31" i="4"/>
  <c r="F32" i="5"/>
  <c r="G32" i="5"/>
  <c r="I32" i="4"/>
  <c r="D32" i="6"/>
  <c r="F32" i="6" s="1"/>
  <c r="H32" i="6" s="1"/>
  <c r="K32" i="4"/>
  <c r="H30" i="6" l="1"/>
  <c r="K33" i="4"/>
  <c r="I33" i="4"/>
  <c r="G33" i="5"/>
  <c r="B4" i="5"/>
  <c r="F31" i="6"/>
  <c r="D33" i="6"/>
  <c r="H31" i="6" l="1"/>
  <c r="F33" i="6"/>
  <c r="H12" i="5"/>
  <c r="D3" i="6"/>
  <c r="F3" i="6" s="1"/>
  <c r="H8" i="5"/>
  <c r="H17" i="5"/>
  <c r="H9" i="5"/>
  <c r="H15" i="5"/>
  <c r="H14" i="5"/>
  <c r="H13" i="5"/>
  <c r="H11" i="5"/>
  <c r="H10" i="5"/>
  <c r="H16" i="5"/>
  <c r="H29" i="5"/>
  <c r="H28" i="5"/>
  <c r="H26" i="5"/>
  <c r="H23" i="5"/>
  <c r="H21" i="5"/>
  <c r="H20" i="5"/>
  <c r="H18" i="5"/>
  <c r="H25" i="5"/>
  <c r="H30" i="5"/>
  <c r="H27" i="5"/>
  <c r="H24" i="5"/>
  <c r="H22" i="5"/>
  <c r="H19" i="5"/>
  <c r="H32" i="5"/>
  <c r="H31" i="5"/>
  <c r="I12" i="5" l="1"/>
  <c r="E12" i="6"/>
  <c r="G12" i="6" s="1"/>
  <c r="I12" i="6" s="1"/>
  <c r="K12" i="5"/>
  <c r="E8" i="6"/>
  <c r="K8" i="5"/>
  <c r="H33" i="5"/>
  <c r="I8" i="5"/>
  <c r="K17" i="5"/>
  <c r="E17" i="6"/>
  <c r="G17" i="6" s="1"/>
  <c r="I17" i="6" s="1"/>
  <c r="I17" i="5"/>
  <c r="I9" i="5"/>
  <c r="E9" i="6"/>
  <c r="G9" i="6" s="1"/>
  <c r="I9" i="6" s="1"/>
  <c r="K9" i="5"/>
  <c r="I15" i="5"/>
  <c r="K15" i="5"/>
  <c r="E15" i="6"/>
  <c r="G15" i="6" s="1"/>
  <c r="I15" i="6" s="1"/>
  <c r="I14" i="5"/>
  <c r="K14" i="5"/>
  <c r="E14" i="6"/>
  <c r="G14" i="6" s="1"/>
  <c r="I14" i="6" s="1"/>
  <c r="I13" i="5"/>
  <c r="K13" i="5"/>
  <c r="E13" i="6"/>
  <c r="G13" i="6" s="1"/>
  <c r="I13" i="6" s="1"/>
  <c r="I11" i="5"/>
  <c r="K11" i="5"/>
  <c r="E11" i="6"/>
  <c r="G11" i="6" s="1"/>
  <c r="I11" i="6" s="1"/>
  <c r="I10" i="5"/>
  <c r="K10" i="5"/>
  <c r="E10" i="6"/>
  <c r="G10" i="6" s="1"/>
  <c r="I10" i="6" s="1"/>
  <c r="I16" i="5"/>
  <c r="K16" i="5"/>
  <c r="E16" i="6"/>
  <c r="G16" i="6" s="1"/>
  <c r="I16" i="6" s="1"/>
  <c r="E29" i="6"/>
  <c r="G29" i="6" s="1"/>
  <c r="I29" i="6" s="1"/>
  <c r="K29" i="5"/>
  <c r="I29" i="5"/>
  <c r="K28" i="5"/>
  <c r="E28" i="6"/>
  <c r="G28" i="6" s="1"/>
  <c r="I28" i="6" s="1"/>
  <c r="I28" i="5"/>
  <c r="K26" i="5"/>
  <c r="I26" i="5"/>
  <c r="E26" i="6"/>
  <c r="G26" i="6" s="1"/>
  <c r="I26" i="6" s="1"/>
  <c r="I23" i="5"/>
  <c r="K23" i="5"/>
  <c r="E23" i="6"/>
  <c r="G23" i="6" s="1"/>
  <c r="I23" i="6" s="1"/>
  <c r="K21" i="5"/>
  <c r="I21" i="5"/>
  <c r="E21" i="6"/>
  <c r="G21" i="6" s="1"/>
  <c r="I21" i="6" s="1"/>
  <c r="I20" i="5"/>
  <c r="K20" i="5"/>
  <c r="E20" i="6"/>
  <c r="G20" i="6" s="1"/>
  <c r="I20" i="6" s="1"/>
  <c r="I18" i="5"/>
  <c r="K18" i="5"/>
  <c r="E18" i="6"/>
  <c r="G18" i="6" s="1"/>
  <c r="I18" i="6" s="1"/>
  <c r="K25" i="5"/>
  <c r="I25" i="5"/>
  <c r="E25" i="6"/>
  <c r="G25" i="6" s="1"/>
  <c r="I25" i="6" s="1"/>
  <c r="E30" i="6"/>
  <c r="G30" i="6" s="1"/>
  <c r="I30" i="6" s="1"/>
  <c r="I30" i="5"/>
  <c r="K30" i="5"/>
  <c r="E27" i="6"/>
  <c r="G27" i="6" s="1"/>
  <c r="I27" i="6" s="1"/>
  <c r="K27" i="5"/>
  <c r="I27" i="5"/>
  <c r="E24" i="6"/>
  <c r="G24" i="6" s="1"/>
  <c r="I24" i="6" s="1"/>
  <c r="I24" i="5"/>
  <c r="K24" i="5"/>
  <c r="E22" i="6"/>
  <c r="G22" i="6" s="1"/>
  <c r="I22" i="6" s="1"/>
  <c r="K22" i="5"/>
  <c r="I22" i="5"/>
  <c r="K19" i="5"/>
  <c r="I19" i="5"/>
  <c r="E19" i="6"/>
  <c r="G19" i="6" s="1"/>
  <c r="I19" i="6" s="1"/>
  <c r="E32" i="6"/>
  <c r="G32" i="6" s="1"/>
  <c r="I32" i="6" s="1"/>
  <c r="K32" i="5"/>
  <c r="I32" i="5"/>
  <c r="K31" i="5"/>
  <c r="I31" i="5"/>
  <c r="E31" i="6"/>
  <c r="G31" i="6" s="1"/>
  <c r="I31" i="6" s="1"/>
  <c r="E33" i="6" l="1"/>
  <c r="G8" i="6"/>
  <c r="K33" i="5"/>
  <c r="I33" i="5"/>
  <c r="G33" i="6" l="1"/>
  <c r="I8" i="6"/>
</calcChain>
</file>

<file path=xl/sharedStrings.xml><?xml version="1.0" encoding="utf-8"?>
<sst xmlns="http://schemas.openxmlformats.org/spreadsheetml/2006/main" count="445" uniqueCount="158">
  <si>
    <t>TRIÁNGULO DE SINIESTRALIDAD ACUMULADA — TRIMESTRAL · Diagonal: Q4-2023 · Cifras en MXN</t>
  </si>
  <si>
    <t>RC Auto · 25 trimestres de ocurrencia (Q4-2017→Q4-2023) × 25 trimestres de desarrollo</t>
  </si>
  <si>
    <t>AO</t>
  </si>
  <si>
    <t>Trim.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</si>
  <si>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</si>
  <si>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</si>
  <si>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</si>
  <si>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</si>
  <si>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</si>
  <si>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</si>
  <si>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</si>
  <si>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</si>
  <si>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</si>
  <si>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</si>
  <si>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</si>
  <si>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</si>
  <si>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</si>
  <si>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</si>
  <si>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</si>
  <si>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</si>
  <si>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</si>
  <si>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</si>
  <si>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</si>
  <si>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</si>
  <si>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</si>
  <si>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</si>
  <si>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</si>
  <si>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</si>
  <si>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</si>
  <si>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Prima
Emitida</t>
  </si>
  <si>
    <t>Prima
Devengada</t>
  </si>
  <si>
    <t>AO01</t>
  </si>
  <si>
    <t>Q4 2017</t>
  </si>
  <si>
    <t>AO02</t>
  </si>
  <si>
    <t>Q1 2018</t>
  </si>
  <si>
    <t>AO03</t>
  </si>
  <si>
    <t>Q2 2018</t>
  </si>
  <si>
    <t>AO04</t>
  </si>
  <si>
    <t>Q3 2018</t>
  </si>
  <si>
    <t>AO05</t>
  </si>
  <si>
    <t>Q4 2018</t>
  </si>
  <si>
    <t>AO06</t>
  </si>
  <si>
    <t>Q1 2019</t>
  </si>
  <si>
    <t>AO07</t>
  </si>
  <si>
    <t>Q2 2019</t>
  </si>
  <si>
    <t>AO08</t>
  </si>
  <si>
    <t>Q3 2019</t>
  </si>
  <si>
    <t>AO09</t>
  </si>
  <si>
    <t>Q4 2019</t>
  </si>
  <si>
    <t>AO10</t>
  </si>
  <si>
    <t>Q1 2020</t>
  </si>
  <si>
    <t>AO11</t>
  </si>
  <si>
    <t>Q2 2020</t>
  </si>
  <si>
    <t>AO12</t>
  </si>
  <si>
    <t>Q3 2020</t>
  </si>
  <si>
    <t>AO13</t>
  </si>
  <si>
    <t>Q4 2020</t>
  </si>
  <si>
    <t>AO14</t>
  </si>
  <si>
    <t>Q1 2021</t>
  </si>
  <si>
    <t>AO15</t>
  </si>
  <si>
    <t>Q2 2021</t>
  </si>
  <si>
    <t>AO16</t>
  </si>
  <si>
    <t>Q3 2021</t>
  </si>
  <si>
    <t>AO17</t>
  </si>
  <si>
    <t>Q4 2021</t>
  </si>
  <si>
    <t>AO18</t>
  </si>
  <si>
    <t>Q1 2022</t>
  </si>
  <si>
    <t>AO19</t>
  </si>
  <si>
    <t>Q2 2022</t>
  </si>
  <si>
    <t>AO20</t>
  </si>
  <si>
    <t>Q3 2022</t>
  </si>
  <si>
    <t>AO21</t>
  </si>
  <si>
    <t>Q4 2022</t>
  </si>
  <si>
    <t>AO22</t>
  </si>
  <si>
    <t>Q1 2023</t>
  </si>
  <si>
    <t>AO23</t>
  </si>
  <si>
    <t>Q2 2023</t>
  </si>
  <si>
    <t>AO24</t>
  </si>
  <si>
    <t>Q3 2023</t>
  </si>
  <si>
    <t>AO25</t>
  </si>
  <si>
    <t>Q4 2023</t>
  </si>
  <si>
    <t>TOTAL</t>
  </si>
  <si>
    <t>TRIÁNGULO DE FACTORES DE DESARROLLO · fᵢⱼ = C_{i,j+1}/C_{i,j}</t>
  </si>
  <si>
    <t>Factores vinculados a 1_Triangulo · Promedio ponderado f̂_j = ΣNum/ΣDen · Factor acumulado y % desarrollado automáticos</t>
  </si>
  <si>
    <t>T01→02</t>
  </si>
  <si>
    <t>T02→03</t>
  </si>
  <si>
    <t>T03→04</t>
  </si>
  <si>
    <t>T04→05</t>
  </si>
  <si>
    <t>T05→06</t>
  </si>
  <si>
    <t>T06→07</t>
  </si>
  <si>
    <t>T07→08</t>
  </si>
  <si>
    <t>T08→09</t>
  </si>
  <si>
    <t>T09→10</t>
  </si>
  <si>
    <t>T10→11</t>
  </si>
  <si>
    <t>T11→12</t>
  </si>
  <si>
    <t>T12→13</t>
  </si>
  <si>
    <t>T13→14</t>
  </si>
  <si>
    <t>T14→15</t>
  </si>
  <si>
    <t>T15→16</t>
  </si>
  <si>
    <t>T16→17</t>
  </si>
  <si>
    <t>T17→18</t>
  </si>
  <si>
    <t>T18→19</t>
  </si>
  <si>
    <t>T19→20</t>
  </si>
  <si>
    <t>T20→21</t>
  </si>
  <si>
    <t>T21→22</t>
  </si>
  <si>
    <t>T22→23</t>
  </si>
  <si>
    <t>T23→24</t>
  </si>
  <si>
    <t>T24→25</t>
  </si>
  <si>
    <t>Σ Numerador (C_{j+1})</t>
  </si>
  <si>
    <t>Σ Denominador (C_j)</t>
  </si>
  <si>
    <t>Factor f̂_j (pond.)</t>
  </si>
  <si>
    <t>Factor acum. F_j^{→25}</t>
  </si>
  <si>
    <t>% Desarrollado = 1/F_j</t>
  </si>
  <si>
    <t>% No-Des. = 1−%Des</t>
  </si>
  <si>
    <t>CHAIN-LADDER — Triángulo Proyectado e IBNR | Vinculado a hojas 1_Triangulo y 2_Factores</t>
  </si>
  <si>
    <t>AZUL=observado (hoja 1) · AMARILLO=proyección CL = C_{i,j-1} × f̂_{j-1} (hoja 2) · VERDE=IBNR</t>
  </si>
  <si>
    <t>Último
Proy.</t>
  </si>
  <si>
    <t>Pagado
Actual</t>
  </si>
  <si>
    <t>IBNR CL</t>
  </si>
  <si>
    <t>TOTAL IBNR CL</t>
  </si>
  <si>
    <t>BORNHUETTER-FERGUSON · IBNR_BF = Apriori × (1−%Des) · ELR en B4 · Vinculado a hojas 1,2,3</t>
  </si>
  <si>
    <t>%Des vinculado a 2_Factores · Pagado y prima de 1_Triangulo · Último_CL de 3_ChainLadder</t>
  </si>
  <si>
    <t>ELR a priori (BF):</t>
  </si>
  <si>
    <t>← Modifica este valor para sensibilizar el IBNR BF</t>
  </si>
  <si>
    <t>Pagado actual
(diagonal)</t>
  </si>
  <si>
    <t>Prima Devengada</t>
  </si>
  <si>
    <t>% Des.
(de 2_Factores)</t>
  </si>
  <si>
    <t>% No-Des.
=1−%Des</t>
  </si>
  <si>
    <t>Apriori
=Prima×ELR</t>
  </si>
  <si>
    <t>IBNR_BF
=Apriori×%NoDes</t>
  </si>
  <si>
    <t>Último_BF
=Pag+IBNR</t>
  </si>
  <si>
    <t>Último_CL
(ref.hoja3)</t>
  </si>
  <si>
    <t>Diferencia
BF−CL</t>
  </si>
  <si>
    <t>CAPE COD · ELR_CC = Σ Pagados / Σ(Prima×%Des) · ELR endógeno calculado en B4</t>
  </si>
  <si>
    <t>ELR_CC en B4 calculado automáticamente · % Des de 4_BF · Primas de 1_Triangulo</t>
  </si>
  <si>
    <t>ELR Cape Cod:</t>
  </si>
  <si>
    <t>Σ Pagados / Σ(Prima×%Des) — se actualiza automáticamente</t>
  </si>
  <si>
    <t>Pagado actual</t>
  </si>
  <si>
    <t>% Des.</t>
  </si>
  <si>
    <t>% No-Des.</t>
  </si>
  <si>
    <t>Prima × %Des</t>
  </si>
  <si>
    <t>IBNR_CC
=Prima×%NoDes×ELR_CC</t>
  </si>
  <si>
    <t>Último_CC</t>
  </si>
  <si>
    <t>Último_CL</t>
  </si>
  <si>
    <t>Diferencia CC−CL</t>
  </si>
  <si>
    <t>RESUMEN COMPARATIVO — Chain-Ladder · Bornhuetter-Ferguson · Cape Cod</t>
  </si>
  <si>
    <t>ELR BF (a priori):</t>
  </si>
  <si>
    <t>ELR CC (endógeno):</t>
  </si>
  <si>
    <t>Diferencia ELR:</t>
  </si>
  <si>
    <t>Trimestre</t>
  </si>
  <si>
    <t>IBNR
Chain-Ladder</t>
  </si>
  <si>
    <t>IBNR
BF</t>
  </si>
  <si>
    <t>IBNR
Cape Cod</t>
  </si>
  <si>
    <t>BF−CL</t>
  </si>
  <si>
    <t>CC−CL</t>
  </si>
  <si>
    <t>BF %
dif</t>
  </si>
  <si>
    <t>CC %
dif</t>
  </si>
  <si>
    <t>TOTAL IBNR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</si>
</sst>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#,##0;\(#,##0\)"/>
    <numFmt numFmtId="166" formatCode="\+0.00%;\-0.00%"/>
    <numFmt numFmtId="167" formatCode="0.0%"/>
  </numFmts>
  <fonts count="31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sz val="8"/>
      <color rgb="FF1E3A5F"/>
      <name val="Calibri"/>
      <family val="2"/>
    </font>
    <font>
      <b/>
      <sz val="8"/>
      <color rgb="FFFFFFFF"/>
      <name val="Calibri"/>
      <family val="2"/>
    </font>
    <font>
      <b/>
      <sz val="7"/>
      <color rgb="FFFFFFFF"/>
      <name val="Calibri"/>
      <family val="2"/>
    </font>
    <font>
      <b/>
      <sz val="9"/>
      <color rgb="FF1E3A5F"/>
      <name val="Calibri"/>
      <family val="2"/>
    </font>
    <font>
      <sz val="9"/>
      <color rgb="FF555555"/>
      <name val="Calibri"/>
      <family val="2"/>
    </font>
    <font>
      <sz val="9"/>
      <color rgb="FF1C1C1C"/>
      <name val="Calibri"/>
      <family val="2"/>
    </font>
    <font>
      <b/>
      <sz val="9"/>
      <color rgb="FF1A5C38"/>
      <name val="Calibri"/>
      <family val="2"/>
    </font>
    <font>
      <b/>
      <sz val="9"/>
      <color rgb="FFFFFFFF"/>
      <name val="Calibri"/>
      <family val="2"/>
    </font>
    <font>
      <b/>
      <sz val="8"/>
      <color rgb="FF1A5C38"/>
      <name val="Calibri"/>
      <family val="2"/>
    </font>
    <font>
      <sz val="9"/>
      <color rgb="FF1A5C38"/>
      <name val="Calibri"/>
      <family val="2"/>
    </font>
    <font>
      <b/>
      <sz val="8"/>
      <color rgb="FF1E3A5F"/>
      <name val="Calibri"/>
      <family val="2"/>
    </font>
    <font>
      <sz val="9"/>
      <color rgb="FF1E3A5F"/>
      <name val="Calibri"/>
      <family val="2"/>
    </font>
    <font>
      <b/>
      <sz val="8"/>
      <color rgb="FF2E6DA4"/>
      <name val="Calibri"/>
      <family val="2"/>
    </font>
    <font>
      <sz val="9"/>
      <color rgb="FF2E6DA4"/>
      <name val="Calibri"/>
      <family val="2"/>
    </font>
    <font>
      <sz val="9"/>
      <color rgb="FF00008B"/>
      <name val="Calibri"/>
      <family val="2"/>
    </font>
    <font>
      <sz val="8"/>
      <color rgb="FF7D3C00"/>
      <name val="Calibri"/>
      <family val="2"/>
    </font>
    <font>
      <b/>
      <sz val="9"/>
      <color rgb="FF7D3C00"/>
      <name val="Calibri"/>
      <family val="2"/>
    </font>
    <font>
      <b/>
      <sz val="11"/>
      <color rgb="FF00008B"/>
      <name val="Calibri"/>
      <family val="2"/>
    </font>
    <font>
      <i/>
      <sz val="8"/>
      <color rgb="FF7D3C00"/>
      <name val="Calibri"/>
      <family val="2"/>
    </font>
    <font>
      <sz val="9"/>
      <color rgb="FF7D3C00"/>
      <name val="Calibri"/>
      <family val="2"/>
    </font>
    <font>
      <b/>
      <sz val="10"/>
      <color rgb="FFFFFFFF"/>
      <name val="Calibri"/>
      <family val="2"/>
    </font>
    <font>
      <b/>
      <sz val="10"/>
      <color rgb="FF1C1C1C"/>
      <name val="Calibri"/>
      <family val="2"/>
    </font>
    <font>
      <sz val="8"/>
      <color rgb="FF4A1A82"/>
      <name val="Calibri"/>
      <family val="2"/>
    </font>
    <font>
      <i/>
      <sz val="8"/>
      <color rgb="FF4A1A82"/>
      <name val="Calibri"/>
      <family val="2"/>
    </font>
    <font>
      <b/>
      <sz val="9"/>
      <color rgb="FF4A1A82"/>
      <name val="Calibri"/>
      <family val="2"/>
    </font>
    <font>
      <sz val="9"/>
      <color rgb="FF4A1A82"/>
      <name val="Calibri"/>
      <family val="2"/>
    </font>
    <font>
      <b/>
      <sz val="12"/>
      <color rgb="FFFFFFFF"/>
      <name val="Calibri"/>
      <family val="2"/>
    </font>
    <font>
      <b/>
      <sz val="9"/>
      <color rgb="FF1C1C1C"/>
      <name val="Calibri"/>
      <family val="2"/>
    </font>
    <font>
      <b/>
      <sz val="11"/>
      <color rgb="FF1C1C1C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E3A5F"/>
        <bgColor rgb="FF1A5C38"/>
      </patternFill>
    </fill>
    <fill>
      <patternFill patternType="solid">
        <fgColor rgb="FFEAF4FF"/>
        <bgColor rgb="FFF4F6F8"/>
      </patternFill>
    </fill>
    <fill>
      <patternFill patternType="solid">
        <fgColor rgb="FF2E6DA4"/>
        <bgColor rgb="FF3366FF"/>
      </patternFill>
    </fill>
    <fill>
      <patternFill patternType="solid">
        <fgColor rgb="FFD4EFDF"/>
        <bgColor rgb="FFD6E4F0"/>
      </patternFill>
    </fill>
    <fill>
      <patternFill patternType="solid">
        <fgColor rgb="FFFCE4D6"/>
        <bgColor rgb="FFFFF3E0"/>
      </patternFill>
    </fill>
    <fill>
      <patternFill patternType="solid">
        <fgColor rgb="FFFFFFFF"/>
        <bgColor rgb="FFFFFDE7"/>
      </patternFill>
    </fill>
    <fill>
      <patternFill patternType="solid">
        <fgColor rgb="FFF2F2F2"/>
        <bgColor rgb="FFF4F6F8"/>
      </patternFill>
    </fill>
    <fill>
      <patternFill patternType="solid">
        <fgColor rgb="FFB7410E"/>
        <bgColor rgb="FF7D3C00"/>
      </patternFill>
    </fill>
    <fill>
      <patternFill patternType="solid">
        <fgColor rgb="FF1A5C38"/>
        <bgColor rgb="FF1E3A5F"/>
      </patternFill>
    </fill>
    <fill>
      <patternFill patternType="solid">
        <fgColor rgb="FFD6E4F0"/>
        <bgColor rgb="FFD4EFDF"/>
      </patternFill>
    </fill>
    <fill>
      <patternFill patternType="solid">
        <fgColor rgb="FFFFFDE7"/>
        <bgColor rgb="FFFFF3E0"/>
      </patternFill>
    </fill>
    <fill>
      <patternFill patternType="solid">
        <fgColor rgb="FFFFF3E0"/>
        <bgColor rgb="FFFFFDE7"/>
      </patternFill>
    </fill>
    <fill>
      <patternFill patternType="solid">
        <fgColor rgb="FF7D3C00"/>
        <bgColor rgb="FFB7410E"/>
      </patternFill>
    </fill>
    <fill>
      <patternFill patternType="solid">
        <fgColor rgb="FFF4F6F8"/>
        <bgColor rgb="FFF2F2F2"/>
      </patternFill>
    </fill>
    <fill>
      <patternFill patternType="solid">
        <fgColor rgb="FFEDE7F6"/>
        <bgColor rgb="FFF2F2F2"/>
      </patternFill>
    </fill>
    <fill>
      <patternFill patternType="solid">
        <fgColor rgb="FF4A1A82"/>
        <bgColor rgb="FF660066"/>
      </patternFill>
    </fill>
    <fill>
      <patternFill patternType="solid">
        <fgColor theme="5" tint="0.79998168889431442"/>
        <bgColor rgb="FFD6E4F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B7410E"/>
      </left>
      <right style="medium">
        <color rgb="FFB7410E"/>
      </right>
      <top style="medium">
        <color rgb="FFB7410E"/>
      </top>
      <bottom style="medium">
        <color rgb="FFB7410E"/>
      </bottom>
      <diagonal/>
    </border>
    <border>
      <left style="medium">
        <color rgb="FF4A1A82"/>
      </left>
      <right style="medium">
        <color rgb="FF4A1A82"/>
      </right>
      <top style="medium">
        <color rgb="FF4A1A82"/>
      </top>
      <bottom style="medium">
        <color rgb="FF4A1A82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right" vertical="center"/>
    </xf>
    <xf numFmtId="3" fontId="8" fillId="5" borderId="1" xfId="0" applyNumberFormat="1" applyFont="1" applyFill="1" applyBorder="1" applyAlignment="1">
      <alignment horizontal="right" vertical="center"/>
    </xf>
    <xf numFmtId="3" fontId="7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right" vertical="center"/>
    </xf>
    <xf numFmtId="164" fontId="7" fillId="3" borderId="1" xfId="0" applyNumberFormat="1" applyFont="1" applyFill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/>
    </xf>
    <xf numFmtId="3" fontId="11" fillId="5" borderId="1" xfId="0" applyNumberFormat="1" applyFont="1" applyFill="1" applyBorder="1" applyAlignment="1">
      <alignment horizontal="right" vertical="center"/>
    </xf>
    <xf numFmtId="164" fontId="9" fillId="10" borderId="1" xfId="0" applyNumberFormat="1" applyFont="1" applyFill="1" applyBorder="1" applyAlignment="1">
      <alignment horizontal="right" vertical="center"/>
    </xf>
    <xf numFmtId="164" fontId="13" fillId="11" borderId="1" xfId="0" applyNumberFormat="1" applyFont="1" applyFill="1" applyBorder="1" applyAlignment="1">
      <alignment horizontal="right" vertical="center"/>
    </xf>
    <xf numFmtId="10" fontId="13" fillId="11" borderId="1" xfId="0" applyNumberFormat="1" applyFont="1" applyFill="1" applyBorder="1" applyAlignment="1">
      <alignment horizontal="right" vertical="center"/>
    </xf>
    <xf numFmtId="10" fontId="15" fillId="3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3" fontId="5" fillId="11" borderId="1" xfId="0" applyNumberFormat="1" applyFont="1" applyFill="1" applyBorder="1" applyAlignment="1">
      <alignment horizontal="right" vertical="center"/>
    </xf>
    <xf numFmtId="3" fontId="13" fillId="11" borderId="1" xfId="0" applyNumberFormat="1" applyFont="1" applyFill="1" applyBorder="1" applyAlignment="1">
      <alignment horizontal="right" vertical="center"/>
    </xf>
    <xf numFmtId="3" fontId="16" fillId="12" borderId="1" xfId="0" applyNumberFormat="1" applyFont="1" applyFill="1" applyBorder="1" applyAlignment="1">
      <alignment horizontal="right" vertical="center"/>
    </xf>
    <xf numFmtId="3" fontId="1" fillId="10" borderId="1" xfId="0" applyNumberFormat="1" applyFont="1" applyFill="1" applyBorder="1" applyAlignment="1">
      <alignment horizontal="right" vertical="center"/>
    </xf>
    <xf numFmtId="0" fontId="18" fillId="13" borderId="1" xfId="0" applyFont="1" applyFill="1" applyBorder="1" applyAlignment="1">
      <alignment horizontal="left" vertical="center"/>
    </xf>
    <xf numFmtId="10" fontId="19" fillId="12" borderId="2" xfId="0" applyNumberFormat="1" applyFont="1" applyFill="1" applyBorder="1" applyAlignment="1">
      <alignment horizontal="right" vertical="center"/>
    </xf>
    <xf numFmtId="0" fontId="20" fillId="7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3" fontId="21" fillId="6" borderId="1" xfId="0" applyNumberFormat="1" applyFont="1" applyFill="1" applyBorder="1" applyAlignment="1">
      <alignment horizontal="right" vertical="center"/>
    </xf>
    <xf numFmtId="3" fontId="13" fillId="3" borderId="1" xfId="0" applyNumberFormat="1" applyFont="1" applyFill="1" applyBorder="1" applyAlignment="1">
      <alignment horizontal="right" vertical="center"/>
    </xf>
    <xf numFmtId="165" fontId="7" fillId="15" borderId="1" xfId="0" applyNumberFormat="1" applyFont="1" applyFill="1" applyBorder="1" applyAlignment="1">
      <alignment horizontal="right" vertical="center"/>
    </xf>
    <xf numFmtId="0" fontId="18" fillId="7" borderId="1" xfId="0" applyFont="1" applyFill="1" applyBorder="1" applyAlignment="1">
      <alignment horizontal="center" vertical="center"/>
    </xf>
    <xf numFmtId="165" fontId="22" fillId="10" borderId="1" xfId="0" applyNumberFormat="1" applyFont="1" applyFill="1" applyBorder="1" applyAlignment="1">
      <alignment horizontal="right" vertical="center"/>
    </xf>
    <xf numFmtId="165" fontId="22" fillId="4" borderId="1" xfId="0" applyNumberFormat="1" applyFont="1" applyFill="1" applyBorder="1" applyAlignment="1">
      <alignment horizontal="right" vertical="center"/>
    </xf>
    <xf numFmtId="165" fontId="23" fillId="15" borderId="1" xfId="0" applyNumberFormat="1" applyFont="1" applyFill="1" applyBorder="1" applyAlignment="1">
      <alignment horizontal="right" vertical="center"/>
    </xf>
    <xf numFmtId="0" fontId="9" fillId="17" borderId="1" xfId="0" applyFont="1" applyFill="1" applyBorder="1" applyAlignment="1">
      <alignment horizontal="left" vertical="center"/>
    </xf>
    <xf numFmtId="10" fontId="19" fillId="12" borderId="3" xfId="0" applyNumberFormat="1" applyFont="1" applyFill="1" applyBorder="1" applyAlignment="1">
      <alignment horizontal="right" vertical="center"/>
    </xf>
    <xf numFmtId="0" fontId="25" fillId="7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3" fontId="27" fillId="16" borderId="1" xfId="0" applyNumberFormat="1" applyFont="1" applyFill="1" applyBorder="1" applyAlignment="1">
      <alignment horizontal="right" vertical="center"/>
    </xf>
    <xf numFmtId="0" fontId="26" fillId="7" borderId="1" xfId="0" applyFont="1" applyFill="1" applyBorder="1" applyAlignment="1">
      <alignment horizontal="center" vertical="center"/>
    </xf>
    <xf numFmtId="165" fontId="22" fillId="17" borderId="1" xfId="0" applyNumberFormat="1" applyFont="1" applyFill="1" applyBorder="1" applyAlignment="1">
      <alignment horizontal="right" vertical="center"/>
    </xf>
    <xf numFmtId="10" fontId="18" fillId="13" borderId="1" xfId="0" applyNumberFormat="1" applyFont="1" applyFill="1" applyBorder="1" applyAlignment="1">
      <alignment horizontal="right" vertical="center"/>
    </xf>
    <xf numFmtId="0" fontId="26" fillId="16" borderId="1" xfId="0" applyFont="1" applyFill="1" applyBorder="1" applyAlignment="1">
      <alignment horizontal="left" vertical="center"/>
    </xf>
    <xf numFmtId="10" fontId="26" fillId="16" borderId="1" xfId="0" applyNumberFormat="1" applyFont="1" applyFill="1" applyBorder="1" applyAlignment="1">
      <alignment horizontal="right" vertical="center"/>
    </xf>
    <xf numFmtId="0" fontId="29" fillId="15" borderId="1" xfId="0" applyFont="1" applyFill="1" applyBorder="1" applyAlignment="1">
      <alignment horizontal="left" vertical="center"/>
    </xf>
    <xf numFmtId="166" fontId="29" fillId="15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67" fontId="7" fillId="15" borderId="1" xfId="0" applyNumberFormat="1" applyFont="1" applyFill="1" applyBorder="1" applyAlignment="1">
      <alignment horizontal="right" vertical="center"/>
    </xf>
    <xf numFmtId="165" fontId="1" fillId="4" borderId="1" xfId="0" applyNumberFormat="1" applyFont="1" applyFill="1" applyBorder="1" applyAlignment="1">
      <alignment horizontal="right" vertical="center"/>
    </xf>
    <xf numFmtId="165" fontId="1" fillId="9" borderId="1" xfId="0" applyNumberFormat="1" applyFont="1" applyFill="1" applyBorder="1" applyAlignment="1">
      <alignment horizontal="right" vertical="center"/>
    </xf>
    <xf numFmtId="165" fontId="1" fillId="17" borderId="1" xfId="0" applyNumberFormat="1" applyFont="1" applyFill="1" applyBorder="1" applyAlignment="1">
      <alignment horizontal="right" vertical="center"/>
    </xf>
    <xf numFmtId="165" fontId="30" fillId="15" borderId="1" xfId="0" applyNumberFormat="1" applyFont="1" applyFill="1" applyBorder="1" applyAlignment="1">
      <alignment horizontal="right" vertical="center"/>
    </xf>
    <xf numFmtId="3" fontId="7" fillId="8" borderId="1" xfId="0" applyNumberFormat="1" applyFont="1" applyFill="1" applyBorder="1" applyAlignment="1">
      <alignment horizontal="right" vertical="center"/>
    </xf>
    <xf numFmtId="0" fontId="9" fillId="10" borderId="1" xfId="0" applyFont="1" applyFill="1" applyBorder="1" applyAlignment="1">
      <alignment vertical="center"/>
    </xf>
    <xf numFmtId="3" fontId="11" fillId="18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38"/>
      <rgbColor rgb="FF00008B"/>
      <rgbColor rgb="FF808000"/>
      <rgbColor rgb="FF800080"/>
      <rgbColor rgb="FF008080"/>
      <rgbColor rgb="FFCCCCCC"/>
      <rgbColor rgb="FF808080"/>
      <rgbColor rgb="FF9999FF"/>
      <rgbColor rgb="FFB7410E"/>
      <rgbColor rgb="FFFFFDE7"/>
      <rgbColor rgb="FFEAF4FF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D4EFDF"/>
      <rgbColor rgb="FFFFF3E0"/>
      <rgbColor rgb="FFEDE7F6"/>
      <rgbColor rgb="FFF2F2F2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3A5F"/>
      <rgbColor rgb="FF339966"/>
      <rgbColor rgb="FF003300"/>
      <rgbColor rgb="FF333300"/>
      <rgbColor rgb="FF7D3C00"/>
      <rgbColor rgb="FF993366"/>
      <rgbColor rgb="FF4A1A82"/>
      <rgbColor rgb="FF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"/>
  <sheetViews>
    <sheetView showGridLines="0" zoomScaleNormal="100" workbookViewId="0">
      <pane xSplit="2" ySplit="3" topLeftCell="O4" activePane="bottomRight" state="frozen"/>
      <selection pane="topRight" activeCell="C1" sqref="C1"/>
      <selection pane="bottomLeft" activeCell="A4" sqref="A4"/>
      <selection pane="bottomRight" activeCell="Y6" sqref="Y6"/>
    </sheetView>
  </sheetViews>
  <sheetFormatPr baseColWidth="10" defaultColWidth="8.6640625" defaultRowHeight="14.4" x14ac:dyDescent="0.3"/>
  <cols>
    <col min="1" max="2" width="10" customWidth="1"/>
    <col min="3" max="29" width="12" customWidth="1"/>
  </cols>
  <sheetData>
    <row r="1" spans="1:29" ht="25.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ht="15.7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29" ht="27.75" customHeight="1" x14ac:dyDescent="0.3">
      <c r="A3" s="12" t="s">
        <v>2</v>
      </c>
      <c r="B3" s="12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16</v>
      </c>
      <c r="P3" s="13" t="s">
        <v>17</v>
      </c>
      <c r="Q3" s="13" t="s">
        <v>18</v>
      </c>
      <c r="R3" s="13" t="s">
        <v>19</v>
      </c>
      <c r="S3" s="13" t="s">
        <v>20</v>
      </c>
      <c r="T3" s="13" t="s">
        <v>21</v>
      </c>
      <c r="U3" s="13" t="s">
        <v>22</v>
      </c>
      <c r="V3" s="13" t="s">
        <v>23</v>
      </c>
      <c r="W3" s="13" t="s">
        <v>24</v>
      </c>
      <c r="X3" s="13" t="s">
        <v>25</v>
      </c>
      <c r="Y3" s="13" t="s">
        <v>26</v>
      </c>
      <c r="Z3" s="13" t="s">
        <v>27</v>
      </c>
      <c r="AA3" s="13" t="s">
        <v>28</v>
      </c>
      <c r="AB3" s="14" t="s">
        <v>29</v>
      </c>
      <c r="AC3" s="14" t="s">
        <v>30</v>
      </c>
    </row>
    <row r="4" spans="1:29" ht="15" customHeight="1" x14ac:dyDescent="0.3">
      <c r="A4" s="15" t="s">
        <v>31</v>
      </c>
      <c r="B4" s="16" t="s">
        <v>32</v>
      </c>
      <c r="C4" s="17">
        <v>8043230</v>
      </c>
      <c r="D4" s="17">
        <v>12749167</v>
      </c>
      <c r="E4" s="17">
        <v>16473151</v>
      </c>
      <c r="F4" s="17">
        <v>20490701</v>
      </c>
      <c r="G4" s="17">
        <v>23608335</v>
      </c>
      <c r="H4" s="17">
        <v>27627507</v>
      </c>
      <c r="I4" s="17">
        <v>32596498</v>
      </c>
      <c r="J4" s="17">
        <v>36181589</v>
      </c>
      <c r="K4" s="17">
        <v>37392902</v>
      </c>
      <c r="L4" s="17">
        <v>39642407</v>
      </c>
      <c r="M4" s="17">
        <v>41059821</v>
      </c>
      <c r="N4" s="17">
        <v>42891272</v>
      </c>
      <c r="O4" s="17">
        <v>44085473</v>
      </c>
      <c r="P4" s="17">
        <v>44497842</v>
      </c>
      <c r="Q4" s="17">
        <v>45568358</v>
      </c>
      <c r="R4" s="17">
        <v>46813892</v>
      </c>
      <c r="S4" s="17">
        <v>47246038</v>
      </c>
      <c r="T4" s="17">
        <v>47967056</v>
      </c>
      <c r="U4" s="17">
        <v>48296965</v>
      </c>
      <c r="V4" s="17">
        <v>48755419</v>
      </c>
      <c r="W4" s="17">
        <v>49303699</v>
      </c>
      <c r="X4" s="17">
        <v>49380886</v>
      </c>
      <c r="Y4" s="17">
        <v>49649946</v>
      </c>
      <c r="Z4" s="17">
        <v>49794831</v>
      </c>
      <c r="AA4" s="18">
        <v>49970260</v>
      </c>
      <c r="AB4" s="19">
        <v>73529411</v>
      </c>
      <c r="AC4" s="19">
        <v>74396187</v>
      </c>
    </row>
    <row r="5" spans="1:29" ht="15" customHeight="1" x14ac:dyDescent="0.3">
      <c r="A5" s="20" t="s">
        <v>33</v>
      </c>
      <c r="B5" s="21" t="s">
        <v>34</v>
      </c>
      <c r="C5" s="22">
        <v>8026787</v>
      </c>
      <c r="D5" s="22">
        <v>12478218</v>
      </c>
      <c r="E5" s="22">
        <v>16561110</v>
      </c>
      <c r="F5" s="22">
        <v>19671914</v>
      </c>
      <c r="G5" s="22">
        <v>23896258</v>
      </c>
      <c r="H5" s="22">
        <v>27806005</v>
      </c>
      <c r="I5" s="22">
        <v>33182773</v>
      </c>
      <c r="J5" s="22">
        <v>36270491</v>
      </c>
      <c r="K5" s="22">
        <v>37629155</v>
      </c>
      <c r="L5" s="22">
        <v>40293411</v>
      </c>
      <c r="M5" s="22">
        <v>41332746</v>
      </c>
      <c r="N5" s="22">
        <v>43695091</v>
      </c>
      <c r="O5" s="22">
        <v>44033840</v>
      </c>
      <c r="P5" s="22">
        <v>45247872</v>
      </c>
      <c r="Q5" s="22">
        <v>46619184</v>
      </c>
      <c r="R5" s="22">
        <v>47705616</v>
      </c>
      <c r="S5" s="22">
        <v>48088887</v>
      </c>
      <c r="T5" s="22">
        <v>48548192</v>
      </c>
      <c r="U5" s="22">
        <v>49027700</v>
      </c>
      <c r="V5" s="22">
        <v>49404837</v>
      </c>
      <c r="W5" s="22">
        <v>49751067</v>
      </c>
      <c r="X5" s="22">
        <v>50026159</v>
      </c>
      <c r="Y5" s="22">
        <v>50392506</v>
      </c>
      <c r="Z5" s="18">
        <v>50579274</v>
      </c>
      <c r="AA5" s="23"/>
      <c r="AB5" s="19">
        <v>74520233</v>
      </c>
      <c r="AC5" s="19">
        <v>73564016</v>
      </c>
    </row>
    <row r="6" spans="1:29" ht="15" customHeight="1" x14ac:dyDescent="0.3">
      <c r="A6" s="15" t="s">
        <v>35</v>
      </c>
      <c r="B6" s="16" t="s">
        <v>36</v>
      </c>
      <c r="C6" s="17">
        <v>7547459</v>
      </c>
      <c r="D6" s="17">
        <v>13305190</v>
      </c>
      <c r="E6" s="17">
        <v>16410123</v>
      </c>
      <c r="F6" s="17">
        <v>19898245</v>
      </c>
      <c r="G6" s="17">
        <v>24703335</v>
      </c>
      <c r="H6" s="17">
        <v>29063602</v>
      </c>
      <c r="I6" s="17">
        <v>33129961</v>
      </c>
      <c r="J6" s="17">
        <v>36336823</v>
      </c>
      <c r="K6" s="17">
        <v>38481672</v>
      </c>
      <c r="L6" s="17">
        <v>40628864</v>
      </c>
      <c r="M6" s="17">
        <v>42718987</v>
      </c>
      <c r="N6" s="17">
        <v>44050445</v>
      </c>
      <c r="O6" s="17">
        <v>45153748</v>
      </c>
      <c r="P6" s="17">
        <v>45915529</v>
      </c>
      <c r="Q6" s="17">
        <v>46926085</v>
      </c>
      <c r="R6" s="17">
        <v>48363556</v>
      </c>
      <c r="S6" s="17">
        <v>48946892</v>
      </c>
      <c r="T6" s="17">
        <v>49209093</v>
      </c>
      <c r="U6" s="17">
        <v>49862927</v>
      </c>
      <c r="V6" s="17">
        <v>50284216</v>
      </c>
      <c r="W6" s="17">
        <v>50428976</v>
      </c>
      <c r="X6" s="17">
        <v>50771759</v>
      </c>
      <c r="Y6" s="18">
        <v>51107802</v>
      </c>
      <c r="Z6" s="23"/>
      <c r="AA6" s="23"/>
      <c r="AB6" s="19">
        <v>75524406</v>
      </c>
      <c r="AC6" s="19">
        <v>74286643</v>
      </c>
    </row>
    <row r="7" spans="1:29" ht="15" customHeight="1" x14ac:dyDescent="0.3">
      <c r="A7" s="20" t="s">
        <v>37</v>
      </c>
      <c r="B7" s="21" t="s">
        <v>38</v>
      </c>
      <c r="C7" s="22">
        <v>8196316</v>
      </c>
      <c r="D7" s="22">
        <v>14072883</v>
      </c>
      <c r="E7" s="22">
        <v>15565617</v>
      </c>
      <c r="F7" s="22">
        <v>20952216</v>
      </c>
      <c r="G7" s="22">
        <v>24749531</v>
      </c>
      <c r="H7" s="22">
        <v>28724252</v>
      </c>
      <c r="I7" s="22">
        <v>33121092</v>
      </c>
      <c r="J7" s="22">
        <v>36239250</v>
      </c>
      <c r="K7" s="22">
        <v>39042314</v>
      </c>
      <c r="L7" s="22">
        <v>41187384</v>
      </c>
      <c r="M7" s="22">
        <v>43489183</v>
      </c>
      <c r="N7" s="22">
        <v>44630626</v>
      </c>
      <c r="O7" s="22">
        <v>45574135</v>
      </c>
      <c r="P7" s="22">
        <v>46694631</v>
      </c>
      <c r="Q7" s="22">
        <v>48052882</v>
      </c>
      <c r="R7" s="22">
        <v>48915394</v>
      </c>
      <c r="S7" s="22">
        <v>49268124</v>
      </c>
      <c r="T7" s="22">
        <v>49963443</v>
      </c>
      <c r="U7" s="22">
        <v>50411848</v>
      </c>
      <c r="V7" s="22">
        <v>51033429</v>
      </c>
      <c r="W7" s="22">
        <v>51102720</v>
      </c>
      <c r="X7" s="18">
        <v>51395178</v>
      </c>
      <c r="Y7" s="23"/>
      <c r="Z7" s="23"/>
      <c r="AA7" s="23"/>
      <c r="AB7" s="19">
        <v>76542111</v>
      </c>
      <c r="AC7" s="19">
        <v>76777775</v>
      </c>
    </row>
    <row r="8" spans="1:29" ht="15" customHeight="1" x14ac:dyDescent="0.3">
      <c r="A8" s="15" t="s">
        <v>39</v>
      </c>
      <c r="B8" s="16" t="s">
        <v>40</v>
      </c>
      <c r="C8" s="17">
        <v>8189220</v>
      </c>
      <c r="D8" s="17">
        <v>12850472</v>
      </c>
      <c r="E8" s="17">
        <v>17199059</v>
      </c>
      <c r="F8" s="17">
        <v>20932964</v>
      </c>
      <c r="G8" s="17">
        <v>25037960</v>
      </c>
      <c r="H8" s="17">
        <v>29146772</v>
      </c>
      <c r="I8" s="17">
        <v>32754663</v>
      </c>
      <c r="J8" s="17">
        <v>37542026</v>
      </c>
      <c r="K8" s="17">
        <v>39509804</v>
      </c>
      <c r="L8" s="17">
        <v>41243551</v>
      </c>
      <c r="M8" s="17">
        <v>43435080</v>
      </c>
      <c r="N8" s="17">
        <v>45553651</v>
      </c>
      <c r="O8" s="17">
        <v>47018570</v>
      </c>
      <c r="P8" s="17">
        <v>47506350</v>
      </c>
      <c r="Q8" s="17">
        <v>48543727</v>
      </c>
      <c r="R8" s="17">
        <v>49490339</v>
      </c>
      <c r="S8" s="17">
        <v>49680980</v>
      </c>
      <c r="T8" s="17">
        <v>50551414</v>
      </c>
      <c r="U8" s="17">
        <v>51086096</v>
      </c>
      <c r="V8" s="17">
        <v>51900283</v>
      </c>
      <c r="W8" s="18">
        <v>52457834</v>
      </c>
      <c r="X8" s="23"/>
      <c r="Y8" s="23"/>
      <c r="Z8" s="23"/>
      <c r="AA8" s="23"/>
      <c r="AB8" s="19">
        <v>77573529</v>
      </c>
      <c r="AC8" s="19">
        <v>78595028</v>
      </c>
    </row>
    <row r="9" spans="1:29" ht="15" customHeight="1" x14ac:dyDescent="0.3">
      <c r="A9" s="20" t="s">
        <v>41</v>
      </c>
      <c r="B9" s="21" t="s">
        <v>42</v>
      </c>
      <c r="C9" s="22">
        <v>8533077</v>
      </c>
      <c r="D9" s="22">
        <v>13680302</v>
      </c>
      <c r="E9" s="22">
        <v>16690403</v>
      </c>
      <c r="F9" s="22">
        <v>21697562</v>
      </c>
      <c r="G9" s="22">
        <v>25794797</v>
      </c>
      <c r="H9" s="22">
        <v>30117551</v>
      </c>
      <c r="I9" s="22">
        <v>33470325</v>
      </c>
      <c r="J9" s="22">
        <v>39031531</v>
      </c>
      <c r="K9" s="22">
        <v>39534504</v>
      </c>
      <c r="L9" s="22">
        <v>42405783</v>
      </c>
      <c r="M9" s="22">
        <v>44954118</v>
      </c>
      <c r="N9" s="22">
        <v>45675532</v>
      </c>
      <c r="O9" s="22">
        <v>46885671</v>
      </c>
      <c r="P9" s="22">
        <v>48125981</v>
      </c>
      <c r="Q9" s="22">
        <v>49014808</v>
      </c>
      <c r="R9" s="22">
        <v>49846037</v>
      </c>
      <c r="S9" s="22">
        <v>50714853</v>
      </c>
      <c r="T9" s="22">
        <v>51067131</v>
      </c>
      <c r="U9" s="22">
        <v>51832054</v>
      </c>
      <c r="V9" s="18">
        <v>52189573</v>
      </c>
      <c r="W9" s="23"/>
      <c r="X9" s="23"/>
      <c r="Y9" s="23"/>
      <c r="Z9" s="23"/>
      <c r="AA9" s="23"/>
      <c r="AB9" s="19">
        <v>78618846</v>
      </c>
      <c r="AC9" s="19">
        <v>78256129</v>
      </c>
    </row>
    <row r="10" spans="1:29" ht="15" customHeight="1" x14ac:dyDescent="0.3">
      <c r="A10" s="15" t="s">
        <v>43</v>
      </c>
      <c r="B10" s="16" t="s">
        <v>44</v>
      </c>
      <c r="C10" s="17">
        <v>9090871</v>
      </c>
      <c r="D10" s="17">
        <v>13511905</v>
      </c>
      <c r="E10" s="17">
        <v>17345041</v>
      </c>
      <c r="F10" s="17">
        <v>21806021</v>
      </c>
      <c r="G10" s="17">
        <v>25028889</v>
      </c>
      <c r="H10" s="17">
        <v>30200086</v>
      </c>
      <c r="I10" s="17">
        <v>35166411</v>
      </c>
      <c r="J10" s="17">
        <v>37925306</v>
      </c>
      <c r="K10" s="17">
        <v>40840433</v>
      </c>
      <c r="L10" s="17">
        <v>42831737</v>
      </c>
      <c r="M10" s="17">
        <v>44990674</v>
      </c>
      <c r="N10" s="17">
        <v>46203474</v>
      </c>
      <c r="O10" s="17">
        <v>47281109</v>
      </c>
      <c r="P10" s="17">
        <v>48891844</v>
      </c>
      <c r="Q10" s="17">
        <v>49870444</v>
      </c>
      <c r="R10" s="17">
        <v>50902793</v>
      </c>
      <c r="S10" s="17">
        <v>51450099</v>
      </c>
      <c r="T10" s="17">
        <v>51817100</v>
      </c>
      <c r="U10" s="18">
        <v>52496431</v>
      </c>
      <c r="V10" s="23"/>
      <c r="W10" s="23"/>
      <c r="X10" s="23"/>
      <c r="Y10" s="23"/>
      <c r="Z10" s="23"/>
      <c r="AA10" s="23"/>
      <c r="AB10" s="19">
        <v>79678248</v>
      </c>
      <c r="AC10" s="19">
        <v>81976635</v>
      </c>
    </row>
    <row r="11" spans="1:29" ht="15" customHeight="1" x14ac:dyDescent="0.3">
      <c r="A11" s="20" t="s">
        <v>45</v>
      </c>
      <c r="B11" s="21" t="s">
        <v>46</v>
      </c>
      <c r="C11" s="22">
        <v>8761626</v>
      </c>
      <c r="D11" s="22">
        <v>13726504</v>
      </c>
      <c r="E11" s="22">
        <v>18756182</v>
      </c>
      <c r="F11" s="22">
        <v>21909222</v>
      </c>
      <c r="G11" s="22">
        <v>25388197</v>
      </c>
      <c r="H11" s="22">
        <v>30856195</v>
      </c>
      <c r="I11" s="22">
        <v>34341954</v>
      </c>
      <c r="J11" s="22">
        <v>39746500</v>
      </c>
      <c r="K11" s="22">
        <v>41879308</v>
      </c>
      <c r="L11" s="22">
        <v>42925218</v>
      </c>
      <c r="M11" s="22">
        <v>45670877</v>
      </c>
      <c r="N11" s="22">
        <v>47423287</v>
      </c>
      <c r="O11" s="22">
        <v>48601882</v>
      </c>
      <c r="P11" s="22">
        <v>49939887</v>
      </c>
      <c r="Q11" s="22">
        <v>50408360</v>
      </c>
      <c r="R11" s="22">
        <v>51370763</v>
      </c>
      <c r="S11" s="22">
        <v>51910061</v>
      </c>
      <c r="T11" s="18">
        <v>52493077</v>
      </c>
      <c r="U11" s="23"/>
      <c r="V11" s="23"/>
      <c r="W11" s="23"/>
      <c r="X11" s="23"/>
      <c r="Y11" s="23"/>
      <c r="Z11" s="23"/>
      <c r="AA11" s="23"/>
      <c r="AB11" s="19">
        <v>80751927</v>
      </c>
      <c r="AC11" s="19">
        <v>81647448</v>
      </c>
    </row>
    <row r="12" spans="1:29" ht="15" customHeight="1" x14ac:dyDescent="0.3">
      <c r="A12" s="15" t="s">
        <v>47</v>
      </c>
      <c r="B12" s="16" t="s">
        <v>48</v>
      </c>
      <c r="C12" s="17">
        <v>8749177</v>
      </c>
      <c r="D12" s="17">
        <v>14426300</v>
      </c>
      <c r="E12" s="17">
        <v>18134563</v>
      </c>
      <c r="F12" s="17">
        <v>22405469</v>
      </c>
      <c r="G12" s="17">
        <v>26419623</v>
      </c>
      <c r="H12" s="17">
        <v>31746466</v>
      </c>
      <c r="I12" s="17">
        <v>35208936</v>
      </c>
      <c r="J12" s="17">
        <v>41386939</v>
      </c>
      <c r="K12" s="17">
        <v>42171998</v>
      </c>
      <c r="L12" s="17">
        <v>43487191</v>
      </c>
      <c r="M12" s="17">
        <v>45453496</v>
      </c>
      <c r="N12" s="17">
        <v>48088062</v>
      </c>
      <c r="O12" s="17">
        <v>48917465</v>
      </c>
      <c r="P12" s="17">
        <v>50273293</v>
      </c>
      <c r="Q12" s="17">
        <v>51267767</v>
      </c>
      <c r="R12" s="17">
        <v>52212664</v>
      </c>
      <c r="S12" s="18">
        <v>52617714</v>
      </c>
      <c r="T12" s="23"/>
      <c r="U12" s="23"/>
      <c r="V12" s="23"/>
      <c r="W12" s="23"/>
      <c r="X12" s="23"/>
      <c r="Y12" s="23"/>
      <c r="Z12" s="23"/>
      <c r="AA12" s="23"/>
      <c r="AB12" s="19">
        <v>81840073</v>
      </c>
      <c r="AC12" s="19">
        <v>81746441</v>
      </c>
    </row>
    <row r="13" spans="1:29" ht="15" customHeight="1" x14ac:dyDescent="0.3">
      <c r="A13" s="20" t="s">
        <v>49</v>
      </c>
      <c r="B13" s="21" t="s">
        <v>50</v>
      </c>
      <c r="C13" s="22">
        <v>8371517</v>
      </c>
      <c r="D13" s="22">
        <v>14229540</v>
      </c>
      <c r="E13" s="22">
        <v>18697376</v>
      </c>
      <c r="F13" s="22">
        <v>22355074</v>
      </c>
      <c r="G13" s="22">
        <v>26045884</v>
      </c>
      <c r="H13" s="22">
        <v>31405240</v>
      </c>
      <c r="I13" s="22">
        <v>36062571</v>
      </c>
      <c r="J13" s="22">
        <v>39881124</v>
      </c>
      <c r="K13" s="22">
        <v>42497948</v>
      </c>
      <c r="L13" s="22">
        <v>44493523</v>
      </c>
      <c r="M13" s="22">
        <v>46036365</v>
      </c>
      <c r="N13" s="22">
        <v>48689399</v>
      </c>
      <c r="O13" s="22">
        <v>49834379</v>
      </c>
      <c r="P13" s="22">
        <v>51057856</v>
      </c>
      <c r="Q13" s="22">
        <v>52106577</v>
      </c>
      <c r="R13" s="18">
        <v>52625937</v>
      </c>
      <c r="S13" s="23"/>
      <c r="T13" s="23"/>
      <c r="U13" s="23"/>
      <c r="V13" s="23"/>
      <c r="W13" s="23"/>
      <c r="X13" s="23"/>
      <c r="Y13" s="23"/>
      <c r="Z13" s="23"/>
      <c r="AA13" s="23"/>
      <c r="AB13" s="19">
        <v>82942882</v>
      </c>
      <c r="AC13" s="19">
        <v>82405997</v>
      </c>
    </row>
    <row r="14" spans="1:29" ht="15" customHeight="1" x14ac:dyDescent="0.3">
      <c r="A14" s="15" t="s">
        <v>51</v>
      </c>
      <c r="B14" s="16" t="s">
        <v>52</v>
      </c>
      <c r="C14" s="17">
        <v>8682427</v>
      </c>
      <c r="D14" s="17">
        <v>14906686</v>
      </c>
      <c r="E14" s="17">
        <v>18757916</v>
      </c>
      <c r="F14" s="17">
        <v>22830889</v>
      </c>
      <c r="G14" s="17">
        <v>29522980</v>
      </c>
      <c r="H14" s="17">
        <v>32068510</v>
      </c>
      <c r="I14" s="17">
        <v>36997185</v>
      </c>
      <c r="J14" s="17">
        <v>41471804</v>
      </c>
      <c r="K14" s="17">
        <v>43329632</v>
      </c>
      <c r="L14" s="17">
        <v>43726919.25</v>
      </c>
      <c r="M14" s="17">
        <v>47455481</v>
      </c>
      <c r="N14" s="17">
        <v>48918769</v>
      </c>
      <c r="O14" s="17">
        <v>50240254</v>
      </c>
      <c r="P14" s="17">
        <v>51286052</v>
      </c>
      <c r="Q14" s="18">
        <v>52557910</v>
      </c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19">
        <v>84060552</v>
      </c>
      <c r="AC14" s="19">
        <v>83269600</v>
      </c>
    </row>
    <row r="15" spans="1:29" ht="15" customHeight="1" x14ac:dyDescent="0.3">
      <c r="A15" s="20" t="s">
        <v>53</v>
      </c>
      <c r="B15" s="21" t="s">
        <v>54</v>
      </c>
      <c r="C15" s="22">
        <v>10022030</v>
      </c>
      <c r="D15" s="22">
        <v>13917909</v>
      </c>
      <c r="E15" s="22">
        <v>19108092</v>
      </c>
      <c r="F15" s="22">
        <v>21916301</v>
      </c>
      <c r="G15" s="22">
        <v>27210886</v>
      </c>
      <c r="H15" s="22">
        <v>32820335</v>
      </c>
      <c r="I15" s="22">
        <v>36848132</v>
      </c>
      <c r="J15" s="22">
        <v>40852155</v>
      </c>
      <c r="K15" s="22">
        <v>43196364</v>
      </c>
      <c r="L15" s="22">
        <v>43896309</v>
      </c>
      <c r="M15" s="22">
        <v>47459873</v>
      </c>
      <c r="N15" s="22">
        <v>49956170</v>
      </c>
      <c r="O15" s="22">
        <v>51012409</v>
      </c>
      <c r="P15" s="18">
        <v>51927991</v>
      </c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19">
        <v>85193283</v>
      </c>
      <c r="AC15" s="19">
        <v>86364093</v>
      </c>
    </row>
    <row r="16" spans="1:29" ht="15" customHeight="1" x14ac:dyDescent="0.3">
      <c r="A16" s="15" t="s">
        <v>55</v>
      </c>
      <c r="B16" s="16" t="s">
        <v>56</v>
      </c>
      <c r="C16" s="17">
        <v>10087956</v>
      </c>
      <c r="D16" s="17">
        <v>15373929</v>
      </c>
      <c r="E16" s="17">
        <v>17870492</v>
      </c>
      <c r="F16" s="17">
        <v>23254623</v>
      </c>
      <c r="G16" s="17">
        <v>27462859</v>
      </c>
      <c r="H16" s="17">
        <v>33114279</v>
      </c>
      <c r="I16" s="17">
        <v>36827916</v>
      </c>
      <c r="J16" s="17">
        <v>41964520</v>
      </c>
      <c r="K16" s="17">
        <v>44426818</v>
      </c>
      <c r="L16" s="17">
        <v>44996619.5</v>
      </c>
      <c r="M16" s="17">
        <v>47898086</v>
      </c>
      <c r="N16" s="17">
        <v>50415504</v>
      </c>
      <c r="O16" s="18">
        <v>51522184</v>
      </c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19">
        <v>86341277</v>
      </c>
      <c r="AC16" s="19">
        <v>86023052</v>
      </c>
    </row>
    <row r="17" spans="1:29" ht="15" customHeight="1" x14ac:dyDescent="0.3">
      <c r="A17" s="20" t="s">
        <v>57</v>
      </c>
      <c r="B17" s="21" t="s">
        <v>58</v>
      </c>
      <c r="C17" s="22">
        <v>9141610</v>
      </c>
      <c r="D17" s="22">
        <v>16200065</v>
      </c>
      <c r="E17" s="22">
        <v>19463623</v>
      </c>
      <c r="F17" s="22">
        <v>22713844</v>
      </c>
      <c r="G17" s="22">
        <v>28815023</v>
      </c>
      <c r="H17" s="22">
        <v>34375385</v>
      </c>
      <c r="I17" s="22">
        <v>38448539</v>
      </c>
      <c r="J17" s="22">
        <v>41701968</v>
      </c>
      <c r="K17" s="22">
        <v>44492052</v>
      </c>
      <c r="L17" s="22">
        <v>45252217.25</v>
      </c>
      <c r="M17" s="22">
        <v>48757427</v>
      </c>
      <c r="N17" s="18">
        <v>51401276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19">
        <v>87504741</v>
      </c>
      <c r="AC17" s="19">
        <v>85192925</v>
      </c>
    </row>
    <row r="18" spans="1:29" ht="15" customHeight="1" x14ac:dyDescent="0.3">
      <c r="A18" s="15" t="s">
        <v>59</v>
      </c>
      <c r="B18" s="16" t="s">
        <v>60</v>
      </c>
      <c r="C18" s="17">
        <v>9809392</v>
      </c>
      <c r="D18" s="17">
        <v>14964880</v>
      </c>
      <c r="E18" s="17">
        <f>19456240+10000000</f>
        <v>29456240</v>
      </c>
      <c r="F18" s="17">
        <v>21886059</v>
      </c>
      <c r="G18" s="17">
        <v>27984336</v>
      </c>
      <c r="H18" s="17">
        <v>33309956</v>
      </c>
      <c r="I18" s="17">
        <v>37548097</v>
      </c>
      <c r="J18" s="17">
        <v>44170211</v>
      </c>
      <c r="K18" s="17">
        <v>44580640</v>
      </c>
      <c r="L18" s="17">
        <v>45267489.5</v>
      </c>
      <c r="M18" s="18">
        <v>49785597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19">
        <v>88683883</v>
      </c>
      <c r="AC18" s="19">
        <v>88141373</v>
      </c>
    </row>
    <row r="19" spans="1:29" ht="15" customHeight="1" x14ac:dyDescent="0.3">
      <c r="A19" s="20" t="s">
        <v>61</v>
      </c>
      <c r="B19" s="21" t="s">
        <v>62</v>
      </c>
      <c r="C19" s="22">
        <v>10210239</v>
      </c>
      <c r="D19" s="22">
        <v>14903106</v>
      </c>
      <c r="E19" s="22">
        <v>20445946</v>
      </c>
      <c r="F19" s="22">
        <v>24098871</v>
      </c>
      <c r="G19" s="22">
        <v>28388139</v>
      </c>
      <c r="H19" s="22">
        <v>34217767</v>
      </c>
      <c r="I19" s="22">
        <v>38960082</v>
      </c>
      <c r="J19" s="22">
        <v>43388072</v>
      </c>
      <c r="K19" s="22">
        <v>46005265</v>
      </c>
      <c r="L19" s="18">
        <v>46502204.25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19">
        <v>89878913</v>
      </c>
      <c r="AC19" s="19">
        <v>91162359</v>
      </c>
    </row>
    <row r="20" spans="1:29" ht="15" customHeight="1" x14ac:dyDescent="0.3">
      <c r="A20" s="15" t="s">
        <v>63</v>
      </c>
      <c r="B20" s="16" t="s">
        <v>64</v>
      </c>
      <c r="C20" s="17">
        <v>9812587</v>
      </c>
      <c r="D20" s="17">
        <v>15038280</v>
      </c>
      <c r="E20" s="17">
        <v>20982739</v>
      </c>
      <c r="F20" s="17">
        <v>23658407</v>
      </c>
      <c r="G20" s="17">
        <v>30806585</v>
      </c>
      <c r="H20" s="17">
        <v>33132506</v>
      </c>
      <c r="I20" s="17">
        <v>39260427</v>
      </c>
      <c r="J20" s="17">
        <v>44710406</v>
      </c>
      <c r="K20" s="18">
        <v>46743977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19">
        <v>91090047</v>
      </c>
      <c r="AC20" s="19">
        <v>89354737</v>
      </c>
    </row>
    <row r="21" spans="1:29" ht="15" customHeight="1" x14ac:dyDescent="0.3">
      <c r="A21" s="20" t="s">
        <v>65</v>
      </c>
      <c r="B21" s="21" t="s">
        <v>66</v>
      </c>
      <c r="C21" s="22">
        <v>9656222</v>
      </c>
      <c r="D21" s="22">
        <v>15173530</v>
      </c>
      <c r="E21" s="22">
        <v>19994922</v>
      </c>
      <c r="F21" s="22">
        <v>24377061</v>
      </c>
      <c r="G21" s="22">
        <v>30354330</v>
      </c>
      <c r="H21" s="22">
        <v>35076444</v>
      </c>
      <c r="I21" s="22">
        <v>39440849</v>
      </c>
      <c r="J21" s="18">
        <v>45510753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19">
        <v>92317502</v>
      </c>
      <c r="AC21" s="19">
        <v>90519813</v>
      </c>
    </row>
    <row r="22" spans="1:29" ht="15" customHeight="1" x14ac:dyDescent="0.3">
      <c r="A22" s="15" t="s">
        <v>67</v>
      </c>
      <c r="B22" s="16" t="s">
        <v>68</v>
      </c>
      <c r="C22" s="17">
        <v>10157249</v>
      </c>
      <c r="D22" s="17">
        <v>15227277</v>
      </c>
      <c r="E22" s="17">
        <v>20949821</v>
      </c>
      <c r="F22" s="17">
        <v>24555011</v>
      </c>
      <c r="G22" s="17">
        <v>29825871</v>
      </c>
      <c r="H22" s="17">
        <v>35812219</v>
      </c>
      <c r="I22" s="18">
        <v>40828576</v>
      </c>
      <c r="J22" s="23"/>
      <c r="K22" s="23"/>
      <c r="L22" s="71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19">
        <v>93561496</v>
      </c>
      <c r="AC22" s="19">
        <v>93738616</v>
      </c>
    </row>
    <row r="23" spans="1:29" ht="15" customHeight="1" x14ac:dyDescent="0.3">
      <c r="A23" s="20" t="s">
        <v>69</v>
      </c>
      <c r="B23" s="21" t="s">
        <v>70</v>
      </c>
      <c r="C23" s="22">
        <v>10159861</v>
      </c>
      <c r="D23" s="22">
        <v>14850703</v>
      </c>
      <c r="E23" s="22">
        <v>21643786</v>
      </c>
      <c r="F23" s="22">
        <v>25037048</v>
      </c>
      <c r="G23" s="22">
        <v>30971544</v>
      </c>
      <c r="H23" s="18">
        <v>35649464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19">
        <v>94822254</v>
      </c>
      <c r="AC23" s="19">
        <v>95003331</v>
      </c>
    </row>
    <row r="24" spans="1:29" ht="15" customHeight="1" x14ac:dyDescent="0.3">
      <c r="A24" s="15" t="s">
        <v>71</v>
      </c>
      <c r="B24" s="16" t="s">
        <v>72</v>
      </c>
      <c r="C24" s="17">
        <v>10216038</v>
      </c>
      <c r="D24" s="17">
        <v>15551970</v>
      </c>
      <c r="E24" s="17">
        <v>21643436</v>
      </c>
      <c r="F24" s="17">
        <v>26300255</v>
      </c>
      <c r="G24" s="18">
        <v>31915838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19">
        <v>96100000</v>
      </c>
      <c r="AC24" s="19">
        <v>96874956</v>
      </c>
    </row>
    <row r="25" spans="1:29" ht="15" customHeight="1" x14ac:dyDescent="0.3">
      <c r="A25" s="20" t="s">
        <v>73</v>
      </c>
      <c r="B25" s="21" t="s">
        <v>74</v>
      </c>
      <c r="C25" s="22">
        <v>10453025</v>
      </c>
      <c r="D25" s="22">
        <v>15565827</v>
      </c>
      <c r="E25" s="22">
        <v>21209178</v>
      </c>
      <c r="F25" s="18">
        <v>26324052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19">
        <v>97394964</v>
      </c>
      <c r="AC25" s="19">
        <v>99436938</v>
      </c>
    </row>
    <row r="26" spans="1:29" ht="15" customHeight="1" x14ac:dyDescent="0.3">
      <c r="A26" s="15" t="s">
        <v>75</v>
      </c>
      <c r="B26" s="16" t="s">
        <v>76</v>
      </c>
      <c r="C26" s="17">
        <v>10530025</v>
      </c>
      <c r="D26" s="17">
        <v>16254730</v>
      </c>
      <c r="E26" s="18">
        <v>22079496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19">
        <v>98707378</v>
      </c>
      <c r="AC26" s="19">
        <v>100036702</v>
      </c>
    </row>
    <row r="27" spans="1:29" ht="15" customHeight="1" x14ac:dyDescent="0.3">
      <c r="A27" s="20" t="s">
        <v>77</v>
      </c>
      <c r="B27" s="21" t="s">
        <v>78</v>
      </c>
      <c r="C27" s="22">
        <v>10382200</v>
      </c>
      <c r="D27" s="18">
        <v>17132382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19">
        <v>100037478</v>
      </c>
      <c r="AC27" s="19">
        <v>100703868</v>
      </c>
    </row>
    <row r="28" spans="1:29" ht="15" customHeight="1" x14ac:dyDescent="0.3">
      <c r="A28" s="15" t="s">
        <v>79</v>
      </c>
      <c r="B28" s="16" t="s">
        <v>80</v>
      </c>
      <c r="C28" s="18">
        <v>10443357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19">
        <v>101385500</v>
      </c>
      <c r="AC28" s="19">
        <v>102738652</v>
      </c>
    </row>
    <row r="32" spans="1:29" x14ac:dyDescent="0.3">
      <c r="D32">
        <f ca="1">RANDBETWEEN(-2000000,-500000)</f>
        <v>-802939</v>
      </c>
    </row>
    <row r="33" spans="4:4" x14ac:dyDescent="0.3">
      <c r="D33">
        <f t="shared" ref="D33:D39" ca="1" si="0">RANDBETWEEN(-2000000,-500000)</f>
        <v>-593402</v>
      </c>
    </row>
    <row r="34" spans="4:4" x14ac:dyDescent="0.3">
      <c r="D34">
        <f t="shared" ca="1" si="0"/>
        <v>-1733191</v>
      </c>
    </row>
    <row r="35" spans="4:4" x14ac:dyDescent="0.3">
      <c r="D35">
        <f t="shared" ca="1" si="0"/>
        <v>-1447820</v>
      </c>
    </row>
    <row r="36" spans="4:4" x14ac:dyDescent="0.3">
      <c r="D36">
        <f t="shared" ca="1" si="0"/>
        <v>-1875249</v>
      </c>
    </row>
    <row r="37" spans="4:4" x14ac:dyDescent="0.3">
      <c r="D37">
        <f t="shared" ca="1" si="0"/>
        <v>-1570295</v>
      </c>
    </row>
    <row r="38" spans="4:4" x14ac:dyDescent="0.3">
      <c r="D38">
        <f t="shared" ca="1" si="0"/>
        <v>-790869</v>
      </c>
    </row>
    <row r="39" spans="4:4" x14ac:dyDescent="0.3">
      <c r="D39">
        <f t="shared" ca="1" si="0"/>
        <v>-892105</v>
      </c>
    </row>
  </sheetData>
  <mergeCells count="2">
    <mergeCell ref="A1:AC1"/>
    <mergeCell ref="A2:A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5"/>
  <sheetViews>
    <sheetView showGridLines="0" zoomScaleNormal="100" workbookViewId="0">
      <pane xSplit="2" ySplit="3" topLeftCell="C11" activePane="bottomRight" state="frozen"/>
      <selection pane="topRight" activeCell="C1" sqref="C1"/>
      <selection pane="bottomLeft" activeCell="A4" sqref="A4"/>
      <selection pane="bottomRight" activeCell="E30" sqref="E30"/>
    </sheetView>
  </sheetViews>
  <sheetFormatPr baseColWidth="10" defaultColWidth="8.6640625" defaultRowHeight="14.4" x14ac:dyDescent="0.3"/>
  <cols>
    <col min="1" max="2" width="10" customWidth="1"/>
    <col min="3" max="26" width="11" customWidth="1"/>
  </cols>
  <sheetData>
    <row r="1" spans="1:26" ht="25.5" customHeight="1" x14ac:dyDescent="0.3">
      <c r="A1" s="11" t="s">
        <v>82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6" ht="15.75" customHeight="1" x14ac:dyDescent="0.3">
      <c r="A2" s="10" t="s">
        <v>83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6" ht="25.5" customHeight="1" x14ac:dyDescent="0.3">
      <c r="A3" s="12" t="s">
        <v>2</v>
      </c>
      <c r="B3" s="12" t="s">
        <v>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  <c r="H3" s="13" t="s">
        <v>89</v>
      </c>
      <c r="I3" s="13" t="s">
        <v>90</v>
      </c>
      <c r="J3" s="13" t="s">
        <v>91</v>
      </c>
      <c r="K3" s="13" t="s">
        <v>92</v>
      </c>
      <c r="L3" s="13" t="s">
        <v>93</v>
      </c>
      <c r="M3" s="13" t="s">
        <v>94</v>
      </c>
      <c r="N3" s="13" t="s">
        <v>95</v>
      </c>
      <c r="O3" s="13" t="s">
        <v>96</v>
      </c>
      <c r="P3" s="13" t="s">
        <v>97</v>
      </c>
      <c r="Q3" s="13" t="s">
        <v>98</v>
      </c>
      <c r="R3" s="13" t="s">
        <v>99</v>
      </c>
      <c r="S3" s="13" t="s">
        <v>100</v>
      </c>
      <c r="T3" s="13" t="s">
        <v>101</v>
      </c>
      <c r="U3" s="13" t="s">
        <v>102</v>
      </c>
      <c r="V3" s="13" t="s">
        <v>103</v>
      </c>
      <c r="W3" s="13" t="s">
        <v>104</v>
      </c>
      <c r="X3" s="13" t="s">
        <v>105</v>
      </c>
      <c r="Y3" s="13" t="s">
        <v>106</v>
      </c>
      <c r="Z3" s="13" t="s">
        <v>107</v>
      </c>
    </row>
    <row r="4" spans="1:26" ht="15" customHeight="1" x14ac:dyDescent="0.3">
      <c r="A4" s="15" t="s">
        <v>31</v>
      </c>
      <c r="B4" s="16" t="s">
        <v>32</v>
      </c>
      <c r="C4" s="24">
        <f>'1_Triangulo'!D4/'1_Triangulo'!C4</f>
        <v>1.5850804962682903</v>
      </c>
      <c r="D4" s="24">
        <f>'1_Triangulo'!E4/'1_Triangulo'!D4</f>
        <v>1.2920962600929142</v>
      </c>
      <c r="E4" s="24">
        <f>'1_Triangulo'!F4/'1_Triangulo'!E4</f>
        <v>1.2438847309783052</v>
      </c>
      <c r="F4" s="24">
        <f>'1_Triangulo'!G4/'1_Triangulo'!F4</f>
        <v>1.1521487234624135</v>
      </c>
      <c r="G4" s="24">
        <f>'1_Triangulo'!H4/'1_Triangulo'!G4</f>
        <v>1.170243771955964</v>
      </c>
      <c r="H4" s="24">
        <f>'1_Triangulo'!I4/'1_Triangulo'!H4</f>
        <v>1.1798566551806502</v>
      </c>
      <c r="I4" s="24">
        <f>'1_Triangulo'!J4/'1_Triangulo'!I4</f>
        <v>1.1099839314026925</v>
      </c>
      <c r="J4" s="24">
        <f>'1_Triangulo'!K4/'1_Triangulo'!J4</f>
        <v>1.0334787120598821</v>
      </c>
      <c r="K4" s="24">
        <f>'1_Triangulo'!L4/'1_Triangulo'!K4</f>
        <v>1.0601586097810756</v>
      </c>
      <c r="L4" s="24">
        <f>'1_Triangulo'!M4/'1_Triangulo'!L4</f>
        <v>1.0357549933837267</v>
      </c>
      <c r="M4" s="24">
        <f>'1_Triangulo'!N4/'1_Triangulo'!M4</f>
        <v>1.0446044565074943</v>
      </c>
      <c r="N4" s="24">
        <f>'1_Triangulo'!O4/'1_Triangulo'!N4</f>
        <v>1.0278425177038348</v>
      </c>
      <c r="O4" s="24">
        <f>'1_Triangulo'!P4/'1_Triangulo'!O4</f>
        <v>1.0093538522315504</v>
      </c>
      <c r="P4" s="24">
        <f>'1_Triangulo'!Q4/'1_Triangulo'!P4</f>
        <v>1.0240577059894276</v>
      </c>
      <c r="Q4" s="24">
        <f>'1_Triangulo'!R4/'1_Triangulo'!Q4</f>
        <v>1.0273333087841348</v>
      </c>
      <c r="R4" s="24">
        <f>'1_Triangulo'!S4/'1_Triangulo'!R4</f>
        <v>1.0092311487367895</v>
      </c>
      <c r="S4" s="24">
        <f>'1_Triangulo'!T4/'1_Triangulo'!S4</f>
        <v>1.015260919868032</v>
      </c>
      <c r="T4" s="24">
        <f>'1_Triangulo'!U4/'1_Triangulo'!T4</f>
        <v>1.0068778246469827</v>
      </c>
      <c r="U4" s="24">
        <f>'1_Triangulo'!V4/'1_Triangulo'!U4</f>
        <v>1.0094923977107051</v>
      </c>
      <c r="V4" s="24">
        <f>'1_Triangulo'!W4/'1_Triangulo'!V4</f>
        <v>1.01124551919039</v>
      </c>
      <c r="W4" s="24">
        <f>'1_Triangulo'!X4/'1_Triangulo'!W4</f>
        <v>1.0015655417659433</v>
      </c>
      <c r="X4" s="24">
        <f>'1_Triangulo'!Y4/'1_Triangulo'!X4</f>
        <v>1.0054486669194231</v>
      </c>
      <c r="Y4" s="24">
        <f>'1_Triangulo'!Z4/'1_Triangulo'!Y4</f>
        <v>1.0029181300620145</v>
      </c>
      <c r="Z4" s="24">
        <f>'1_Triangulo'!AA4/'1_Triangulo'!Z4</f>
        <v>1.0035230363569263</v>
      </c>
    </row>
    <row r="5" spans="1:26" ht="15" customHeight="1" x14ac:dyDescent="0.3">
      <c r="A5" s="20" t="s">
        <v>33</v>
      </c>
      <c r="B5" s="21" t="s">
        <v>34</v>
      </c>
      <c r="C5" s="25">
        <f>'1_Triangulo'!D5/'1_Triangulo'!C5</f>
        <v>1.5545719601130565</v>
      </c>
      <c r="D5" s="25">
        <f>'1_Triangulo'!E5/'1_Triangulo'!D5</f>
        <v>1.3272015282951459</v>
      </c>
      <c r="E5" s="25">
        <f>'1_Triangulo'!F5/'1_Triangulo'!E5</f>
        <v>1.1878378925084128</v>
      </c>
      <c r="F5" s="25">
        <f>'1_Triangulo'!G5/'1_Triangulo'!F5</f>
        <v>1.2147398570367887</v>
      </c>
      <c r="G5" s="25">
        <f>'1_Triangulo'!H5/'1_Triangulo'!G5</f>
        <v>1.1636133573716856</v>
      </c>
      <c r="H5" s="25">
        <f>'1_Triangulo'!I5/'1_Triangulo'!H5</f>
        <v>1.1933671521673106</v>
      </c>
      <c r="I5" s="25">
        <f>'1_Triangulo'!J5/'1_Triangulo'!I5</f>
        <v>1.0930518374700029</v>
      </c>
      <c r="J5" s="25">
        <f>'1_Triangulo'!K5/'1_Triangulo'!J5</f>
        <v>1.0374592116770627</v>
      </c>
      <c r="K5" s="25">
        <f>'1_Triangulo'!L5/'1_Triangulo'!K5</f>
        <v>1.0708029717914207</v>
      </c>
      <c r="L5" s="25">
        <f>'1_Triangulo'!M5/'1_Triangulo'!L5</f>
        <v>1.0257941676866225</v>
      </c>
      <c r="M5" s="25">
        <f>'1_Triangulo'!N5/'1_Triangulo'!M5</f>
        <v>1.0571543202089695</v>
      </c>
      <c r="N5" s="25">
        <f>'1_Triangulo'!O5/'1_Triangulo'!N5</f>
        <v>1.0077525642411409</v>
      </c>
      <c r="O5" s="25">
        <f>'1_Triangulo'!P5/'1_Triangulo'!O5</f>
        <v>1.0275704321948755</v>
      </c>
      <c r="P5" s="25">
        <f>'1_Triangulo'!Q5/'1_Triangulo'!P5</f>
        <v>1.030306662819414</v>
      </c>
      <c r="Q5" s="25">
        <f>'1_Triangulo'!R5/'1_Triangulo'!Q5</f>
        <v>1.0233043976059297</v>
      </c>
      <c r="R5" s="25">
        <f>'1_Triangulo'!S5/'1_Triangulo'!R5</f>
        <v>1.0080340855466576</v>
      </c>
      <c r="S5" s="25">
        <f>'1_Triangulo'!T5/'1_Triangulo'!S5</f>
        <v>1.0095511671958637</v>
      </c>
      <c r="T5" s="25">
        <f>'1_Triangulo'!U5/'1_Triangulo'!T5</f>
        <v>1.0098769486616515</v>
      </c>
      <c r="U5" s="25">
        <f>'1_Triangulo'!V5/'1_Triangulo'!U5</f>
        <v>1.007692324950997</v>
      </c>
      <c r="V5" s="25">
        <f>'1_Triangulo'!W5/'1_Triangulo'!V5</f>
        <v>1.0070080182634749</v>
      </c>
      <c r="W5" s="25">
        <f>'1_Triangulo'!X5/'1_Triangulo'!W5</f>
        <v>1.0055293688475064</v>
      </c>
      <c r="X5" s="25">
        <f>'1_Triangulo'!Y5/'1_Triangulo'!X5</f>
        <v>1.0073231086959924</v>
      </c>
      <c r="Y5" s="25">
        <f>'1_Triangulo'!Z5/'1_Triangulo'!Y5</f>
        <v>1.0037062653720774</v>
      </c>
      <c r="Z5" s="23"/>
    </row>
    <row r="6" spans="1:26" ht="15" customHeight="1" x14ac:dyDescent="0.3">
      <c r="A6" s="15" t="s">
        <v>35</v>
      </c>
      <c r="B6" s="16" t="s">
        <v>36</v>
      </c>
      <c r="C6" s="24">
        <f>'1_Triangulo'!D6/'1_Triangulo'!C6</f>
        <v>1.7628701262239383</v>
      </c>
      <c r="D6" s="24">
        <f>'1_Triangulo'!E6/'1_Triangulo'!D6</f>
        <v>1.2333625449918415</v>
      </c>
      <c r="E6" s="24">
        <f>'1_Triangulo'!F6/'1_Triangulo'!E6</f>
        <v>1.2125591624145657</v>
      </c>
      <c r="F6" s="24">
        <f>'1_Triangulo'!G6/'1_Triangulo'!F6</f>
        <v>1.2414831056708771</v>
      </c>
      <c r="G6" s="24">
        <f>'1_Triangulo'!H6/'1_Triangulo'!G6</f>
        <v>1.1765051965655648</v>
      </c>
      <c r="H6" s="24">
        <f>'1_Triangulo'!I6/'1_Triangulo'!H6</f>
        <v>1.1399124237938574</v>
      </c>
      <c r="I6" s="24">
        <f>'1_Triangulo'!J6/'1_Triangulo'!I6</f>
        <v>1.0967964314838765</v>
      </c>
      <c r="J6" s="24">
        <f>'1_Triangulo'!K6/'1_Triangulo'!J6</f>
        <v>1.0590268719970373</v>
      </c>
      <c r="K6" s="24">
        <f>'1_Triangulo'!L6/'1_Triangulo'!K6</f>
        <v>1.0557977834227161</v>
      </c>
      <c r="L6" s="24">
        <f>'1_Triangulo'!M6/'1_Triangulo'!L6</f>
        <v>1.051444288474322</v>
      </c>
      <c r="M6" s="24">
        <f>'1_Triangulo'!N6/'1_Triangulo'!M6</f>
        <v>1.0311678270835403</v>
      </c>
      <c r="N6" s="24">
        <f>'1_Triangulo'!O6/'1_Triangulo'!N6</f>
        <v>1.025046353107216</v>
      </c>
      <c r="O6" s="24">
        <f>'1_Triangulo'!P6/'1_Triangulo'!O6</f>
        <v>1.0168708254295966</v>
      </c>
      <c r="P6" s="24">
        <f>'1_Triangulo'!Q6/'1_Triangulo'!P6</f>
        <v>1.0220090244413824</v>
      </c>
      <c r="Q6" s="24">
        <f>'1_Triangulo'!R6/'1_Triangulo'!Q6</f>
        <v>1.0306326641142127</v>
      </c>
      <c r="R6" s="24">
        <f>'1_Triangulo'!S6/'1_Triangulo'!R6</f>
        <v>1.0120614786886224</v>
      </c>
      <c r="S6" s="24">
        <f>'1_Triangulo'!T6/'1_Triangulo'!S6</f>
        <v>1.0053568467636311</v>
      </c>
      <c r="T6" s="24">
        <f>'1_Triangulo'!U6/'1_Triangulo'!T6</f>
        <v>1.0132868533057497</v>
      </c>
      <c r="U6" s="24">
        <f>'1_Triangulo'!V6/'1_Triangulo'!U6</f>
        <v>1.0084489424377354</v>
      </c>
      <c r="V6" s="24">
        <f>'1_Triangulo'!W6/'1_Triangulo'!V6</f>
        <v>1.0028788357762206</v>
      </c>
      <c r="W6" s="24">
        <f>'1_Triangulo'!X6/'1_Triangulo'!W6</f>
        <v>1.0067973420677827</v>
      </c>
      <c r="X6" s="24">
        <f>'1_Triangulo'!Y6/'1_Triangulo'!X6</f>
        <v>1.0066186991866877</v>
      </c>
      <c r="Y6" s="23"/>
      <c r="Z6" s="23"/>
    </row>
    <row r="7" spans="1:26" ht="15" customHeight="1" x14ac:dyDescent="0.3">
      <c r="A7" s="20" t="s">
        <v>37</v>
      </c>
      <c r="B7" s="21" t="s">
        <v>38</v>
      </c>
      <c r="C7" s="25">
        <f>'1_Triangulo'!D7/'1_Triangulo'!C7</f>
        <v>1.7169766270602549</v>
      </c>
      <c r="D7" s="25">
        <f>'1_Triangulo'!E7/'1_Triangulo'!D7</f>
        <v>1.1060716556799342</v>
      </c>
      <c r="E7" s="25">
        <f>'1_Triangulo'!F7/'1_Triangulo'!E7</f>
        <v>1.3460575318023051</v>
      </c>
      <c r="F7" s="25">
        <f>'1_Triangulo'!G7/'1_Triangulo'!F7</f>
        <v>1.1812369154651707</v>
      </c>
      <c r="G7" s="25">
        <f>'1_Triangulo'!H7/'1_Triangulo'!G7</f>
        <v>1.1605978311265777</v>
      </c>
      <c r="H7" s="25">
        <f>'1_Triangulo'!I7/'1_Triangulo'!H7</f>
        <v>1.15307065263179</v>
      </c>
      <c r="I7" s="25">
        <f>'1_Triangulo'!J7/'1_Triangulo'!I7</f>
        <v>1.0941441785796193</v>
      </c>
      <c r="J7" s="25">
        <f>'1_Triangulo'!K7/'1_Triangulo'!J7</f>
        <v>1.0773488413805474</v>
      </c>
      <c r="K7" s="25">
        <f>'1_Triangulo'!L7/'1_Triangulo'!K7</f>
        <v>1.054942184010917</v>
      </c>
      <c r="L7" s="25">
        <f>'1_Triangulo'!M7/'1_Triangulo'!L7</f>
        <v>1.0558860208261831</v>
      </c>
      <c r="M7" s="25">
        <f>'1_Triangulo'!N7/'1_Triangulo'!M7</f>
        <v>1.0262465956189613</v>
      </c>
      <c r="N7" s="25">
        <f>'1_Triangulo'!O7/'1_Triangulo'!N7</f>
        <v>1.0211403935943</v>
      </c>
      <c r="O7" s="25">
        <f>'1_Triangulo'!P7/'1_Triangulo'!O7</f>
        <v>1.0245862263759915</v>
      </c>
      <c r="P7" s="25">
        <f>'1_Triangulo'!Q7/'1_Triangulo'!P7</f>
        <v>1.0290879480341113</v>
      </c>
      <c r="Q7" s="25">
        <f>'1_Triangulo'!R7/'1_Triangulo'!Q7</f>
        <v>1.0179492251890323</v>
      </c>
      <c r="R7" s="25">
        <f>'1_Triangulo'!S7/'1_Triangulo'!R7</f>
        <v>1.007211022362408</v>
      </c>
      <c r="S7" s="25">
        <f>'1_Triangulo'!T7/'1_Triangulo'!S7</f>
        <v>1.0141129587154567</v>
      </c>
      <c r="T7" s="25">
        <f>'1_Triangulo'!U7/'1_Triangulo'!T7</f>
        <v>1.0089746617341804</v>
      </c>
      <c r="U7" s="25">
        <f>'1_Triangulo'!V7/'1_Triangulo'!U7</f>
        <v>1.0123300578070458</v>
      </c>
      <c r="V7" s="25">
        <f>'1_Triangulo'!W7/'1_Triangulo'!V7</f>
        <v>1.0013577570889858</v>
      </c>
      <c r="W7" s="25">
        <f>'1_Triangulo'!X7/'1_Triangulo'!W7</f>
        <v>1.0057229439059212</v>
      </c>
      <c r="X7" s="23"/>
      <c r="Y7" s="23"/>
      <c r="Z7" s="23"/>
    </row>
    <row r="8" spans="1:26" ht="15" customHeight="1" x14ac:dyDescent="0.3">
      <c r="A8" s="15" t="s">
        <v>39</v>
      </c>
      <c r="B8" s="16" t="s">
        <v>40</v>
      </c>
      <c r="C8" s="24">
        <f>'1_Triangulo'!D8/'1_Triangulo'!C8</f>
        <v>1.5691936472582249</v>
      </c>
      <c r="D8" s="24">
        <f>'1_Triangulo'!E8/'1_Triangulo'!D8</f>
        <v>1.3383990097795631</v>
      </c>
      <c r="E8" s="24">
        <f>'1_Triangulo'!F8/'1_Triangulo'!E8</f>
        <v>1.2170993773554704</v>
      </c>
      <c r="F8" s="24">
        <f>'1_Triangulo'!G8/'1_Triangulo'!F8</f>
        <v>1.1961019949205474</v>
      </c>
      <c r="G8" s="24">
        <f>'1_Triangulo'!H8/'1_Triangulo'!G8</f>
        <v>1.1641033055408667</v>
      </c>
      <c r="H8" s="24">
        <f>'1_Triangulo'!I8/'1_Triangulo'!H8</f>
        <v>1.1237835531152471</v>
      </c>
      <c r="I8" s="24">
        <f>'1_Triangulo'!J8/'1_Triangulo'!I8</f>
        <v>1.1461582126489898</v>
      </c>
      <c r="J8" s="24">
        <f>'1_Triangulo'!K8/'1_Triangulo'!J8</f>
        <v>1.0524153384796016</v>
      </c>
      <c r="K8" s="24">
        <f>'1_Triangulo'!L8/'1_Triangulo'!K8</f>
        <v>1.0438814376300121</v>
      </c>
      <c r="L8" s="24">
        <f>'1_Triangulo'!M8/'1_Triangulo'!L8</f>
        <v>1.0531362830518642</v>
      </c>
      <c r="M8" s="24">
        <f>'1_Triangulo'!N8/'1_Triangulo'!M8</f>
        <v>1.0487755749500174</v>
      </c>
      <c r="N8" s="24">
        <f>'1_Triangulo'!O8/'1_Triangulo'!N8</f>
        <v>1.0321581029805931</v>
      </c>
      <c r="O8" s="24">
        <f>'1_Triangulo'!P8/'1_Triangulo'!O8</f>
        <v>1.0103741989601129</v>
      </c>
      <c r="P8" s="24">
        <f>'1_Triangulo'!Q8/'1_Triangulo'!P8</f>
        <v>1.0218365965812992</v>
      </c>
      <c r="Q8" s="24">
        <f>'1_Triangulo'!R8/'1_Triangulo'!Q8</f>
        <v>1.0195001920639508</v>
      </c>
      <c r="R8" s="24">
        <f>'1_Triangulo'!S8/'1_Triangulo'!R8</f>
        <v>1.003852085151407</v>
      </c>
      <c r="S8" s="24">
        <f>'1_Triangulo'!T8/'1_Triangulo'!S8</f>
        <v>1.0175204675914202</v>
      </c>
      <c r="T8" s="24">
        <f>'1_Triangulo'!U8/'1_Triangulo'!T8</f>
        <v>1.0105769939491702</v>
      </c>
      <c r="U8" s="24">
        <f>'1_Triangulo'!V8/'1_Triangulo'!U8</f>
        <v>1.0159375459029008</v>
      </c>
      <c r="V8" s="24">
        <f>'1_Triangulo'!W8/'1_Triangulo'!V8</f>
        <v>1.0107427352563763</v>
      </c>
      <c r="W8" s="23"/>
      <c r="X8" s="23"/>
      <c r="Y8" s="23"/>
      <c r="Z8" s="23"/>
    </row>
    <row r="9" spans="1:26" ht="15" customHeight="1" x14ac:dyDescent="0.3">
      <c r="A9" s="20" t="s">
        <v>41</v>
      </c>
      <c r="B9" s="21" t="s">
        <v>42</v>
      </c>
      <c r="C9" s="25">
        <f>'1_Triangulo'!D9/'1_Triangulo'!C9</f>
        <v>1.6032085495068191</v>
      </c>
      <c r="D9" s="25">
        <f>'1_Triangulo'!E9/'1_Triangulo'!D9</f>
        <v>1.2200317653806181</v>
      </c>
      <c r="E9" s="25">
        <f>'1_Triangulo'!F9/'1_Triangulo'!E9</f>
        <v>1.3000022827489546</v>
      </c>
      <c r="F9" s="25">
        <f>'1_Triangulo'!G9/'1_Triangulo'!F9</f>
        <v>1.1888338883419252</v>
      </c>
      <c r="G9" s="25">
        <f>'1_Triangulo'!H9/'1_Triangulo'!G9</f>
        <v>1.1675824004352506</v>
      </c>
      <c r="H9" s="25">
        <f>'1_Triangulo'!I9/'1_Triangulo'!H9</f>
        <v>1.1113229292780147</v>
      </c>
      <c r="I9" s="25">
        <f>'1_Triangulo'!J9/'1_Triangulo'!I9</f>
        <v>1.1661533313464987</v>
      </c>
      <c r="J9" s="25">
        <f>'1_Triangulo'!K9/'1_Triangulo'!J9</f>
        <v>1.0128863251610603</v>
      </c>
      <c r="K9" s="25">
        <f>'1_Triangulo'!L9/'1_Triangulo'!K9</f>
        <v>1.0726271663861016</v>
      </c>
      <c r="L9" s="25">
        <f>'1_Triangulo'!M9/'1_Triangulo'!L9</f>
        <v>1.0600940442486346</v>
      </c>
      <c r="M9" s="25">
        <f>'1_Triangulo'!N9/'1_Triangulo'!M9</f>
        <v>1.0160477845433427</v>
      </c>
      <c r="N9" s="25">
        <f>'1_Triangulo'!O9/'1_Triangulo'!N9</f>
        <v>1.0264942507949333</v>
      </c>
      <c r="O9" s="25">
        <f>'1_Triangulo'!P9/'1_Triangulo'!O9</f>
        <v>1.0264539244836659</v>
      </c>
      <c r="P9" s="25">
        <f>'1_Triangulo'!Q9/'1_Triangulo'!P9</f>
        <v>1.018468755992735</v>
      </c>
      <c r="Q9" s="25">
        <f>'1_Triangulo'!R9/'1_Triangulo'!Q9</f>
        <v>1.0169587321447837</v>
      </c>
      <c r="R9" s="25">
        <f>'1_Triangulo'!S9/'1_Triangulo'!R9</f>
        <v>1.0174299914755509</v>
      </c>
      <c r="S9" s="25">
        <f>'1_Triangulo'!T9/'1_Triangulo'!S9</f>
        <v>1.0069462490604084</v>
      </c>
      <c r="T9" s="25">
        <f>'1_Triangulo'!U9/'1_Triangulo'!T9</f>
        <v>1.0149787737243354</v>
      </c>
      <c r="U9" s="25">
        <f>'1_Triangulo'!V9/'1_Triangulo'!U9</f>
        <v>1.0068976429141705</v>
      </c>
      <c r="V9" s="23"/>
      <c r="W9" s="23"/>
      <c r="X9" s="23"/>
      <c r="Y9" s="23"/>
      <c r="Z9" s="23"/>
    </row>
    <row r="10" spans="1:26" ht="15" customHeight="1" x14ac:dyDescent="0.3">
      <c r="A10" s="15" t="s">
        <v>43</v>
      </c>
      <c r="B10" s="16" t="s">
        <v>44</v>
      </c>
      <c r="C10" s="24">
        <f>'1_Triangulo'!D10/'1_Triangulo'!C10</f>
        <v>1.4863157776631084</v>
      </c>
      <c r="D10" s="24">
        <f>'1_Triangulo'!E10/'1_Triangulo'!D10</f>
        <v>1.2836858311244788</v>
      </c>
      <c r="E10" s="24">
        <f>'1_Triangulo'!F10/'1_Triangulo'!E10</f>
        <v>1.2571905134153329</v>
      </c>
      <c r="F10" s="24">
        <f>'1_Triangulo'!G10/'1_Triangulo'!F10</f>
        <v>1.1477971611602136</v>
      </c>
      <c r="G10" s="24">
        <f>'1_Triangulo'!H10/'1_Triangulo'!G10</f>
        <v>1.2066091307528672</v>
      </c>
      <c r="H10" s="24">
        <f>'1_Triangulo'!I10/'1_Triangulo'!H10</f>
        <v>1.1644473793882573</v>
      </c>
      <c r="I10" s="24">
        <f>'1_Triangulo'!J10/'1_Triangulo'!I10</f>
        <v>1.078452560882599</v>
      </c>
      <c r="J10" s="24">
        <f>'1_Triangulo'!K10/'1_Triangulo'!J10</f>
        <v>1.0768649566070738</v>
      </c>
      <c r="K10" s="24">
        <f>'1_Triangulo'!L10/'1_Triangulo'!K10</f>
        <v>1.0487581510215624</v>
      </c>
      <c r="L10" s="24">
        <f>'1_Triangulo'!M10/'1_Triangulo'!L10</f>
        <v>1.0504050769643081</v>
      </c>
      <c r="M10" s="24">
        <f>'1_Triangulo'!N10/'1_Triangulo'!M10</f>
        <v>1.0269566977369577</v>
      </c>
      <c r="N10" s="24">
        <f>'1_Triangulo'!O10/'1_Triangulo'!N10</f>
        <v>1.0233236790809279</v>
      </c>
      <c r="O10" s="24">
        <f>'1_Triangulo'!P10/'1_Triangulo'!O10</f>
        <v>1.0340672000735007</v>
      </c>
      <c r="P10" s="24">
        <f>'1_Triangulo'!Q10/'1_Triangulo'!P10</f>
        <v>1.0200156083292746</v>
      </c>
      <c r="Q10" s="24">
        <f>'1_Triangulo'!R10/'1_Triangulo'!Q10</f>
        <v>1.0207006177847544</v>
      </c>
      <c r="R10" s="24">
        <f>'1_Triangulo'!S10/'1_Triangulo'!R10</f>
        <v>1.0107519836878107</v>
      </c>
      <c r="S10" s="24">
        <f>'1_Triangulo'!T10/'1_Triangulo'!S10</f>
        <v>1.0071331446806351</v>
      </c>
      <c r="T10" s="24">
        <f>'1_Triangulo'!U10/'1_Triangulo'!T10</f>
        <v>1.0131101701947813</v>
      </c>
      <c r="U10" s="23"/>
      <c r="V10" s="23"/>
      <c r="W10" s="23"/>
      <c r="X10" s="23"/>
      <c r="Y10" s="23"/>
      <c r="Z10" s="23"/>
    </row>
    <row r="11" spans="1:26" ht="15" customHeight="1" x14ac:dyDescent="0.3">
      <c r="A11" s="20" t="s">
        <v>45</v>
      </c>
      <c r="B11" s="21" t="s">
        <v>46</v>
      </c>
      <c r="C11" s="25">
        <f>'1_Triangulo'!D11/'1_Triangulo'!C11</f>
        <v>1.566661713248203</v>
      </c>
      <c r="D11" s="25">
        <f>'1_Triangulo'!E11/'1_Triangulo'!D11</f>
        <v>1.3664209036765662</v>
      </c>
      <c r="E11" s="25">
        <f>'1_Triangulo'!F11/'1_Triangulo'!E11</f>
        <v>1.1681067074311819</v>
      </c>
      <c r="F11" s="25">
        <f>'1_Triangulo'!G11/'1_Triangulo'!F11</f>
        <v>1.1587904399343802</v>
      </c>
      <c r="G11" s="25">
        <f>'1_Triangulo'!H11/'1_Triangulo'!G11</f>
        <v>1.2153755936272277</v>
      </c>
      <c r="H11" s="25">
        <f>'1_Triangulo'!I11/'1_Triangulo'!H11</f>
        <v>1.1129678821384166</v>
      </c>
      <c r="I11" s="25">
        <f>'1_Triangulo'!J11/'1_Triangulo'!I11</f>
        <v>1.1573744464278299</v>
      </c>
      <c r="J11" s="25">
        <f>'1_Triangulo'!K11/'1_Triangulo'!J11</f>
        <v>1.053660271973633</v>
      </c>
      <c r="K11" s="25">
        <f>'1_Triangulo'!L11/'1_Triangulo'!K11</f>
        <v>1.0249743859186977</v>
      </c>
      <c r="L11" s="25">
        <f>'1_Triangulo'!M11/'1_Triangulo'!L11</f>
        <v>1.0639637753266622</v>
      </c>
      <c r="M11" s="25">
        <f>'1_Triangulo'!N11/'1_Triangulo'!M11</f>
        <v>1.0383704039666242</v>
      </c>
      <c r="N11" s="25">
        <f>'1_Triangulo'!O11/'1_Triangulo'!N11</f>
        <v>1.0248526636291575</v>
      </c>
      <c r="O11" s="25">
        <f>'1_Triangulo'!P11/'1_Triangulo'!O11</f>
        <v>1.0275299010025991</v>
      </c>
      <c r="P11" s="25">
        <f>'1_Triangulo'!Q11/'1_Triangulo'!P11</f>
        <v>1.0093807380861715</v>
      </c>
      <c r="Q11" s="25">
        <f>'1_Triangulo'!R11/'1_Triangulo'!Q11</f>
        <v>1.0190921307497407</v>
      </c>
      <c r="R11" s="25">
        <f>'1_Triangulo'!S11/'1_Triangulo'!R11</f>
        <v>1.0104981504752031</v>
      </c>
      <c r="S11" s="25">
        <f>'1_Triangulo'!T11/'1_Triangulo'!S11</f>
        <v>1.0112312717182128</v>
      </c>
      <c r="T11" s="23"/>
      <c r="U11" s="23"/>
      <c r="V11" s="23"/>
      <c r="W11" s="23"/>
      <c r="X11" s="23"/>
      <c r="Y11" s="23"/>
      <c r="Z11" s="23"/>
    </row>
    <row r="12" spans="1:26" ht="15" customHeight="1" x14ac:dyDescent="0.3">
      <c r="A12" s="15" t="s">
        <v>47</v>
      </c>
      <c r="B12" s="16" t="s">
        <v>48</v>
      </c>
      <c r="C12" s="24">
        <f>'1_Triangulo'!D12/'1_Triangulo'!C12</f>
        <v>1.6488750884797507</v>
      </c>
      <c r="D12" s="24">
        <f>'1_Triangulo'!E12/'1_Triangulo'!D12</f>
        <v>1.2570487928297622</v>
      </c>
      <c r="E12" s="24">
        <f>'1_Triangulo'!F12/'1_Triangulo'!E12</f>
        <v>1.2355119337587568</v>
      </c>
      <c r="F12" s="24">
        <f>'1_Triangulo'!G12/'1_Triangulo'!F12</f>
        <v>1.179159561444574</v>
      </c>
      <c r="G12" s="24">
        <f>'1_Triangulo'!H12/'1_Triangulo'!G12</f>
        <v>1.20162448949404</v>
      </c>
      <c r="H12" s="24">
        <f>'1_Triangulo'!I12/'1_Triangulo'!H12</f>
        <v>1.1090663130819034</v>
      </c>
      <c r="I12" s="24">
        <f>'1_Triangulo'!J12/'1_Triangulo'!I12</f>
        <v>1.1754669041972754</v>
      </c>
      <c r="J12" s="24">
        <f>'1_Triangulo'!K12/'1_Triangulo'!J12</f>
        <v>1.0189687621014929</v>
      </c>
      <c r="K12" s="24">
        <f>'1_Triangulo'!L12/'1_Triangulo'!K12</f>
        <v>1.0311864047797783</v>
      </c>
      <c r="L12" s="24">
        <f>'1_Triangulo'!M12/'1_Triangulo'!L12</f>
        <v>1.0452157280059777</v>
      </c>
      <c r="M12" s="24">
        <f>'1_Triangulo'!N12/'1_Triangulo'!M12</f>
        <v>1.0579617902218126</v>
      </c>
      <c r="N12" s="24">
        <f>'1_Triangulo'!O12/'1_Triangulo'!N12</f>
        <v>1.0172475863136261</v>
      </c>
      <c r="O12" s="24">
        <f>'1_Triangulo'!P12/'1_Triangulo'!O12</f>
        <v>1.0277166447607209</v>
      </c>
      <c r="P12" s="24">
        <f>'1_Triangulo'!Q12/'1_Triangulo'!P12</f>
        <v>1.0197813578672874</v>
      </c>
      <c r="Q12" s="24">
        <f>'1_Triangulo'!R12/'1_Triangulo'!Q12</f>
        <v>1.018430625230859</v>
      </c>
      <c r="R12" s="24">
        <f>'1_Triangulo'!S12/'1_Triangulo'!R12</f>
        <v>1.0077576964852819</v>
      </c>
      <c r="S12" s="23"/>
      <c r="T12" s="23"/>
      <c r="U12" s="23"/>
      <c r="V12" s="23"/>
      <c r="W12" s="23"/>
      <c r="X12" s="23"/>
      <c r="Y12" s="23"/>
      <c r="Z12" s="23"/>
    </row>
    <row r="13" spans="1:26" ht="15" customHeight="1" x14ac:dyDescent="0.3">
      <c r="A13" s="20" t="s">
        <v>49</v>
      </c>
      <c r="B13" s="21" t="s">
        <v>50</v>
      </c>
      <c r="C13" s="25">
        <f>'1_Triangulo'!D13/'1_Triangulo'!C13</f>
        <v>1.6997564479651657</v>
      </c>
      <c r="D13" s="25">
        <f>'1_Triangulo'!E13/'1_Triangulo'!D13</f>
        <v>1.3139831645998394</v>
      </c>
      <c r="E13" s="25">
        <f>'1_Triangulo'!F13/'1_Triangulo'!E13</f>
        <v>1.1956262739755568</v>
      </c>
      <c r="F13" s="25">
        <f>'1_Triangulo'!G13/'1_Triangulo'!F13</f>
        <v>1.1650994311179645</v>
      </c>
      <c r="G13" s="25">
        <f>'1_Triangulo'!H13/'1_Triangulo'!G13</f>
        <v>1.205765947510171</v>
      </c>
      <c r="H13" s="25">
        <f>'1_Triangulo'!I13/'1_Triangulo'!H13</f>
        <v>1.1482978955104308</v>
      </c>
      <c r="I13" s="25">
        <f>'1_Triangulo'!J13/'1_Triangulo'!I13</f>
        <v>1.1058868764514875</v>
      </c>
      <c r="J13" s="25">
        <f>'1_Triangulo'!K13/'1_Triangulo'!J13</f>
        <v>1.0656156030105872</v>
      </c>
      <c r="K13" s="25">
        <f>'1_Triangulo'!L13/'1_Triangulo'!K13</f>
        <v>1.0469569730755</v>
      </c>
      <c r="L13" s="25">
        <f>'1_Triangulo'!M13/'1_Triangulo'!L13</f>
        <v>1.0346756538024646</v>
      </c>
      <c r="M13" s="25">
        <f>'1_Triangulo'!N13/'1_Triangulo'!M13</f>
        <v>1.0576290938695962</v>
      </c>
      <c r="N13" s="25">
        <f>'1_Triangulo'!O13/'1_Triangulo'!N13</f>
        <v>1.0235160019124492</v>
      </c>
      <c r="O13" s="25">
        <f>'1_Triangulo'!P13/'1_Triangulo'!O13</f>
        <v>1.0245508627688529</v>
      </c>
      <c r="P13" s="25">
        <f>'1_Triangulo'!Q13/'1_Triangulo'!P13</f>
        <v>1.0205398558059313</v>
      </c>
      <c r="Q13" s="25">
        <f>'1_Triangulo'!R13/'1_Triangulo'!Q13</f>
        <v>1.0099672638254475</v>
      </c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" customHeight="1" x14ac:dyDescent="0.3">
      <c r="A14" s="15" t="s">
        <v>51</v>
      </c>
      <c r="B14" s="16" t="s">
        <v>52</v>
      </c>
      <c r="C14" s="24">
        <f>'1_Triangulo'!D14/'1_Triangulo'!C14</f>
        <v>1.716880084335866</v>
      </c>
      <c r="D14" s="24">
        <f>'1_Triangulo'!E14/'1_Triangulo'!D14</f>
        <v>1.2583558813810125</v>
      </c>
      <c r="E14" s="24">
        <f>'1_Triangulo'!F14/'1_Triangulo'!E14</f>
        <v>1.2171335557745326</v>
      </c>
      <c r="F14" s="24">
        <f>'1_Triangulo'!G14/'1_Triangulo'!F14</f>
        <v>1.2931156557241377</v>
      </c>
      <c r="G14" s="24">
        <f>'1_Triangulo'!H14/'1_Triangulo'!G14</f>
        <v>1.0862219870758305</v>
      </c>
      <c r="H14" s="24">
        <f>'1_Triangulo'!I14/'1_Triangulo'!H14</f>
        <v>1.1536920486795301</v>
      </c>
      <c r="I14" s="24">
        <f>'1_Triangulo'!J14/'1_Triangulo'!I14</f>
        <v>1.1209448502636079</v>
      </c>
      <c r="J14" s="24">
        <f>'1_Triangulo'!K14/'1_Triangulo'!J14</f>
        <v>1.044797376067846</v>
      </c>
      <c r="K14" s="24">
        <f>'1_Triangulo'!L14/'1_Triangulo'!K14</f>
        <v>1.0091689504771237</v>
      </c>
      <c r="L14" s="24">
        <f>'1_Triangulo'!M14/'1_Triangulo'!L14</f>
        <v>1.0852692532186565</v>
      </c>
      <c r="M14" s="24">
        <f>'1_Triangulo'!N14/'1_Triangulo'!M14</f>
        <v>1.0308349629835172</v>
      </c>
      <c r="N14" s="24">
        <f>'1_Triangulo'!O14/'1_Triangulo'!N14</f>
        <v>1.0270138645557496</v>
      </c>
      <c r="O14" s="24">
        <f>'1_Triangulo'!P14/'1_Triangulo'!O14</f>
        <v>1.020815937753818</v>
      </c>
      <c r="P14" s="24">
        <f>'1_Triangulo'!Q14/'1_Triangulo'!P14</f>
        <v>1.0247992963076979</v>
      </c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" customHeight="1" x14ac:dyDescent="0.3">
      <c r="A15" s="20" t="s">
        <v>53</v>
      </c>
      <c r="B15" s="21" t="s">
        <v>54</v>
      </c>
      <c r="C15" s="25">
        <f>'1_Triangulo'!D15/'1_Triangulo'!C15</f>
        <v>1.3887315244516329</v>
      </c>
      <c r="D15" s="25">
        <f>'1_Triangulo'!E15/'1_Triangulo'!D15</f>
        <v>1.3729139916060666</v>
      </c>
      <c r="E15" s="25">
        <f>'1_Triangulo'!F15/'1_Triangulo'!E15</f>
        <v>1.1469643855597933</v>
      </c>
      <c r="F15" s="25">
        <f>'1_Triangulo'!G15/'1_Triangulo'!F15</f>
        <v>1.241582053467873</v>
      </c>
      <c r="G15" s="25">
        <f>'1_Triangulo'!H15/'1_Triangulo'!G15</f>
        <v>1.206147238278092</v>
      </c>
      <c r="H15" s="25">
        <f>'1_Triangulo'!I15/'1_Triangulo'!H15</f>
        <v>1.1227226047509875</v>
      </c>
      <c r="I15" s="25">
        <f>'1_Triangulo'!J15/'1_Triangulo'!I15</f>
        <v>1.108662848906425</v>
      </c>
      <c r="J15" s="25">
        <f>'1_Triangulo'!K15/'1_Triangulo'!J15</f>
        <v>1.0573827500654494</v>
      </c>
      <c r="K15" s="25">
        <f>'1_Triangulo'!L15/'1_Triangulo'!K15</f>
        <v>1.0162037943749154</v>
      </c>
      <c r="L15" s="25">
        <f>'1_Triangulo'!M15/'1_Triangulo'!L15</f>
        <v>1.0811814041130428</v>
      </c>
      <c r="M15" s="25">
        <f>'1_Triangulo'!N15/'1_Triangulo'!M15</f>
        <v>1.052598054781984</v>
      </c>
      <c r="N15" s="25">
        <f>'1_Triangulo'!O15/'1_Triangulo'!N15</f>
        <v>1.0211433142292534</v>
      </c>
      <c r="O15" s="25">
        <f>'1_Triangulo'!P15/'1_Triangulo'!O15</f>
        <v>1.0179482211867312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" customHeight="1" x14ac:dyDescent="0.3">
      <c r="A16" s="15" t="s">
        <v>55</v>
      </c>
      <c r="B16" s="16" t="s">
        <v>56</v>
      </c>
      <c r="C16" s="24">
        <f>'1_Triangulo'!D16/'1_Triangulo'!C16</f>
        <v>1.5239885066905525</v>
      </c>
      <c r="D16" s="24">
        <f>'1_Triangulo'!E16/'1_Triangulo'!D16</f>
        <v>1.1623893931082938</v>
      </c>
      <c r="E16" s="24">
        <f>'1_Triangulo'!F16/'1_Triangulo'!E16</f>
        <v>1.3012861089666699</v>
      </c>
      <c r="F16" s="24">
        <f>'1_Triangulo'!G16/'1_Triangulo'!F16</f>
        <v>1.1809634153174617</v>
      </c>
      <c r="G16" s="24">
        <f>'1_Triangulo'!H16/'1_Triangulo'!G16</f>
        <v>1.2057841100957478</v>
      </c>
      <c r="H16" s="24">
        <f>'1_Triangulo'!I16/'1_Triangulo'!H16</f>
        <v>1.1121460926266884</v>
      </c>
      <c r="I16" s="24">
        <f>'1_Triangulo'!J16/'1_Triangulo'!I16</f>
        <v>1.1394758258925104</v>
      </c>
      <c r="J16" s="24">
        <f>'1_Triangulo'!K16/'1_Triangulo'!J16</f>
        <v>1.0586757098615687</v>
      </c>
      <c r="K16" s="24">
        <f>'1_Triangulo'!L16/'1_Triangulo'!K16</f>
        <v>1.0128256203268935</v>
      </c>
      <c r="L16" s="24">
        <f>'1_Triangulo'!M16/'1_Triangulo'!L16</f>
        <v>1.0644818773552533</v>
      </c>
      <c r="M16" s="24">
        <f>'1_Triangulo'!N16/'1_Triangulo'!M16</f>
        <v>1.0525577994911948</v>
      </c>
      <c r="N16" s="24">
        <f>'1_Triangulo'!O16/'1_Triangulo'!N16</f>
        <v>1.0219511839056494</v>
      </c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" customHeight="1" x14ac:dyDescent="0.3">
      <c r="A17" s="20" t="s">
        <v>57</v>
      </c>
      <c r="B17" s="21" t="s">
        <v>58</v>
      </c>
      <c r="C17" s="25">
        <f>'1_Triangulo'!D17/'1_Triangulo'!C17</f>
        <v>1.7721238381422966</v>
      </c>
      <c r="D17" s="25">
        <f>'1_Triangulo'!E17/'1_Triangulo'!D17</f>
        <v>1.2014533892302284</v>
      </c>
      <c r="E17" s="25">
        <f>'1_Triangulo'!F17/'1_Triangulo'!E17</f>
        <v>1.1669895168027042</v>
      </c>
      <c r="F17" s="25">
        <f>'1_Triangulo'!G17/'1_Triangulo'!F17</f>
        <v>1.268610588326661</v>
      </c>
      <c r="G17" s="25">
        <f>'1_Triangulo'!H17/'1_Triangulo'!G17</f>
        <v>1.1929674670049717</v>
      </c>
      <c r="H17" s="25">
        <f>'1_Triangulo'!I17/'1_Triangulo'!H17</f>
        <v>1.1184904256345056</v>
      </c>
      <c r="I17" s="25">
        <f>'1_Triangulo'!J17/'1_Triangulo'!I17</f>
        <v>1.0846177536160737</v>
      </c>
      <c r="J17" s="25">
        <f>'1_Triangulo'!K17/'1_Triangulo'!J17</f>
        <v>1.0669053316620454</v>
      </c>
      <c r="K17" s="25">
        <f>'1_Triangulo'!L17/'1_Triangulo'!K17</f>
        <v>1.0170854167391514</v>
      </c>
      <c r="L17" s="25">
        <f>'1_Triangulo'!M17/'1_Triangulo'!L17</f>
        <v>1.0774594033842617</v>
      </c>
      <c r="M17" s="25">
        <f>'1_Triangulo'!N17/'1_Triangulo'!M17</f>
        <v>1.0542245389610079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" customHeight="1" x14ac:dyDescent="0.3">
      <c r="A18" s="15" t="s">
        <v>59</v>
      </c>
      <c r="B18" s="16" t="s">
        <v>60</v>
      </c>
      <c r="C18" s="24">
        <f>'1_Triangulo'!D18/'1_Triangulo'!C18</f>
        <v>1.5255665182918574</v>
      </c>
      <c r="D18" s="24">
        <f>'1_Triangulo'!E18/'1_Triangulo'!D18</f>
        <v>1.9683579153324318</v>
      </c>
      <c r="E18" s="24">
        <f>'1_Triangulo'!F18/'1_Triangulo'!E18</f>
        <v>0.74300246738891318</v>
      </c>
      <c r="F18" s="24">
        <f>'1_Triangulo'!G18/'1_Triangulo'!F18</f>
        <v>1.2786375107551342</v>
      </c>
      <c r="G18" s="24">
        <f>'1_Triangulo'!H18/'1_Triangulo'!G18</f>
        <v>1.1903071775581882</v>
      </c>
      <c r="H18" s="24">
        <f>'1_Triangulo'!I18/'1_Triangulo'!H18</f>
        <v>1.1272334613711288</v>
      </c>
      <c r="I18" s="24">
        <f>'1_Triangulo'!J18/'1_Triangulo'!I18</f>
        <v>1.1763635051864278</v>
      </c>
      <c r="J18" s="24">
        <f>'1_Triangulo'!K18/'1_Triangulo'!J18</f>
        <v>1.0092919864023289</v>
      </c>
      <c r="K18" s="24">
        <f>'1_Triangulo'!L18/'1_Triangulo'!K18</f>
        <v>1.0154069008430566</v>
      </c>
      <c r="L18" s="24">
        <f>'1_Triangulo'!M18/'1_Triangulo'!L18</f>
        <v>1.0998091025127426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" customHeight="1" x14ac:dyDescent="0.3">
      <c r="A19" s="20" t="s">
        <v>61</v>
      </c>
      <c r="B19" s="21" t="s">
        <v>62</v>
      </c>
      <c r="C19" s="25">
        <f>'1_Triangulo'!D19/'1_Triangulo'!C19</f>
        <v>1.4596236189965779</v>
      </c>
      <c r="D19" s="25">
        <f>'1_Triangulo'!E19/'1_Triangulo'!D19</f>
        <v>1.3719251543939901</v>
      </c>
      <c r="E19" s="25">
        <f>'1_Triangulo'!F19/'1_Triangulo'!E19</f>
        <v>1.1786625573597818</v>
      </c>
      <c r="F19" s="25">
        <f>'1_Triangulo'!G19/'1_Triangulo'!F19</f>
        <v>1.1779862633398883</v>
      </c>
      <c r="G19" s="25">
        <f>'1_Triangulo'!H19/'1_Triangulo'!G19</f>
        <v>1.2053543559160393</v>
      </c>
      <c r="H19" s="25">
        <f>'1_Triangulo'!I19/'1_Triangulo'!H19</f>
        <v>1.1385921822426344</v>
      </c>
      <c r="I19" s="25">
        <f>'1_Triangulo'!J19/'1_Triangulo'!I19</f>
        <v>1.1136545349160198</v>
      </c>
      <c r="J19" s="25">
        <f>'1_Triangulo'!K19/'1_Triangulo'!J19</f>
        <v>1.0603205646012572</v>
      </c>
      <c r="K19" s="25">
        <f>'1_Triangulo'!L19/'1_Triangulo'!K19</f>
        <v>1.0108017908385052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" customHeight="1" x14ac:dyDescent="0.3">
      <c r="A20" s="15" t="s">
        <v>63</v>
      </c>
      <c r="B20" s="16" t="s">
        <v>64</v>
      </c>
      <c r="C20" s="24">
        <f>'1_Triangulo'!D20/'1_Triangulo'!C20</f>
        <v>1.5325499789199322</v>
      </c>
      <c r="D20" s="24">
        <f>'1_Triangulo'!E20/'1_Triangulo'!D20</f>
        <v>1.3952884904390661</v>
      </c>
      <c r="E20" s="24">
        <f>'1_Triangulo'!F20/'1_Triangulo'!E20</f>
        <v>1.127517575279376</v>
      </c>
      <c r="F20" s="24">
        <f>'1_Triangulo'!G20/'1_Triangulo'!F20</f>
        <v>1.3021411373977969</v>
      </c>
      <c r="G20" s="24">
        <f>'1_Triangulo'!H20/'1_Triangulo'!G20</f>
        <v>1.0755007736170692</v>
      </c>
      <c r="H20" s="24">
        <f>'1_Triangulo'!I20/'1_Triangulo'!H20</f>
        <v>1.1849519320995521</v>
      </c>
      <c r="I20" s="24">
        <f>'1_Triangulo'!J20/'1_Triangulo'!I20</f>
        <v>1.1388160908183704</v>
      </c>
      <c r="J20" s="24">
        <f>'1_Triangulo'!K20/'1_Triangulo'!J20</f>
        <v>1.0454831700700726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" customHeight="1" x14ac:dyDescent="0.3">
      <c r="A21" s="20" t="s">
        <v>65</v>
      </c>
      <c r="B21" s="21" t="s">
        <v>66</v>
      </c>
      <c r="C21" s="25">
        <f>'1_Triangulo'!D21/'1_Triangulo'!C21</f>
        <v>1.5713733590632031</v>
      </c>
      <c r="D21" s="25">
        <f>'1_Triangulo'!E21/'1_Triangulo'!D21</f>
        <v>1.3177501873328092</v>
      </c>
      <c r="E21" s="25">
        <f>'1_Triangulo'!F21/'1_Triangulo'!E21</f>
        <v>1.2191625953829677</v>
      </c>
      <c r="F21" s="25">
        <f>'1_Triangulo'!G21/'1_Triangulo'!F21</f>
        <v>1.2452005596572941</v>
      </c>
      <c r="G21" s="25">
        <f>'1_Triangulo'!H21/'1_Triangulo'!G21</f>
        <v>1.1555664051883208</v>
      </c>
      <c r="H21" s="25">
        <f>'1_Triangulo'!I21/'1_Triangulo'!H21</f>
        <v>1.1244255261451246</v>
      </c>
      <c r="I21" s="25">
        <f>'1_Triangulo'!J21/'1_Triangulo'!I21</f>
        <v>1.1538989183523916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" customHeight="1" x14ac:dyDescent="0.3">
      <c r="A22" s="15" t="s">
        <v>67</v>
      </c>
      <c r="B22" s="16" t="s">
        <v>68</v>
      </c>
      <c r="C22" s="24">
        <f>'1_Triangulo'!D22/'1_Triangulo'!C22</f>
        <v>1.4991536586333563</v>
      </c>
      <c r="D22" s="24">
        <f>'1_Triangulo'!E22/'1_Triangulo'!D22</f>
        <v>1.3758087542506778</v>
      </c>
      <c r="E22" s="24">
        <f>'1_Triangulo'!F22/'1_Triangulo'!E22</f>
        <v>1.1720869118643067</v>
      </c>
      <c r="F22" s="24">
        <f>'1_Triangulo'!G22/'1_Triangulo'!F22</f>
        <v>1.2146551675338284</v>
      </c>
      <c r="G22" s="24">
        <f>'1_Triangulo'!H22/'1_Triangulo'!G22</f>
        <v>1.2007099138865047</v>
      </c>
      <c r="H22" s="24">
        <f>'1_Triangulo'!I22/'1_Triangulo'!H22</f>
        <v>1.1400738948904563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" customHeight="1" x14ac:dyDescent="0.3">
      <c r="A23" s="20" t="s">
        <v>69</v>
      </c>
      <c r="B23" s="21" t="s">
        <v>70</v>
      </c>
      <c r="C23" s="25">
        <f>'1_Triangulo'!D23/'1_Triangulo'!C23</f>
        <v>1.4617033638550763</v>
      </c>
      <c r="D23" s="25">
        <f>'1_Triangulo'!E23/'1_Triangulo'!D23</f>
        <v>1.4574250121357892</v>
      </c>
      <c r="E23" s="25">
        <f>'1_Triangulo'!F23/'1_Triangulo'!E23</f>
        <v>1.1567776543345976</v>
      </c>
      <c r="F23" s="25">
        <f>'1_Triangulo'!G23/'1_Triangulo'!F23</f>
        <v>1.2370285826028691</v>
      </c>
      <c r="G23" s="25">
        <f>'1_Triangulo'!H23/'1_Triangulo'!G23</f>
        <v>1.1510392894845669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" customHeight="1" x14ac:dyDescent="0.3">
      <c r="A24" s="15" t="s">
        <v>71</v>
      </c>
      <c r="B24" s="16" t="s">
        <v>72</v>
      </c>
      <c r="C24" s="24">
        <f>'1_Triangulo'!D24/'1_Triangulo'!C24</f>
        <v>1.5223093336183753</v>
      </c>
      <c r="D24" s="24">
        <f>'1_Triangulo'!E24/'1_Triangulo'!D24</f>
        <v>1.3916845261404183</v>
      </c>
      <c r="E24" s="24">
        <f>'1_Triangulo'!F24/'1_Triangulo'!E24</f>
        <v>1.2151607997916782</v>
      </c>
      <c r="F24" s="24">
        <f>'1_Triangulo'!G24/'1_Triangulo'!F24</f>
        <v>1.2135181959262371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" customHeight="1" x14ac:dyDescent="0.3">
      <c r="A25" s="20" t="s">
        <v>73</v>
      </c>
      <c r="B25" s="21" t="s">
        <v>74</v>
      </c>
      <c r="C25" s="25">
        <f>'1_Triangulo'!D25/'1_Triangulo'!C25</f>
        <v>1.4891217614039955</v>
      </c>
      <c r="D25" s="25">
        <f>'1_Triangulo'!E25/'1_Triangulo'!D25</f>
        <v>1.3625474573243042</v>
      </c>
      <c r="E25" s="25">
        <f>'1_Triangulo'!F25/'1_Triangulo'!E25</f>
        <v>1.2411632360292322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" customHeight="1" x14ac:dyDescent="0.3">
      <c r="A26" s="15" t="s">
        <v>75</v>
      </c>
      <c r="B26" s="16" t="s">
        <v>76</v>
      </c>
      <c r="C26" s="24">
        <f>'1_Triangulo'!D26/'1_Triangulo'!C26</f>
        <v>1.5436554044268651</v>
      </c>
      <c r="D26" s="24">
        <f>'1_Triangulo'!E26/'1_Triangulo'!D26</f>
        <v>1.3583428331322636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" customHeight="1" x14ac:dyDescent="0.3">
      <c r="A27" s="20" t="s">
        <v>77</v>
      </c>
      <c r="B27" s="21" t="s">
        <v>78</v>
      </c>
      <c r="C27" s="25">
        <f>'1_Triangulo'!D27/'1_Triangulo'!C27</f>
        <v>1.650168750361195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" customHeight="1" x14ac:dyDescent="0.3">
      <c r="A28" s="15" t="s">
        <v>79</v>
      </c>
      <c r="B28" s="16" t="s">
        <v>80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8" customHeight="1" x14ac:dyDescent="0.3">
      <c r="A29" s="9" t="s">
        <v>108</v>
      </c>
      <c r="B29" s="9"/>
      <c r="C29" s="26">
        <f>SUM('1_Triangulo'!D4:D27)</f>
        <v>350091755</v>
      </c>
      <c r="D29" s="73">
        <f>SUM('1_Triangulo'!E4:E26)-'1_Triangulo'!E18</f>
        <v>415982072</v>
      </c>
      <c r="E29" s="73">
        <f>SUM('1_Triangulo'!F4:F25)-'1_Triangulo'!F18</f>
        <v>477185750</v>
      </c>
      <c r="F29" s="26">
        <f>SUM('1_Triangulo'!G4:G24)</f>
        <v>573931200</v>
      </c>
      <c r="G29" s="26">
        <f>SUM('1_Triangulo'!H4:H23)</f>
        <v>636270541</v>
      </c>
      <c r="H29" s="26">
        <f>SUM('1_Triangulo'!I4:I22)</f>
        <v>684194987</v>
      </c>
      <c r="I29" s="26">
        <f>SUM('1_Triangulo'!J4:J21)</f>
        <v>724311468</v>
      </c>
      <c r="J29" s="26">
        <f>SUM('1_Triangulo'!K4:K20)</f>
        <v>711754786</v>
      </c>
      <c r="K29" s="73">
        <f>SUM('1_Triangulo'!L14:L19)</f>
        <v>269641758.75</v>
      </c>
      <c r="L29" s="26">
        <f>SUM('1_Triangulo'!M4:M18)</f>
        <v>680497811</v>
      </c>
      <c r="M29" s="26">
        <f>SUM('1_Triangulo'!N4:N17)</f>
        <v>657592558</v>
      </c>
      <c r="N29" s="26">
        <f>SUM('1_Triangulo'!O4:O16)</f>
        <v>620161119</v>
      </c>
      <c r="O29" s="26">
        <f>SUM('1_Triangulo'!P4:P15)</f>
        <v>581365128</v>
      </c>
      <c r="P29" s="26">
        <f>SUM('1_Triangulo'!Q4:Q14)</f>
        <v>540936102</v>
      </c>
      <c r="Q29" s="26">
        <f>SUM('1_Triangulo'!R4:R13)</f>
        <v>498246991</v>
      </c>
      <c r="R29" s="26">
        <f>SUM('1_Triangulo'!S4:S12)</f>
        <v>449923648</v>
      </c>
      <c r="S29" s="26">
        <f>SUM('1_Triangulo'!T4:T11)</f>
        <v>401616506</v>
      </c>
      <c r="T29" s="26">
        <f>SUM('1_Triangulo'!U4:U10)</f>
        <v>353014021</v>
      </c>
      <c r="U29" s="26">
        <f>SUM('1_Triangulo'!V4:V9)</f>
        <v>303567757</v>
      </c>
      <c r="V29" s="26">
        <f>SUM('1_Triangulo'!W4:W8)</f>
        <v>253044296</v>
      </c>
      <c r="W29" s="26">
        <f>SUM('1_Triangulo'!X4:X7)</f>
        <v>201573982</v>
      </c>
      <c r="X29" s="26">
        <f>SUM('1_Triangulo'!Y4:Y6)</f>
        <v>151150254</v>
      </c>
      <c r="Y29" s="26">
        <f>SUM('1_Triangulo'!Z4:Z5)</f>
        <v>100374105</v>
      </c>
      <c r="Z29" s="26">
        <f>SUM('1_Triangulo'!AA4:AA4)</f>
        <v>49970260</v>
      </c>
    </row>
    <row r="30" spans="1:26" ht="18" customHeight="1" x14ac:dyDescent="0.3">
      <c r="A30" s="9" t="s">
        <v>109</v>
      </c>
      <c r="B30" s="9"/>
      <c r="C30" s="26">
        <f>SUM('1_Triangulo'!C4:C27)</f>
        <v>222830141</v>
      </c>
      <c r="D30" s="73">
        <f>SUM('1_Triangulo'!D4:D26)-'1_Triangulo'!D18</f>
        <v>317994493</v>
      </c>
      <c r="E30" s="73">
        <f>SUM('1_Triangulo'!E4:E25)-'1_Triangulo'!E18</f>
        <v>393902576</v>
      </c>
      <c r="F30" s="26">
        <f>SUM('1_Triangulo'!F4:F24)</f>
        <v>472747757</v>
      </c>
      <c r="G30" s="26">
        <f>SUM('1_Triangulo'!G4:G23)</f>
        <v>542015362</v>
      </c>
      <c r="H30" s="26">
        <f>SUM('1_Triangulo'!H4:H22)</f>
        <v>600621077</v>
      </c>
      <c r="I30" s="26">
        <f>SUM('1_Triangulo'!I4:I21)</f>
        <v>643366411</v>
      </c>
      <c r="J30" s="26">
        <f>SUM('1_Triangulo'!J4:J20)</f>
        <v>678800715</v>
      </c>
      <c r="K30" s="73">
        <f>SUM('1_Triangulo'!K14:K19)</f>
        <v>266030771</v>
      </c>
      <c r="L30" s="26">
        <f>SUM('1_Triangulo'!L4:L18)</f>
        <v>642278623.5</v>
      </c>
      <c r="M30" s="26">
        <f>SUM('1_Triangulo'!M4:M17)</f>
        <v>630712214</v>
      </c>
      <c r="N30" s="26">
        <f>SUM('1_Triangulo'!N4:N16)</f>
        <v>606191282</v>
      </c>
      <c r="O30" s="26">
        <f>SUM('1_Triangulo'!O4:O15)</f>
        <v>568638935</v>
      </c>
      <c r="P30" s="26">
        <f>SUM('1_Triangulo'!P4:P14)</f>
        <v>529437137</v>
      </c>
      <c r="Q30" s="26">
        <f>SUM('1_Triangulo'!Q4:Q13)</f>
        <v>488378192</v>
      </c>
      <c r="R30" s="26">
        <f>SUM('1_Triangulo'!R4:R12)</f>
        <v>445621054</v>
      </c>
      <c r="S30" s="26">
        <f>SUM('1_Triangulo'!S4:S11)</f>
        <v>397305934</v>
      </c>
      <c r="T30" s="26">
        <f>SUM('1_Triangulo'!T4:T10)</f>
        <v>349123429</v>
      </c>
      <c r="U30" s="26">
        <f>SUM('1_Triangulo'!U4:U9)</f>
        <v>300517590</v>
      </c>
      <c r="V30" s="26">
        <f>SUM('1_Triangulo'!V4:V8)</f>
        <v>251378184</v>
      </c>
      <c r="W30" s="26">
        <f>SUM('1_Triangulo'!W4:W7)</f>
        <v>200586462</v>
      </c>
      <c r="X30" s="26">
        <f>SUM('1_Triangulo'!X4:X6)</f>
        <v>150178804</v>
      </c>
      <c r="Y30" s="26">
        <f>SUM('1_Triangulo'!Y4:Y5)</f>
        <v>100042452</v>
      </c>
      <c r="Z30" s="26">
        <f>SUM('1_Triangulo'!Z4:Z4)</f>
        <v>49794831</v>
      </c>
    </row>
    <row r="31" spans="1:26" ht="18" customHeight="1" x14ac:dyDescent="0.3">
      <c r="A31" s="8" t="s">
        <v>110</v>
      </c>
      <c r="B31" s="8"/>
      <c r="C31" s="27">
        <f t="shared" ref="C31:Z31" si="0">C29/C30</f>
        <v>1.5711149013723418</v>
      </c>
      <c r="D31" s="27">
        <f t="shared" si="0"/>
        <v>1.3081423771700349</v>
      </c>
      <c r="E31" s="27">
        <f t="shared" si="0"/>
        <v>1.2114308945265695</v>
      </c>
      <c r="F31" s="27">
        <f t="shared" si="0"/>
        <v>1.2140326241674797</v>
      </c>
      <c r="G31" s="27">
        <f t="shared" si="0"/>
        <v>1.1738976154701681</v>
      </c>
      <c r="H31" s="27">
        <f t="shared" si="0"/>
        <v>1.1391458162231627</v>
      </c>
      <c r="I31" s="27">
        <f t="shared" si="0"/>
        <v>1.1258148632195224</v>
      </c>
      <c r="J31" s="27">
        <f t="shared" si="0"/>
        <v>1.0485474901127645</v>
      </c>
      <c r="K31" s="27">
        <f t="shared" si="0"/>
        <v>1.0135735717203933</v>
      </c>
      <c r="L31" s="27">
        <f t="shared" si="0"/>
        <v>1.0595056196822032</v>
      </c>
      <c r="M31" s="27">
        <f t="shared" si="0"/>
        <v>1.042619031950442</v>
      </c>
      <c r="N31" s="27">
        <f t="shared" si="0"/>
        <v>1.0230452621388904</v>
      </c>
      <c r="O31" s="27">
        <f t="shared" si="0"/>
        <v>1.0223800943211883</v>
      </c>
      <c r="P31" s="27">
        <f t="shared" si="0"/>
        <v>1.0217192263186479</v>
      </c>
      <c r="Q31" s="27">
        <f t="shared" si="0"/>
        <v>1.0202072884532076</v>
      </c>
      <c r="R31" s="27">
        <f t="shared" si="0"/>
        <v>1.0096552753990837</v>
      </c>
      <c r="S31" s="27">
        <f t="shared" si="0"/>
        <v>1.0108495031941809</v>
      </c>
      <c r="T31" s="27">
        <f t="shared" si="0"/>
        <v>1.0111438868801899</v>
      </c>
      <c r="U31" s="27">
        <f t="shared" si="0"/>
        <v>1.010149712035159</v>
      </c>
      <c r="V31" s="27">
        <f t="shared" si="0"/>
        <v>1.006627910081489</v>
      </c>
      <c r="W31" s="27">
        <f t="shared" si="0"/>
        <v>1.0049231637576816</v>
      </c>
      <c r="X31" s="27">
        <f t="shared" si="0"/>
        <v>1.0064686225627419</v>
      </c>
      <c r="Y31" s="27">
        <f t="shared" si="0"/>
        <v>1.0033151226641266</v>
      </c>
      <c r="Z31" s="27">
        <f t="shared" si="0"/>
        <v>1.0035230363569263</v>
      </c>
    </row>
    <row r="33" spans="1:26" ht="18" customHeight="1" x14ac:dyDescent="0.3">
      <c r="A33" s="7" t="s">
        <v>111</v>
      </c>
      <c r="B33" s="7"/>
      <c r="C33" s="28">
        <f t="shared" ref="C33:Y33" si="1">C31*D33</f>
        <v>6.2243369552594956</v>
      </c>
      <c r="D33" s="28">
        <f t="shared" si="1"/>
        <v>3.9617324931630682</v>
      </c>
      <c r="E33" s="28">
        <f t="shared" si="1"/>
        <v>3.0285178145009475</v>
      </c>
      <c r="F33" s="28">
        <f t="shared" si="1"/>
        <v>2.4999509490671366</v>
      </c>
      <c r="G33" s="28">
        <f t="shared" si="1"/>
        <v>2.0592123302958787</v>
      </c>
      <c r="H33" s="28">
        <f t="shared" si="1"/>
        <v>1.7541668908417754</v>
      </c>
      <c r="I33" s="28">
        <f t="shared" si="1"/>
        <v>1.5398967066900309</v>
      </c>
      <c r="J33" s="28">
        <f t="shared" si="1"/>
        <v>1.3678063392113582</v>
      </c>
      <c r="K33" s="28">
        <f t="shared" si="1"/>
        <v>1.3044772431473366</v>
      </c>
      <c r="L33" s="28">
        <f t="shared" si="1"/>
        <v>1.2870079484542762</v>
      </c>
      <c r="M33" s="28">
        <f t="shared" si="1"/>
        <v>1.2147249854515278</v>
      </c>
      <c r="N33" s="28">
        <f t="shared" si="1"/>
        <v>1.1650707959734101</v>
      </c>
      <c r="O33" s="28">
        <f t="shared" si="1"/>
        <v>1.1388262465900929</v>
      </c>
      <c r="P33" s="28">
        <f t="shared" si="1"/>
        <v>1.1138971238932613</v>
      </c>
      <c r="Q33" s="28">
        <f t="shared" si="1"/>
        <v>1.0902184232225318</v>
      </c>
      <c r="R33" s="28">
        <f t="shared" si="1"/>
        <v>1.0686244212933158</v>
      </c>
      <c r="S33" s="28">
        <f t="shared" si="1"/>
        <v>1.0584052273395228</v>
      </c>
      <c r="T33" s="28">
        <f t="shared" si="1"/>
        <v>1.0470453059481859</v>
      </c>
      <c r="U33" s="28">
        <f t="shared" si="1"/>
        <v>1.0355057470393925</v>
      </c>
      <c r="V33" s="28">
        <f t="shared" si="1"/>
        <v>1.0251012643988666</v>
      </c>
      <c r="W33" s="28">
        <f t="shared" si="1"/>
        <v>1.0183517207623243</v>
      </c>
      <c r="X33" s="28">
        <f t="shared" si="1"/>
        <v>1.0133627699001679</v>
      </c>
      <c r="Y33" s="28">
        <f t="shared" si="1"/>
        <v>1.0068498383187263</v>
      </c>
      <c r="Z33" s="28">
        <f>Z31</f>
        <v>1.0035230363569263</v>
      </c>
    </row>
    <row r="34" spans="1:26" ht="18" customHeight="1" x14ac:dyDescent="0.3">
      <c r="A34" s="7" t="s">
        <v>112</v>
      </c>
      <c r="B34" s="7"/>
      <c r="C34" s="29">
        <f t="shared" ref="C34:Z34" si="2">1/C33</f>
        <v>0.16065968265985522</v>
      </c>
      <c r="D34" s="29">
        <f t="shared" si="2"/>
        <v>0.25241482147665018</v>
      </c>
      <c r="E34" s="29">
        <f t="shared" si="2"/>
        <v>0.33019452459941512</v>
      </c>
      <c r="F34" s="29">
        <f t="shared" si="2"/>
        <v>0.40000784830324482</v>
      </c>
      <c r="G34" s="29">
        <f t="shared" si="2"/>
        <v>0.48562257776317541</v>
      </c>
      <c r="H34" s="29">
        <f t="shared" si="2"/>
        <v>0.57007118605466789</v>
      </c>
      <c r="I34" s="29">
        <f t="shared" si="2"/>
        <v>0.64939420654355107</v>
      </c>
      <c r="J34" s="29">
        <f t="shared" si="2"/>
        <v>0.73109764981537828</v>
      </c>
      <c r="K34" s="29">
        <f t="shared" si="2"/>
        <v>0.7665906057412557</v>
      </c>
      <c r="L34" s="29">
        <f t="shared" si="2"/>
        <v>0.77699597830846434</v>
      </c>
      <c r="M34" s="29">
        <f t="shared" si="2"/>
        <v>0.82323160548828922</v>
      </c>
      <c r="N34" s="29">
        <f t="shared" si="2"/>
        <v>0.85831693958520827</v>
      </c>
      <c r="O34" s="29">
        <f t="shared" si="2"/>
        <v>0.87809707845619944</v>
      </c>
      <c r="P34" s="29">
        <f t="shared" si="2"/>
        <v>0.89774897389520913</v>
      </c>
      <c r="Q34" s="29">
        <f t="shared" si="2"/>
        <v>0.91724738703657305</v>
      </c>
      <c r="R34" s="29">
        <f t="shared" si="2"/>
        <v>0.93578246956937194</v>
      </c>
      <c r="S34" s="29">
        <f t="shared" si="2"/>
        <v>0.94481770702669898</v>
      </c>
      <c r="T34" s="29">
        <f t="shared" si="2"/>
        <v>0.95506850975700375</v>
      </c>
      <c r="U34" s="29">
        <f t="shared" si="2"/>
        <v>0.96571168519256734</v>
      </c>
      <c r="V34" s="29">
        <f t="shared" si="2"/>
        <v>0.97551338070625992</v>
      </c>
      <c r="W34" s="29">
        <f t="shared" si="2"/>
        <v>0.98197899567687041</v>
      </c>
      <c r="X34" s="29">
        <f t="shared" si="2"/>
        <v>0.98681343907919139</v>
      </c>
      <c r="Y34" s="29">
        <f t="shared" si="2"/>
        <v>0.99319676275643598</v>
      </c>
      <c r="Z34" s="29">
        <f t="shared" si="2"/>
        <v>0.9964893318545871</v>
      </c>
    </row>
    <row r="35" spans="1:26" ht="18" customHeight="1" x14ac:dyDescent="0.3">
      <c r="A35" s="6" t="s">
        <v>113</v>
      </c>
      <c r="B35" s="6"/>
      <c r="C35" s="30">
        <f t="shared" ref="C35:Z35" si="3">1-C34</f>
        <v>0.8393403173401448</v>
      </c>
      <c r="D35" s="30">
        <f t="shared" si="3"/>
        <v>0.74758517852334982</v>
      </c>
      <c r="E35" s="30">
        <f t="shared" si="3"/>
        <v>0.66980547540058488</v>
      </c>
      <c r="F35" s="30">
        <f t="shared" si="3"/>
        <v>0.59999215169675524</v>
      </c>
      <c r="G35" s="30">
        <f t="shared" si="3"/>
        <v>0.51437742223682459</v>
      </c>
      <c r="H35" s="30">
        <f t="shared" si="3"/>
        <v>0.42992881394533211</v>
      </c>
      <c r="I35" s="30">
        <f t="shared" si="3"/>
        <v>0.35060579345644893</v>
      </c>
      <c r="J35" s="30">
        <f t="shared" si="3"/>
        <v>0.26890235018462172</v>
      </c>
      <c r="K35" s="30">
        <f t="shared" si="3"/>
        <v>0.2334093942587443</v>
      </c>
      <c r="L35" s="30">
        <f t="shared" si="3"/>
        <v>0.22300402169153566</v>
      </c>
      <c r="M35" s="30">
        <f t="shared" si="3"/>
        <v>0.17676839451171078</v>
      </c>
      <c r="N35" s="30">
        <f t="shared" si="3"/>
        <v>0.14168306041479173</v>
      </c>
      <c r="O35" s="30">
        <f t="shared" si="3"/>
        <v>0.12190292154380056</v>
      </c>
      <c r="P35" s="30">
        <f t="shared" si="3"/>
        <v>0.10225102610479087</v>
      </c>
      <c r="Q35" s="30">
        <f t="shared" si="3"/>
        <v>8.2752612963426952E-2</v>
      </c>
      <c r="R35" s="30">
        <f t="shared" si="3"/>
        <v>6.4217530430628056E-2</v>
      </c>
      <c r="S35" s="30">
        <f t="shared" si="3"/>
        <v>5.5182292973301017E-2</v>
      </c>
      <c r="T35" s="30">
        <f t="shared" si="3"/>
        <v>4.4931490242996253E-2</v>
      </c>
      <c r="U35" s="30">
        <f t="shared" si="3"/>
        <v>3.4288314807432663E-2</v>
      </c>
      <c r="V35" s="30">
        <f t="shared" si="3"/>
        <v>2.4486619293740075E-2</v>
      </c>
      <c r="W35" s="30">
        <f t="shared" si="3"/>
        <v>1.8021004323129586E-2</v>
      </c>
      <c r="X35" s="30">
        <f t="shared" si="3"/>
        <v>1.318656092080861E-2</v>
      </c>
      <c r="Y35" s="30">
        <f t="shared" si="3"/>
        <v>6.8032372435640198E-3</v>
      </c>
      <c r="Z35" s="30">
        <f t="shared" si="3"/>
        <v>3.5106681454128985E-3</v>
      </c>
    </row>
  </sheetData>
  <mergeCells count="8">
    <mergeCell ref="A33:B33"/>
    <mergeCell ref="A34:B34"/>
    <mergeCell ref="A35:B35"/>
    <mergeCell ref="A1:Y1"/>
    <mergeCell ref="A2:Y2"/>
    <mergeCell ref="A29:B29"/>
    <mergeCell ref="A30:B30"/>
    <mergeCell ref="A31:B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9"/>
  <sheetViews>
    <sheetView showGridLines="0" zoomScaleNormal="100" workbookViewId="0">
      <pane xSplit="2" ySplit="3" topLeftCell="P18" activePane="bottomRight" state="frozen"/>
      <selection pane="topRight" activeCell="C1" sqref="C1"/>
      <selection pane="bottomLeft" activeCell="A4" sqref="A4"/>
      <selection pane="bottomRight" activeCell="AB29" sqref="AB29"/>
    </sheetView>
  </sheetViews>
  <sheetFormatPr baseColWidth="10" defaultColWidth="8.6640625" defaultRowHeight="14.4" x14ac:dyDescent="0.3"/>
  <cols>
    <col min="1" max="2" width="10" customWidth="1"/>
    <col min="3" max="27" width="12" customWidth="1"/>
    <col min="28" max="28" width="12.6640625" bestFit="1" customWidth="1"/>
    <col min="29" max="30" width="12" customWidth="1"/>
  </cols>
  <sheetData>
    <row r="1" spans="1:30" ht="25.5" customHeight="1" x14ac:dyDescent="0.3">
      <c r="A1" s="11" t="s">
        <v>114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15.75" customHeight="1" x14ac:dyDescent="0.3">
      <c r="A2" s="10" t="s">
        <v>115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31.5" customHeight="1" x14ac:dyDescent="0.3">
      <c r="A3" s="12" t="s">
        <v>2</v>
      </c>
      <c r="B3" s="12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16</v>
      </c>
      <c r="P3" s="13" t="s">
        <v>17</v>
      </c>
      <c r="Q3" s="13" t="s">
        <v>18</v>
      </c>
      <c r="R3" s="13" t="s">
        <v>19</v>
      </c>
      <c r="S3" s="13" t="s">
        <v>20</v>
      </c>
      <c r="T3" s="13" t="s">
        <v>21</v>
      </c>
      <c r="U3" s="13" t="s">
        <v>22</v>
      </c>
      <c r="V3" s="13" t="s">
        <v>23</v>
      </c>
      <c r="W3" s="13" t="s">
        <v>24</v>
      </c>
      <c r="X3" s="13" t="s">
        <v>25</v>
      </c>
      <c r="Y3" s="13" t="s">
        <v>26</v>
      </c>
      <c r="Z3" s="13" t="s">
        <v>27</v>
      </c>
      <c r="AA3" s="13" t="s">
        <v>28</v>
      </c>
      <c r="AB3" s="31" t="s">
        <v>116</v>
      </c>
      <c r="AC3" s="14" t="s">
        <v>117</v>
      </c>
      <c r="AD3" s="32" t="s">
        <v>118</v>
      </c>
    </row>
    <row r="4" spans="1:30" ht="15" customHeight="1" x14ac:dyDescent="0.3">
      <c r="A4" s="15" t="s">
        <v>31</v>
      </c>
      <c r="B4" s="16" t="s">
        <v>32</v>
      </c>
      <c r="C4" s="17">
        <f>'1_Triangulo'!C4</f>
        <v>8043230</v>
      </c>
      <c r="D4" s="17">
        <f>'1_Triangulo'!D4</f>
        <v>12749167</v>
      </c>
      <c r="E4" s="17">
        <f>'1_Triangulo'!E4</f>
        <v>16473151</v>
      </c>
      <c r="F4" s="17">
        <f>'1_Triangulo'!F4</f>
        <v>20490701</v>
      </c>
      <c r="G4" s="17">
        <f>'1_Triangulo'!G4</f>
        <v>23608335</v>
      </c>
      <c r="H4" s="17">
        <f>'1_Triangulo'!H4</f>
        <v>27627507</v>
      </c>
      <c r="I4" s="17">
        <f>'1_Triangulo'!I4</f>
        <v>32596498</v>
      </c>
      <c r="J4" s="17">
        <f>'1_Triangulo'!J4</f>
        <v>36181589</v>
      </c>
      <c r="K4" s="17">
        <f>'1_Triangulo'!K4</f>
        <v>37392902</v>
      </c>
      <c r="L4" s="17">
        <f>'1_Triangulo'!L4</f>
        <v>39642407</v>
      </c>
      <c r="M4" s="17">
        <f>'1_Triangulo'!M4</f>
        <v>41059821</v>
      </c>
      <c r="N4" s="17">
        <f>'1_Triangulo'!N4</f>
        <v>42891272</v>
      </c>
      <c r="O4" s="17">
        <f>'1_Triangulo'!O4</f>
        <v>44085473</v>
      </c>
      <c r="P4" s="17">
        <f>'1_Triangulo'!P4</f>
        <v>44497842</v>
      </c>
      <c r="Q4" s="17">
        <f>'1_Triangulo'!Q4</f>
        <v>45568358</v>
      </c>
      <c r="R4" s="17">
        <f>'1_Triangulo'!R4</f>
        <v>46813892</v>
      </c>
      <c r="S4" s="17">
        <f>'1_Triangulo'!S4</f>
        <v>47246038</v>
      </c>
      <c r="T4" s="17">
        <f>'1_Triangulo'!T4</f>
        <v>47967056</v>
      </c>
      <c r="U4" s="17">
        <f>'1_Triangulo'!U4</f>
        <v>48296965</v>
      </c>
      <c r="V4" s="17">
        <f>'1_Triangulo'!V4</f>
        <v>48755419</v>
      </c>
      <c r="W4" s="17">
        <f>'1_Triangulo'!W4</f>
        <v>49303699</v>
      </c>
      <c r="X4" s="17">
        <f>'1_Triangulo'!X4</f>
        <v>49380886</v>
      </c>
      <c r="Y4" s="17">
        <f>'1_Triangulo'!Y4</f>
        <v>49649946</v>
      </c>
      <c r="Z4" s="17">
        <f>'1_Triangulo'!Z4</f>
        <v>49794831</v>
      </c>
      <c r="AA4" s="33">
        <f>'1_Triangulo'!AA4</f>
        <v>49970260</v>
      </c>
      <c r="AB4" s="18">
        <f t="shared" ref="AB4:AB28" si="0">AA4</f>
        <v>49970260</v>
      </c>
      <c r="AC4" s="34">
        <f>'1_Triangulo'!AA4</f>
        <v>49970260</v>
      </c>
      <c r="AD4" s="18">
        <f t="shared" ref="AD4:AD28" si="1">AB4-AC4</f>
        <v>0</v>
      </c>
    </row>
    <row r="5" spans="1:30" ht="15" customHeight="1" x14ac:dyDescent="0.3">
      <c r="A5" s="20" t="s">
        <v>33</v>
      </c>
      <c r="B5" s="21" t="s">
        <v>34</v>
      </c>
      <c r="C5" s="22">
        <f>'1_Triangulo'!C5</f>
        <v>8026787</v>
      </c>
      <c r="D5" s="22">
        <f>'1_Triangulo'!D5</f>
        <v>12478218</v>
      </c>
      <c r="E5" s="22">
        <f>'1_Triangulo'!E5</f>
        <v>16561110</v>
      </c>
      <c r="F5" s="22">
        <f>'1_Triangulo'!F5</f>
        <v>19671914</v>
      </c>
      <c r="G5" s="22">
        <f>'1_Triangulo'!G5</f>
        <v>23896258</v>
      </c>
      <c r="H5" s="22">
        <f>'1_Triangulo'!H5</f>
        <v>27806005</v>
      </c>
      <c r="I5" s="22">
        <f>'1_Triangulo'!I5</f>
        <v>33182773</v>
      </c>
      <c r="J5" s="22">
        <f>'1_Triangulo'!J5</f>
        <v>36270491</v>
      </c>
      <c r="K5" s="22">
        <f>'1_Triangulo'!K5</f>
        <v>37629155</v>
      </c>
      <c r="L5" s="22">
        <f>'1_Triangulo'!L5</f>
        <v>40293411</v>
      </c>
      <c r="M5" s="22">
        <f>'1_Triangulo'!M5</f>
        <v>41332746</v>
      </c>
      <c r="N5" s="22">
        <f>'1_Triangulo'!N5</f>
        <v>43695091</v>
      </c>
      <c r="O5" s="22">
        <f>'1_Triangulo'!O5</f>
        <v>44033840</v>
      </c>
      <c r="P5" s="22">
        <f>'1_Triangulo'!P5</f>
        <v>45247872</v>
      </c>
      <c r="Q5" s="22">
        <f>'1_Triangulo'!Q5</f>
        <v>46619184</v>
      </c>
      <c r="R5" s="22">
        <f>'1_Triangulo'!R5</f>
        <v>47705616</v>
      </c>
      <c r="S5" s="22">
        <f>'1_Triangulo'!S5</f>
        <v>48088887</v>
      </c>
      <c r="T5" s="22">
        <f>'1_Triangulo'!T5</f>
        <v>48548192</v>
      </c>
      <c r="U5" s="22">
        <f>'1_Triangulo'!U5</f>
        <v>49027700</v>
      </c>
      <c r="V5" s="22">
        <f>'1_Triangulo'!V5</f>
        <v>49404837</v>
      </c>
      <c r="W5" s="22">
        <f>'1_Triangulo'!W5</f>
        <v>49751067</v>
      </c>
      <c r="X5" s="22">
        <f>'1_Triangulo'!X5</f>
        <v>50026159</v>
      </c>
      <c r="Y5" s="22">
        <f>'1_Triangulo'!Y5</f>
        <v>50392506</v>
      </c>
      <c r="Z5" s="33">
        <f>'1_Triangulo'!Z5</f>
        <v>50579274</v>
      </c>
      <c r="AA5" s="35">
        <f>Z5*'2_Factores'!Z31</f>
        <v>50757466.621208936</v>
      </c>
      <c r="AB5" s="18">
        <f t="shared" si="0"/>
        <v>50757466.621208936</v>
      </c>
      <c r="AC5" s="34">
        <f>'1_Triangulo'!Z5</f>
        <v>50579274</v>
      </c>
      <c r="AD5" s="18">
        <f t="shared" si="1"/>
        <v>178192.62120893598</v>
      </c>
    </row>
    <row r="6" spans="1:30" ht="15" customHeight="1" x14ac:dyDescent="0.3">
      <c r="A6" s="15" t="s">
        <v>35</v>
      </c>
      <c r="B6" s="16" t="s">
        <v>36</v>
      </c>
      <c r="C6" s="17">
        <f>'1_Triangulo'!C6</f>
        <v>7547459</v>
      </c>
      <c r="D6" s="17">
        <f>'1_Triangulo'!D6</f>
        <v>13305190</v>
      </c>
      <c r="E6" s="17">
        <f>'1_Triangulo'!E6</f>
        <v>16410123</v>
      </c>
      <c r="F6" s="17">
        <f>'1_Triangulo'!F6</f>
        <v>19898245</v>
      </c>
      <c r="G6" s="17">
        <f>'1_Triangulo'!G6</f>
        <v>24703335</v>
      </c>
      <c r="H6" s="17">
        <f>'1_Triangulo'!H6</f>
        <v>29063602</v>
      </c>
      <c r="I6" s="17">
        <f>'1_Triangulo'!I6</f>
        <v>33129961</v>
      </c>
      <c r="J6" s="17">
        <f>'1_Triangulo'!J6</f>
        <v>36336823</v>
      </c>
      <c r="K6" s="17">
        <f>'1_Triangulo'!K6</f>
        <v>38481672</v>
      </c>
      <c r="L6" s="17">
        <f>'1_Triangulo'!L6</f>
        <v>40628864</v>
      </c>
      <c r="M6" s="17">
        <f>'1_Triangulo'!M6</f>
        <v>42718987</v>
      </c>
      <c r="N6" s="17">
        <f>'1_Triangulo'!N6</f>
        <v>44050445</v>
      </c>
      <c r="O6" s="17">
        <f>'1_Triangulo'!O6</f>
        <v>45153748</v>
      </c>
      <c r="P6" s="17">
        <f>'1_Triangulo'!P6</f>
        <v>45915529</v>
      </c>
      <c r="Q6" s="17">
        <f>'1_Triangulo'!Q6</f>
        <v>46926085</v>
      </c>
      <c r="R6" s="17">
        <f>'1_Triangulo'!R6</f>
        <v>48363556</v>
      </c>
      <c r="S6" s="17">
        <f>'1_Triangulo'!S6</f>
        <v>48946892</v>
      </c>
      <c r="T6" s="17">
        <f>'1_Triangulo'!T6</f>
        <v>49209093</v>
      </c>
      <c r="U6" s="17">
        <f>'1_Triangulo'!U6</f>
        <v>49862927</v>
      </c>
      <c r="V6" s="17">
        <f>'1_Triangulo'!V6</f>
        <v>50284216</v>
      </c>
      <c r="W6" s="17">
        <f>'1_Triangulo'!W6</f>
        <v>50428976</v>
      </c>
      <c r="X6" s="17">
        <f>'1_Triangulo'!X6</f>
        <v>50771759</v>
      </c>
      <c r="Y6" s="33">
        <f>'1_Triangulo'!Y6</f>
        <v>51107802</v>
      </c>
      <c r="Z6" s="35">
        <f>Y6*'2_Factores'!Y31</f>
        <v>51277230.632723898</v>
      </c>
      <c r="AA6" s="35">
        <f>Z6*'2_Factores'!Z31</f>
        <v>51457882.180525482</v>
      </c>
      <c r="AB6" s="18">
        <f t="shared" si="0"/>
        <v>51457882.180525482</v>
      </c>
      <c r="AC6" s="34">
        <f>'1_Triangulo'!Y6</f>
        <v>51107802</v>
      </c>
      <c r="AD6" s="18">
        <f t="shared" si="1"/>
        <v>350080.1805254817</v>
      </c>
    </row>
    <row r="7" spans="1:30" ht="15" customHeight="1" x14ac:dyDescent="0.3">
      <c r="A7" s="20" t="s">
        <v>37</v>
      </c>
      <c r="B7" s="21" t="s">
        <v>38</v>
      </c>
      <c r="C7" s="22">
        <f>'1_Triangulo'!C7</f>
        <v>8196316</v>
      </c>
      <c r="D7" s="22">
        <f>'1_Triangulo'!D7</f>
        <v>14072883</v>
      </c>
      <c r="E7" s="22">
        <f>'1_Triangulo'!E7</f>
        <v>15565617</v>
      </c>
      <c r="F7" s="22">
        <f>'1_Triangulo'!F7</f>
        <v>20952216</v>
      </c>
      <c r="G7" s="22">
        <f>'1_Triangulo'!G7</f>
        <v>24749531</v>
      </c>
      <c r="H7" s="22">
        <f>'1_Triangulo'!H7</f>
        <v>28724252</v>
      </c>
      <c r="I7" s="22">
        <f>'1_Triangulo'!I7</f>
        <v>33121092</v>
      </c>
      <c r="J7" s="22">
        <f>'1_Triangulo'!J7</f>
        <v>36239250</v>
      </c>
      <c r="K7" s="22">
        <f>'1_Triangulo'!K7</f>
        <v>39042314</v>
      </c>
      <c r="L7" s="22">
        <f>'1_Triangulo'!L7</f>
        <v>41187384</v>
      </c>
      <c r="M7" s="22">
        <f>'1_Triangulo'!M7</f>
        <v>43489183</v>
      </c>
      <c r="N7" s="22">
        <f>'1_Triangulo'!N7</f>
        <v>44630626</v>
      </c>
      <c r="O7" s="22">
        <f>'1_Triangulo'!O7</f>
        <v>45574135</v>
      </c>
      <c r="P7" s="22">
        <f>'1_Triangulo'!P7</f>
        <v>46694631</v>
      </c>
      <c r="Q7" s="22">
        <f>'1_Triangulo'!Q7</f>
        <v>48052882</v>
      </c>
      <c r="R7" s="22">
        <f>'1_Triangulo'!R7</f>
        <v>48915394</v>
      </c>
      <c r="S7" s="22">
        <f>'1_Triangulo'!S7</f>
        <v>49268124</v>
      </c>
      <c r="T7" s="22">
        <f>'1_Triangulo'!T7</f>
        <v>49963443</v>
      </c>
      <c r="U7" s="22">
        <f>'1_Triangulo'!U7</f>
        <v>50411848</v>
      </c>
      <c r="V7" s="22">
        <f>'1_Triangulo'!V7</f>
        <v>51033429</v>
      </c>
      <c r="W7" s="22">
        <f>'1_Triangulo'!W7</f>
        <v>51102720</v>
      </c>
      <c r="X7" s="33">
        <f>'1_Triangulo'!X7</f>
        <v>51395178</v>
      </c>
      <c r="Y7" s="35">
        <f>X7*'2_Factores'!X31</f>
        <v>51727634.008026935</v>
      </c>
      <c r="Z7" s="35">
        <f>Y7*'2_Factores'!Y31</f>
        <v>51899117.459888592</v>
      </c>
      <c r="AA7" s="35">
        <f>Z7*'2_Factores'!Z31</f>
        <v>52081959.937592171</v>
      </c>
      <c r="AB7" s="18">
        <f t="shared" si="0"/>
        <v>52081959.937592171</v>
      </c>
      <c r="AC7" s="34">
        <f>'1_Triangulo'!X7</f>
        <v>51395178</v>
      </c>
      <c r="AD7" s="18">
        <f t="shared" si="1"/>
        <v>686781.93759217113</v>
      </c>
    </row>
    <row r="8" spans="1:30" ht="15" customHeight="1" x14ac:dyDescent="0.3">
      <c r="A8" s="15" t="s">
        <v>39</v>
      </c>
      <c r="B8" s="16" t="s">
        <v>40</v>
      </c>
      <c r="C8" s="17">
        <f>'1_Triangulo'!C8</f>
        <v>8189220</v>
      </c>
      <c r="D8" s="17">
        <f>'1_Triangulo'!D8</f>
        <v>12850472</v>
      </c>
      <c r="E8" s="17">
        <f>'1_Triangulo'!E8</f>
        <v>17199059</v>
      </c>
      <c r="F8" s="17">
        <f>'1_Triangulo'!F8</f>
        <v>20932964</v>
      </c>
      <c r="G8" s="17">
        <f>'1_Triangulo'!G8</f>
        <v>25037960</v>
      </c>
      <c r="H8" s="17">
        <f>'1_Triangulo'!H8</f>
        <v>29146772</v>
      </c>
      <c r="I8" s="17">
        <f>'1_Triangulo'!I8</f>
        <v>32754663</v>
      </c>
      <c r="J8" s="17">
        <f>'1_Triangulo'!J8</f>
        <v>37542026</v>
      </c>
      <c r="K8" s="17">
        <f>'1_Triangulo'!K8</f>
        <v>39509804</v>
      </c>
      <c r="L8" s="17">
        <f>'1_Triangulo'!L8</f>
        <v>41243551</v>
      </c>
      <c r="M8" s="17">
        <f>'1_Triangulo'!M8</f>
        <v>43435080</v>
      </c>
      <c r="N8" s="17">
        <f>'1_Triangulo'!N8</f>
        <v>45553651</v>
      </c>
      <c r="O8" s="17">
        <f>'1_Triangulo'!O8</f>
        <v>47018570</v>
      </c>
      <c r="P8" s="17">
        <f>'1_Triangulo'!P8</f>
        <v>47506350</v>
      </c>
      <c r="Q8" s="17">
        <f>'1_Triangulo'!Q8</f>
        <v>48543727</v>
      </c>
      <c r="R8" s="17">
        <f>'1_Triangulo'!R8</f>
        <v>49490339</v>
      </c>
      <c r="S8" s="17">
        <f>'1_Triangulo'!S8</f>
        <v>49680980</v>
      </c>
      <c r="T8" s="17">
        <f>'1_Triangulo'!T8</f>
        <v>50551414</v>
      </c>
      <c r="U8" s="17">
        <f>'1_Triangulo'!U8</f>
        <v>51086096</v>
      </c>
      <c r="V8" s="17">
        <f>'1_Triangulo'!V8</f>
        <v>51900283</v>
      </c>
      <c r="W8" s="33">
        <f>'1_Triangulo'!W8</f>
        <v>52457834</v>
      </c>
      <c r="X8" s="35">
        <f>W8*'2_Factores'!W31</f>
        <v>52716092.507155277</v>
      </c>
      <c r="Y8" s="35">
        <f>X8*'2_Factores'!X31</f>
        <v>53057093.012566656</v>
      </c>
      <c r="Z8" s="35">
        <f>Y8*'2_Factores'!Y31</f>
        <v>53232983.784105286</v>
      </c>
      <c r="AA8" s="35">
        <f>Z8*'2_Factores'!Z31</f>
        <v>53420525.521364354</v>
      </c>
      <c r="AB8" s="18">
        <f t="shared" si="0"/>
        <v>53420525.521364354</v>
      </c>
      <c r="AC8" s="34">
        <f>'1_Triangulo'!W8</f>
        <v>52457834</v>
      </c>
      <c r="AD8" s="18">
        <f t="shared" si="1"/>
        <v>962691.5213643536</v>
      </c>
    </row>
    <row r="9" spans="1:30" ht="15" customHeight="1" x14ac:dyDescent="0.3">
      <c r="A9" s="20" t="s">
        <v>41</v>
      </c>
      <c r="B9" s="21" t="s">
        <v>42</v>
      </c>
      <c r="C9" s="22">
        <f>'1_Triangulo'!C9</f>
        <v>8533077</v>
      </c>
      <c r="D9" s="22">
        <f>'1_Triangulo'!D9</f>
        <v>13680302</v>
      </c>
      <c r="E9" s="22">
        <f>'1_Triangulo'!E9</f>
        <v>16690403</v>
      </c>
      <c r="F9" s="22">
        <f>'1_Triangulo'!F9</f>
        <v>21697562</v>
      </c>
      <c r="G9" s="22">
        <f>'1_Triangulo'!G9</f>
        <v>25794797</v>
      </c>
      <c r="H9" s="22">
        <f>'1_Triangulo'!H9</f>
        <v>30117551</v>
      </c>
      <c r="I9" s="22">
        <f>'1_Triangulo'!I9</f>
        <v>33470325</v>
      </c>
      <c r="J9" s="22">
        <f>'1_Triangulo'!J9</f>
        <v>39031531</v>
      </c>
      <c r="K9" s="22">
        <f>'1_Triangulo'!K9</f>
        <v>39534504</v>
      </c>
      <c r="L9" s="22">
        <f>'1_Triangulo'!L9</f>
        <v>42405783</v>
      </c>
      <c r="M9" s="22">
        <f>'1_Triangulo'!M9</f>
        <v>44954118</v>
      </c>
      <c r="N9" s="22">
        <f>'1_Triangulo'!N9</f>
        <v>45675532</v>
      </c>
      <c r="O9" s="22">
        <f>'1_Triangulo'!O9</f>
        <v>46885671</v>
      </c>
      <c r="P9" s="22">
        <f>'1_Triangulo'!P9</f>
        <v>48125981</v>
      </c>
      <c r="Q9" s="22">
        <f>'1_Triangulo'!Q9</f>
        <v>49014808</v>
      </c>
      <c r="R9" s="22">
        <f>'1_Triangulo'!R9</f>
        <v>49846037</v>
      </c>
      <c r="S9" s="22">
        <f>'1_Triangulo'!S9</f>
        <v>50714853</v>
      </c>
      <c r="T9" s="22">
        <f>'1_Triangulo'!T9</f>
        <v>51067131</v>
      </c>
      <c r="U9" s="22">
        <f>'1_Triangulo'!U9</f>
        <v>51832054</v>
      </c>
      <c r="V9" s="33">
        <f>'1_Triangulo'!V9</f>
        <v>52189573</v>
      </c>
      <c r="W9" s="35">
        <f>V9*'2_Factores'!V31</f>
        <v>52535480.797035307</v>
      </c>
      <c r="X9" s="35">
        <f>W9*'2_Factores'!W31</f>
        <v>52794121.572087653</v>
      </c>
      <c r="Y9" s="35">
        <f>X9*'2_Factores'!X31</f>
        <v>53135626.818069004</v>
      </c>
      <c r="Z9" s="35">
        <f>Y9*'2_Factores'!Y31</f>
        <v>53311777.938806154</v>
      </c>
      <c r="AA9" s="35">
        <f>Z9*'2_Factores'!Z31</f>
        <v>53499597.270736948</v>
      </c>
      <c r="AB9" s="18">
        <f t="shared" si="0"/>
        <v>53499597.270736948</v>
      </c>
      <c r="AC9" s="34">
        <f>'1_Triangulo'!V9</f>
        <v>52189573</v>
      </c>
      <c r="AD9" s="18">
        <f t="shared" si="1"/>
        <v>1310024.2707369477</v>
      </c>
    </row>
    <row r="10" spans="1:30" ht="15" customHeight="1" x14ac:dyDescent="0.3">
      <c r="A10" s="15" t="s">
        <v>43</v>
      </c>
      <c r="B10" s="16" t="s">
        <v>44</v>
      </c>
      <c r="C10" s="17">
        <f>'1_Triangulo'!C10</f>
        <v>9090871</v>
      </c>
      <c r="D10" s="17">
        <f>'1_Triangulo'!D10</f>
        <v>13511905</v>
      </c>
      <c r="E10" s="17">
        <f>'1_Triangulo'!E10</f>
        <v>17345041</v>
      </c>
      <c r="F10" s="17">
        <f>'1_Triangulo'!F10</f>
        <v>21806021</v>
      </c>
      <c r="G10" s="17">
        <f>'1_Triangulo'!G10</f>
        <v>25028889</v>
      </c>
      <c r="H10" s="17">
        <f>'1_Triangulo'!H10</f>
        <v>30200086</v>
      </c>
      <c r="I10" s="17">
        <f>'1_Triangulo'!I10</f>
        <v>35166411</v>
      </c>
      <c r="J10" s="17">
        <f>'1_Triangulo'!J10</f>
        <v>37925306</v>
      </c>
      <c r="K10" s="17">
        <f>'1_Triangulo'!K10</f>
        <v>40840433</v>
      </c>
      <c r="L10" s="17">
        <f>'1_Triangulo'!L10</f>
        <v>42831737</v>
      </c>
      <c r="M10" s="17">
        <f>'1_Triangulo'!M10</f>
        <v>44990674</v>
      </c>
      <c r="N10" s="17">
        <f>'1_Triangulo'!N10</f>
        <v>46203474</v>
      </c>
      <c r="O10" s="17">
        <f>'1_Triangulo'!O10</f>
        <v>47281109</v>
      </c>
      <c r="P10" s="17">
        <f>'1_Triangulo'!P10</f>
        <v>48891844</v>
      </c>
      <c r="Q10" s="17">
        <f>'1_Triangulo'!Q10</f>
        <v>49870444</v>
      </c>
      <c r="R10" s="17">
        <f>'1_Triangulo'!R10</f>
        <v>50902793</v>
      </c>
      <c r="S10" s="17">
        <f>'1_Triangulo'!S10</f>
        <v>51450099</v>
      </c>
      <c r="T10" s="17">
        <f>'1_Triangulo'!T10</f>
        <v>51817100</v>
      </c>
      <c r="U10" s="33">
        <f>'1_Triangulo'!U10</f>
        <v>52496431</v>
      </c>
      <c r="V10" s="35">
        <f>U10*'2_Factores'!U31</f>
        <v>53029254.657523595</v>
      </c>
      <c r="W10" s="35">
        <f>V10*'2_Factores'!V31</f>
        <v>53380727.789082043</v>
      </c>
      <c r="X10" s="35">
        <f>W10*'2_Factores'!W31</f>
        <v>53643529.853491925</v>
      </c>
      <c r="Y10" s="35">
        <f>X10*'2_Factores'!X31</f>
        <v>53990529.601047345</v>
      </c>
      <c r="Z10" s="35">
        <f>Y10*'2_Factores'!Y31</f>
        <v>54169514.829375975</v>
      </c>
      <c r="AA10" s="35">
        <f>Z10*'2_Factores'!Z31</f>
        <v>54360355.999556921</v>
      </c>
      <c r="AB10" s="18">
        <f t="shared" si="0"/>
        <v>54360355.999556921</v>
      </c>
      <c r="AC10" s="34">
        <f>'1_Triangulo'!U10</f>
        <v>52496431</v>
      </c>
      <c r="AD10" s="18">
        <f t="shared" si="1"/>
        <v>1863924.9995569214</v>
      </c>
    </row>
    <row r="11" spans="1:30" ht="15" customHeight="1" x14ac:dyDescent="0.3">
      <c r="A11" s="20" t="s">
        <v>45</v>
      </c>
      <c r="B11" s="21" t="s">
        <v>46</v>
      </c>
      <c r="C11" s="22">
        <f>'1_Triangulo'!C11</f>
        <v>8761626</v>
      </c>
      <c r="D11" s="22">
        <f>'1_Triangulo'!D11</f>
        <v>13726504</v>
      </c>
      <c r="E11" s="22">
        <f>'1_Triangulo'!E11</f>
        <v>18756182</v>
      </c>
      <c r="F11" s="22">
        <f>'1_Triangulo'!F11</f>
        <v>21909222</v>
      </c>
      <c r="G11" s="22">
        <f>'1_Triangulo'!G11</f>
        <v>25388197</v>
      </c>
      <c r="H11" s="22">
        <f>'1_Triangulo'!H11</f>
        <v>30856195</v>
      </c>
      <c r="I11" s="22">
        <f>'1_Triangulo'!I11</f>
        <v>34341954</v>
      </c>
      <c r="J11" s="22">
        <f>'1_Triangulo'!J11</f>
        <v>39746500</v>
      </c>
      <c r="K11" s="22">
        <f>'1_Triangulo'!K11</f>
        <v>41879308</v>
      </c>
      <c r="L11" s="22">
        <f>'1_Triangulo'!L11</f>
        <v>42925218</v>
      </c>
      <c r="M11" s="22">
        <f>'1_Triangulo'!M11</f>
        <v>45670877</v>
      </c>
      <c r="N11" s="22">
        <f>'1_Triangulo'!N11</f>
        <v>47423287</v>
      </c>
      <c r="O11" s="22">
        <f>'1_Triangulo'!O11</f>
        <v>48601882</v>
      </c>
      <c r="P11" s="22">
        <f>'1_Triangulo'!P11</f>
        <v>49939887</v>
      </c>
      <c r="Q11" s="22">
        <f>'1_Triangulo'!Q11</f>
        <v>50408360</v>
      </c>
      <c r="R11" s="22">
        <f>'1_Triangulo'!R11</f>
        <v>51370763</v>
      </c>
      <c r="S11" s="22">
        <f>'1_Triangulo'!S11</f>
        <v>51910061</v>
      </c>
      <c r="T11" s="33">
        <f>'1_Triangulo'!T11</f>
        <v>52493077</v>
      </c>
      <c r="U11" s="35">
        <f>T11*'2_Factores'!T31</f>
        <v>53078053.912081093</v>
      </c>
      <c r="V11" s="35">
        <f>U11*'2_Factores'!U31</f>
        <v>53616780.874675363</v>
      </c>
      <c r="W11" s="35">
        <f>V11*'2_Factores'!V31</f>
        <v>53972148.077171609</v>
      </c>
      <c r="X11" s="35">
        <f>W11*'2_Factores'!W31</f>
        <v>54237861.800509371</v>
      </c>
      <c r="Y11" s="35">
        <f>X11*'2_Factores'!X31</f>
        <v>54588706.057107024</v>
      </c>
      <c r="Z11" s="35">
        <f>Y11*'2_Factores'!Y31</f>
        <v>54769674.313762285</v>
      </c>
      <c r="AA11" s="35">
        <f>Z11*'2_Factores'!Z31</f>
        <v>54962629.867626682</v>
      </c>
      <c r="AB11" s="18">
        <f t="shared" si="0"/>
        <v>54962629.867626682</v>
      </c>
      <c r="AC11" s="34">
        <f>'1_Triangulo'!T11</f>
        <v>52493077</v>
      </c>
      <c r="AD11" s="18">
        <f t="shared" si="1"/>
        <v>2469552.8676266819</v>
      </c>
    </row>
    <row r="12" spans="1:30" ht="15" customHeight="1" x14ac:dyDescent="0.3">
      <c r="A12" s="15" t="s">
        <v>47</v>
      </c>
      <c r="B12" s="16" t="s">
        <v>48</v>
      </c>
      <c r="C12" s="17">
        <f>'1_Triangulo'!C12</f>
        <v>8749177</v>
      </c>
      <c r="D12" s="17">
        <f>'1_Triangulo'!D12</f>
        <v>14426300</v>
      </c>
      <c r="E12" s="17">
        <f>'1_Triangulo'!E12</f>
        <v>18134563</v>
      </c>
      <c r="F12" s="17">
        <f>'1_Triangulo'!F12</f>
        <v>22405469</v>
      </c>
      <c r="G12" s="17">
        <f>'1_Triangulo'!G12</f>
        <v>26419623</v>
      </c>
      <c r="H12" s="17">
        <f>'1_Triangulo'!H12</f>
        <v>31746466</v>
      </c>
      <c r="I12" s="17">
        <f>'1_Triangulo'!I12</f>
        <v>35208936</v>
      </c>
      <c r="J12" s="17">
        <f>'1_Triangulo'!J12</f>
        <v>41386939</v>
      </c>
      <c r="K12" s="17">
        <f>'1_Triangulo'!K12</f>
        <v>42171998</v>
      </c>
      <c r="L12" s="17">
        <f>'1_Triangulo'!L12</f>
        <v>43487191</v>
      </c>
      <c r="M12" s="17">
        <f>'1_Triangulo'!M12</f>
        <v>45453496</v>
      </c>
      <c r="N12" s="17">
        <f>'1_Triangulo'!N12</f>
        <v>48088062</v>
      </c>
      <c r="O12" s="17">
        <f>'1_Triangulo'!O12</f>
        <v>48917465</v>
      </c>
      <c r="P12" s="17">
        <f>'1_Triangulo'!P12</f>
        <v>50273293</v>
      </c>
      <c r="Q12" s="17">
        <f>'1_Triangulo'!Q12</f>
        <v>51267767</v>
      </c>
      <c r="R12" s="17">
        <f>'1_Triangulo'!R12</f>
        <v>52212664</v>
      </c>
      <c r="S12" s="33">
        <f>'1_Triangulo'!S12</f>
        <v>52617714</v>
      </c>
      <c r="T12" s="35">
        <f>S12*'2_Factores'!S31</f>
        <v>53188590.056113496</v>
      </c>
      <c r="U12" s="35">
        <f>T12*'2_Factores'!T31</f>
        <v>53781317.687015615</v>
      </c>
      <c r="V12" s="35">
        <f>U12*'2_Factores'!U31</f>
        <v>54327182.57441023</v>
      </c>
      <c r="W12" s="35">
        <f>V12*'2_Factores'!V31</f>
        <v>54687258.255494058</v>
      </c>
      <c r="X12" s="35">
        <f>W12*'2_Factores'!W31</f>
        <v>54956492.583344482</v>
      </c>
      <c r="Y12" s="35">
        <f>X12*'2_Factores'!X31</f>
        <v>55311985.391238265</v>
      </c>
      <c r="Z12" s="35">
        <f>Y12*'2_Factores'!Y31</f>
        <v>55495351.407606594</v>
      </c>
      <c r="AA12" s="35">
        <f>Z12*'2_Factores'!Z31</f>
        <v>55690863.548255995</v>
      </c>
      <c r="AB12" s="18">
        <f t="shared" si="0"/>
        <v>55690863.548255995</v>
      </c>
      <c r="AC12" s="34">
        <f>'1_Triangulo'!S12</f>
        <v>52617714</v>
      </c>
      <c r="AD12" s="18">
        <f t="shared" si="1"/>
        <v>3073149.5482559949</v>
      </c>
    </row>
    <row r="13" spans="1:30" ht="15" customHeight="1" x14ac:dyDescent="0.3">
      <c r="A13" s="20" t="s">
        <v>49</v>
      </c>
      <c r="B13" s="21" t="s">
        <v>50</v>
      </c>
      <c r="C13" s="22">
        <f>'1_Triangulo'!C13</f>
        <v>8371517</v>
      </c>
      <c r="D13" s="22">
        <f>'1_Triangulo'!D13</f>
        <v>14229540</v>
      </c>
      <c r="E13" s="22">
        <f>'1_Triangulo'!E13</f>
        <v>18697376</v>
      </c>
      <c r="F13" s="22">
        <f>'1_Triangulo'!F13</f>
        <v>22355074</v>
      </c>
      <c r="G13" s="22">
        <f>'1_Triangulo'!G13</f>
        <v>26045884</v>
      </c>
      <c r="H13" s="22">
        <f>'1_Triangulo'!H13</f>
        <v>31405240</v>
      </c>
      <c r="I13" s="22">
        <f>'1_Triangulo'!I13</f>
        <v>36062571</v>
      </c>
      <c r="J13" s="22">
        <f>'1_Triangulo'!J13</f>
        <v>39881124</v>
      </c>
      <c r="K13" s="22">
        <f>'1_Triangulo'!K13</f>
        <v>42497948</v>
      </c>
      <c r="L13" s="22">
        <f>'1_Triangulo'!L13</f>
        <v>44493523</v>
      </c>
      <c r="M13" s="22">
        <f>'1_Triangulo'!M13</f>
        <v>46036365</v>
      </c>
      <c r="N13" s="22">
        <f>'1_Triangulo'!N13</f>
        <v>48689399</v>
      </c>
      <c r="O13" s="22">
        <f>'1_Triangulo'!O13</f>
        <v>49834379</v>
      </c>
      <c r="P13" s="22">
        <f>'1_Triangulo'!P13</f>
        <v>51057856</v>
      </c>
      <c r="Q13" s="22">
        <f>'1_Triangulo'!Q13</f>
        <v>52106577</v>
      </c>
      <c r="R13" s="33">
        <f>'1_Triangulo'!R13</f>
        <v>52625937</v>
      </c>
      <c r="S13" s="35">
        <f>R13*'2_Factores'!R31</f>
        <v>53134054.91486983</v>
      </c>
      <c r="T13" s="35">
        <f>S13*'2_Factores'!S31</f>
        <v>53710533.013388492</v>
      </c>
      <c r="U13" s="35">
        <f>T13*'2_Factores'!T31</f>
        <v>54309077.117564395</v>
      </c>
      <c r="V13" s="35">
        <f>U13*'2_Factores'!U31</f>
        <v>54860298.611202918</v>
      </c>
      <c r="W13" s="35">
        <f>V13*'2_Factores'!V31</f>
        <v>55223907.737441607</v>
      </c>
      <c r="X13" s="35">
        <f>W13*'2_Factores'!W31</f>
        <v>55495784.078572132</v>
      </c>
      <c r="Y13" s="35">
        <f>X13*'2_Factores'!X31</f>
        <v>55854765.359599836</v>
      </c>
      <c r="Z13" s="35">
        <f>Y13*'2_Factores'!Y31</f>
        <v>56039930.758142918</v>
      </c>
      <c r="AA13" s="35">
        <f>Z13*'2_Factores'!Z31</f>
        <v>56237361.471643485</v>
      </c>
      <c r="AB13" s="18">
        <f t="shared" si="0"/>
        <v>56237361.471643485</v>
      </c>
      <c r="AC13" s="34">
        <f>'1_Triangulo'!R13</f>
        <v>52625937</v>
      </c>
      <c r="AD13" s="18">
        <f t="shared" si="1"/>
        <v>3611424.4716434851</v>
      </c>
    </row>
    <row r="14" spans="1:30" ht="15" customHeight="1" x14ac:dyDescent="0.3">
      <c r="A14" s="15" t="s">
        <v>51</v>
      </c>
      <c r="B14" s="16" t="s">
        <v>52</v>
      </c>
      <c r="C14" s="17">
        <f>'1_Triangulo'!C14</f>
        <v>8682427</v>
      </c>
      <c r="D14" s="17">
        <f>'1_Triangulo'!D14</f>
        <v>14906686</v>
      </c>
      <c r="E14" s="17">
        <f>'1_Triangulo'!E14</f>
        <v>18757916</v>
      </c>
      <c r="F14" s="17">
        <f>'1_Triangulo'!F14</f>
        <v>22830889</v>
      </c>
      <c r="G14" s="17">
        <f>'1_Triangulo'!G14</f>
        <v>29522980</v>
      </c>
      <c r="H14" s="17">
        <f>'1_Triangulo'!H14</f>
        <v>32068510</v>
      </c>
      <c r="I14" s="17">
        <f>'1_Triangulo'!I14</f>
        <v>36997185</v>
      </c>
      <c r="J14" s="17">
        <f>'1_Triangulo'!J14</f>
        <v>41471804</v>
      </c>
      <c r="K14" s="17">
        <f>'1_Triangulo'!K14</f>
        <v>43329632</v>
      </c>
      <c r="L14" s="17">
        <f>'1_Triangulo'!L14</f>
        <v>43726919.25</v>
      </c>
      <c r="M14" s="17">
        <f>'1_Triangulo'!M14</f>
        <v>47455481</v>
      </c>
      <c r="N14" s="17">
        <f>'1_Triangulo'!N14</f>
        <v>48918769</v>
      </c>
      <c r="O14" s="17">
        <f>'1_Triangulo'!O14</f>
        <v>50240254</v>
      </c>
      <c r="P14" s="17">
        <f>'1_Triangulo'!P14</f>
        <v>51286052</v>
      </c>
      <c r="Q14" s="33">
        <f>'1_Triangulo'!Q14</f>
        <v>52557910</v>
      </c>
      <c r="R14" s="35">
        <f>Q14*'2_Factores'!Q31</f>
        <v>53619962.847867727</v>
      </c>
      <c r="S14" s="35">
        <f>R14*'2_Factores'!R31</f>
        <v>54137678.356052525</v>
      </c>
      <c r="T14" s="35">
        <f>S14*'2_Factores'!S31</f>
        <v>54725045.270302057</v>
      </c>
      <c r="U14" s="35">
        <f>T14*'2_Factores'!T31</f>
        <v>55334894.984307572</v>
      </c>
      <c r="V14" s="35">
        <f>U14*'2_Factores'!U31</f>
        <v>55896528.233894058</v>
      </c>
      <c r="W14" s="35">
        <f>V14*'2_Factores'!V31</f>
        <v>56267005.396895722</v>
      </c>
      <c r="X14" s="35">
        <f>W14*'2_Factores'!W31</f>
        <v>56544017.078618996</v>
      </c>
      <c r="Y14" s="35">
        <f>X14*'2_Factores'!X31</f>
        <v>56909778.983281814</v>
      </c>
      <c r="Z14" s="35">
        <f>Y14*'2_Factores'!Y31</f>
        <v>57098441.881399728</v>
      </c>
      <c r="AA14" s="35">
        <f>Z14*'2_Factores'!Z31</f>
        <v>57299601.768071741</v>
      </c>
      <c r="AB14" s="18">
        <f t="shared" si="0"/>
        <v>57299601.768071741</v>
      </c>
      <c r="AC14" s="34">
        <f>'1_Triangulo'!Q14</f>
        <v>52557910</v>
      </c>
      <c r="AD14" s="18">
        <f t="shared" si="1"/>
        <v>4741691.7680717409</v>
      </c>
    </row>
    <row r="15" spans="1:30" ht="15" customHeight="1" x14ac:dyDescent="0.3">
      <c r="A15" s="20" t="s">
        <v>53</v>
      </c>
      <c r="B15" s="21" t="s">
        <v>54</v>
      </c>
      <c r="C15" s="22">
        <f>'1_Triangulo'!C15</f>
        <v>10022030</v>
      </c>
      <c r="D15" s="22">
        <f>'1_Triangulo'!D15</f>
        <v>13917909</v>
      </c>
      <c r="E15" s="22">
        <f>'1_Triangulo'!E15</f>
        <v>19108092</v>
      </c>
      <c r="F15" s="22">
        <f>'1_Triangulo'!F15</f>
        <v>21916301</v>
      </c>
      <c r="G15" s="22">
        <f>'1_Triangulo'!G15</f>
        <v>27210886</v>
      </c>
      <c r="H15" s="22">
        <f>'1_Triangulo'!H15</f>
        <v>32820335</v>
      </c>
      <c r="I15" s="22">
        <f>'1_Triangulo'!I15</f>
        <v>36848132</v>
      </c>
      <c r="J15" s="22">
        <f>'1_Triangulo'!J15</f>
        <v>40852155</v>
      </c>
      <c r="K15" s="22">
        <f>'1_Triangulo'!K15</f>
        <v>43196364</v>
      </c>
      <c r="L15" s="22">
        <f>'1_Triangulo'!L15</f>
        <v>43896309</v>
      </c>
      <c r="M15" s="22">
        <f>'1_Triangulo'!M15</f>
        <v>47459873</v>
      </c>
      <c r="N15" s="22">
        <f>'1_Triangulo'!N15</f>
        <v>49956170</v>
      </c>
      <c r="O15" s="22">
        <f>'1_Triangulo'!O15</f>
        <v>51012409</v>
      </c>
      <c r="P15" s="33">
        <f>'1_Triangulo'!P15</f>
        <v>51927991</v>
      </c>
      <c r="Q15" s="35">
        <f>P15*'2_Factores'!P31</f>
        <v>53055826.788801707</v>
      </c>
      <c r="R15" s="35">
        <f>Q15*'2_Factores'!Q31</f>
        <v>54127941.184846446</v>
      </c>
      <c r="S15" s="35">
        <f>R15*'2_Factores'!R31</f>
        <v>54650561.363771543</v>
      </c>
      <c r="T15" s="35">
        <f>S15*'2_Factores'!S31</f>
        <v>55243492.80385156</v>
      </c>
      <c r="U15" s="35">
        <f>T15*'2_Factores'!T31</f>
        <v>55859120.038524263</v>
      </c>
      <c r="V15" s="35">
        <f>U15*'2_Factores'!U31</f>
        <v>56426074.021452665</v>
      </c>
      <c r="W15" s="35">
        <f>V15*'2_Factores'!V31</f>
        <v>56800060.966318294</v>
      </c>
      <c r="X15" s="35">
        <f>W15*'2_Factores'!W31</f>
        <v>57079696.967901781</v>
      </c>
      <c r="Y15" s="35">
        <f>X15*'2_Factores'!X31</f>
        <v>57448923.983582824</v>
      </c>
      <c r="Z15" s="35">
        <f>Y15*'2_Factores'!Y31</f>
        <v>57639374.213510484</v>
      </c>
      <c r="AA15" s="35">
        <f>Z15*'2_Factores'!Z31</f>
        <v>57842439.824455164</v>
      </c>
      <c r="AB15" s="18">
        <f t="shared" si="0"/>
        <v>57842439.824455164</v>
      </c>
      <c r="AC15" s="34">
        <f>'1_Triangulo'!P15</f>
        <v>51927991</v>
      </c>
      <c r="AD15" s="18">
        <f t="shared" si="1"/>
        <v>5914448.8244551644</v>
      </c>
    </row>
    <row r="16" spans="1:30" ht="15" customHeight="1" x14ac:dyDescent="0.3">
      <c r="A16" s="15" t="s">
        <v>55</v>
      </c>
      <c r="B16" s="16" t="s">
        <v>56</v>
      </c>
      <c r="C16" s="17">
        <f>'1_Triangulo'!C16</f>
        <v>10087956</v>
      </c>
      <c r="D16" s="17">
        <f>'1_Triangulo'!D16</f>
        <v>15373929</v>
      </c>
      <c r="E16" s="17">
        <f>'1_Triangulo'!E16</f>
        <v>17870492</v>
      </c>
      <c r="F16" s="17">
        <f>'1_Triangulo'!F16</f>
        <v>23254623</v>
      </c>
      <c r="G16" s="17">
        <f>'1_Triangulo'!G16</f>
        <v>27462859</v>
      </c>
      <c r="H16" s="17">
        <f>'1_Triangulo'!H16</f>
        <v>33114279</v>
      </c>
      <c r="I16" s="17">
        <f>'1_Triangulo'!I16</f>
        <v>36827916</v>
      </c>
      <c r="J16" s="17">
        <f>'1_Triangulo'!J16</f>
        <v>41964520</v>
      </c>
      <c r="K16" s="17">
        <f>'1_Triangulo'!K16</f>
        <v>44426818</v>
      </c>
      <c r="L16" s="17">
        <f>'1_Triangulo'!L16</f>
        <v>44996619.5</v>
      </c>
      <c r="M16" s="17">
        <f>'1_Triangulo'!M16</f>
        <v>47898086</v>
      </c>
      <c r="N16" s="17">
        <f>'1_Triangulo'!N16</f>
        <v>50415504</v>
      </c>
      <c r="O16" s="33">
        <f>'1_Triangulo'!O16</f>
        <v>51522184</v>
      </c>
      <c r="P16" s="35">
        <f>O16*'2_Factores'!O31</f>
        <v>52675255.33755362</v>
      </c>
      <c r="Q16" s="35">
        <f>P16*'2_Factores'!P31</f>
        <v>53819321.129622512</v>
      </c>
      <c r="R16" s="35">
        <f>Q16*'2_Factores'!Q31</f>
        <v>54906863.676044606</v>
      </c>
      <c r="S16" s="35">
        <f>R16*'2_Factores'!R31</f>
        <v>55437004.566136762</v>
      </c>
      <c r="T16" s="35">
        <f>S16*'2_Factores'!S31</f>
        <v>56038468.524252884</v>
      </c>
      <c r="U16" s="35">
        <f>T16*'2_Factores'!T31</f>
        <v>56662954.878426239</v>
      </c>
      <c r="V16" s="35">
        <f>U16*'2_Factores'!U31</f>
        <v>57238067.553503476</v>
      </c>
      <c r="W16" s="35">
        <f>V16*'2_Factores'!V31</f>
        <v>57617436.318486288</v>
      </c>
      <c r="X16" s="35">
        <f>W16*'2_Factores'!W31</f>
        <v>57901096.392779991</v>
      </c>
      <c r="Y16" s="35">
        <f>X16*'2_Factores'!X31</f>
        <v>58275636.731313825</v>
      </c>
      <c r="Z16" s="35">
        <f>Y16*'2_Factores'!Y31</f>
        <v>58468827.615408212</v>
      </c>
      <c r="AA16" s="35">
        <f>Z16*'2_Factores'!Z31</f>
        <v>58674815.420844153</v>
      </c>
      <c r="AB16" s="18">
        <f t="shared" si="0"/>
        <v>58674815.420844153</v>
      </c>
      <c r="AC16" s="34">
        <f>'1_Triangulo'!O16</f>
        <v>51522184</v>
      </c>
      <c r="AD16" s="18">
        <f t="shared" si="1"/>
        <v>7152631.4208441526</v>
      </c>
    </row>
    <row r="17" spans="1:30" ht="15" customHeight="1" x14ac:dyDescent="0.3">
      <c r="A17" s="20" t="s">
        <v>57</v>
      </c>
      <c r="B17" s="21" t="s">
        <v>58</v>
      </c>
      <c r="C17" s="22">
        <f>'1_Triangulo'!C17</f>
        <v>9141610</v>
      </c>
      <c r="D17" s="22">
        <f>'1_Triangulo'!D17</f>
        <v>16200065</v>
      </c>
      <c r="E17" s="22">
        <f>'1_Triangulo'!E17</f>
        <v>19463623</v>
      </c>
      <c r="F17" s="22">
        <f>'1_Triangulo'!F17</f>
        <v>22713844</v>
      </c>
      <c r="G17" s="22">
        <f>'1_Triangulo'!G17</f>
        <v>28815023</v>
      </c>
      <c r="H17" s="22">
        <f>'1_Triangulo'!H17</f>
        <v>34375385</v>
      </c>
      <c r="I17" s="22">
        <f>'1_Triangulo'!I17</f>
        <v>38448539</v>
      </c>
      <c r="J17" s="22">
        <f>'1_Triangulo'!J17</f>
        <v>41701968</v>
      </c>
      <c r="K17" s="22">
        <f>'1_Triangulo'!K17</f>
        <v>44492052</v>
      </c>
      <c r="L17" s="22">
        <f>'1_Triangulo'!L17</f>
        <v>45252217.25</v>
      </c>
      <c r="M17" s="22">
        <f>'1_Triangulo'!M17</f>
        <v>48757427</v>
      </c>
      <c r="N17" s="33">
        <f>'1_Triangulo'!N17</f>
        <v>51401276</v>
      </c>
      <c r="O17" s="35">
        <f>N17*'2_Factores'!N31</f>
        <v>52585831.879693456</v>
      </c>
      <c r="P17" s="35">
        <f>O17*'2_Factores'!O31</f>
        <v>53762707.757119142</v>
      </c>
      <c r="Q17" s="35">
        <f>P17*'2_Factores'!P31</f>
        <v>54930392.174399339</v>
      </c>
      <c r="R17" s="35">
        <f>Q17*'2_Factores'!Q31</f>
        <v>56040386.453915246</v>
      </c>
      <c r="S17" s="35">
        <f>R17*'2_Factores'!R31</f>
        <v>56581471.818598881</v>
      </c>
      <c r="T17" s="35">
        <f>S17*'2_Factores'!S31</f>
        <v>57195352.677826226</v>
      </c>
      <c r="U17" s="35">
        <f>T17*'2_Factores'!T31</f>
        <v>57832731.218140483</v>
      </c>
      <c r="V17" s="35">
        <f>U17*'2_Factores'!U31</f>
        <v>58419716.786211357</v>
      </c>
      <c r="W17" s="35">
        <f>V17*'2_Factores'!V31</f>
        <v>58806917.416056417</v>
      </c>
      <c r="X17" s="35">
        <f>W17*'2_Factores'!W31</f>
        <v>59096433.500580125</v>
      </c>
      <c r="Y17" s="35">
        <f>X17*'2_Factores'!X31</f>
        <v>59478706.023699559</v>
      </c>
      <c r="Z17" s="35">
        <f>Y17*'2_Factores'!Y31</f>
        <v>59675885.230071649</v>
      </c>
      <c r="AA17" s="35">
        <f>Z17*'2_Factores'!Z31</f>
        <v>59886125.54336895</v>
      </c>
      <c r="AB17" s="18">
        <f t="shared" si="0"/>
        <v>59886125.54336895</v>
      </c>
      <c r="AC17" s="34">
        <f>'1_Triangulo'!N17</f>
        <v>51401276</v>
      </c>
      <c r="AD17" s="18">
        <f t="shared" si="1"/>
        <v>8484849.5433689505</v>
      </c>
    </row>
    <row r="18" spans="1:30" ht="15" customHeight="1" x14ac:dyDescent="0.3">
      <c r="A18" s="15" t="s">
        <v>59</v>
      </c>
      <c r="B18" s="16" t="s">
        <v>60</v>
      </c>
      <c r="C18" s="17">
        <f>'1_Triangulo'!C18</f>
        <v>9809392</v>
      </c>
      <c r="D18" s="17">
        <f>'1_Triangulo'!D18</f>
        <v>14964880</v>
      </c>
      <c r="E18" s="17">
        <f>'1_Triangulo'!E18</f>
        <v>29456240</v>
      </c>
      <c r="F18" s="17">
        <f>'1_Triangulo'!F18</f>
        <v>21886059</v>
      </c>
      <c r="G18" s="17">
        <f>'1_Triangulo'!G18</f>
        <v>27984336</v>
      </c>
      <c r="H18" s="17">
        <f>'1_Triangulo'!H18</f>
        <v>33309956</v>
      </c>
      <c r="I18" s="17">
        <f>'1_Triangulo'!I18</f>
        <v>37548097</v>
      </c>
      <c r="J18" s="17">
        <f>'1_Triangulo'!J18</f>
        <v>44170211</v>
      </c>
      <c r="K18" s="17">
        <f>'1_Triangulo'!K18</f>
        <v>44580640</v>
      </c>
      <c r="L18" s="17">
        <f>'1_Triangulo'!L18</f>
        <v>45267489.5</v>
      </c>
      <c r="M18" s="33">
        <f>'1_Triangulo'!M18</f>
        <v>49785597</v>
      </c>
      <c r="N18" s="35">
        <f>M18*'2_Factores'!M31</f>
        <v>51907410.949214831</v>
      </c>
      <c r="O18" s="35">
        <f>N18*'2_Factores'!N31</f>
        <v>53103630.841490597</v>
      </c>
      <c r="P18" s="35">
        <f>O18*'2_Factores'!O31</f>
        <v>54292095.108520716</v>
      </c>
      <c r="Q18" s="35">
        <f>P18*'2_Factores'!P31</f>
        <v>55471277.409496233</v>
      </c>
      <c r="R18" s="35">
        <f>Q18*'2_Factores'!Q31</f>
        <v>56592201.512977824</v>
      </c>
      <c r="S18" s="35">
        <f>R18*'2_Factores'!R31</f>
        <v>57138614.804026067</v>
      </c>
      <c r="T18" s="35">
        <f>S18*'2_Factores'!S31</f>
        <v>57758540.387853421</v>
      </c>
      <c r="U18" s="35">
        <f>T18*'2_Factores'!T31</f>
        <v>58402195.028300539</v>
      </c>
      <c r="V18" s="35">
        <f>U18*'2_Factores'!U31</f>
        <v>58994960.490058988</v>
      </c>
      <c r="W18" s="35">
        <f>V18*'2_Factores'!V31</f>
        <v>59385973.783448093</v>
      </c>
      <c r="X18" s="35">
        <f>W18*'2_Factores'!W31</f>
        <v>59678340.657293394</v>
      </c>
      <c r="Y18" s="35">
        <f>X18*'2_Factores'!X31</f>
        <v>60064377.318176165</v>
      </c>
      <c r="Z18" s="35">
        <f>Y18*'2_Factores'!Y31</f>
        <v>60263498.096730299</v>
      </c>
      <c r="AA18" s="35">
        <f>Z18*'2_Factores'!Z31</f>
        <v>60475808.591520637</v>
      </c>
      <c r="AB18" s="18">
        <f t="shared" si="0"/>
        <v>60475808.591520637</v>
      </c>
      <c r="AC18" s="34">
        <f>'1_Triangulo'!M18</f>
        <v>49785597</v>
      </c>
      <c r="AD18" s="18">
        <f t="shared" si="1"/>
        <v>10690211.591520637</v>
      </c>
    </row>
    <row r="19" spans="1:30" ht="15" customHeight="1" x14ac:dyDescent="0.3">
      <c r="A19" s="20" t="s">
        <v>61</v>
      </c>
      <c r="B19" s="21" t="s">
        <v>62</v>
      </c>
      <c r="C19" s="22">
        <f>'1_Triangulo'!C19</f>
        <v>10210239</v>
      </c>
      <c r="D19" s="22">
        <f>'1_Triangulo'!D19</f>
        <v>14903106</v>
      </c>
      <c r="E19" s="22">
        <f>'1_Triangulo'!E19</f>
        <v>20445946</v>
      </c>
      <c r="F19" s="22">
        <f>'1_Triangulo'!F19</f>
        <v>24098871</v>
      </c>
      <c r="G19" s="22">
        <f>'1_Triangulo'!G19</f>
        <v>28388139</v>
      </c>
      <c r="H19" s="22">
        <f>'1_Triangulo'!H19</f>
        <v>34217767</v>
      </c>
      <c r="I19" s="22">
        <f>'1_Triangulo'!I19</f>
        <v>38960082</v>
      </c>
      <c r="J19" s="22">
        <f>'1_Triangulo'!J19</f>
        <v>43388072</v>
      </c>
      <c r="K19" s="22">
        <f>'1_Triangulo'!K19</f>
        <v>46005265</v>
      </c>
      <c r="L19" s="33">
        <f>'1_Triangulo'!L19</f>
        <v>46502204.25</v>
      </c>
      <c r="M19" s="35">
        <f>L19*'2_Factores'!L31</f>
        <v>49269346.730484635</v>
      </c>
      <c r="N19" s="35">
        <f>M19*'2_Factores'!M31</f>
        <v>51369158.592968568</v>
      </c>
      <c r="O19" s="35">
        <f>N19*'2_Factores'!N31</f>
        <v>52552974.318597764</v>
      </c>
      <c r="P19" s="35">
        <f>O19*'2_Factores'!O31</f>
        <v>53729114.840706967</v>
      </c>
      <c r="Q19" s="35">
        <f>P19*'2_Factores'!P31</f>
        <v>54896069.645832904</v>
      </c>
      <c r="R19" s="35">
        <f>Q19*'2_Factores'!Q31</f>
        <v>56005370.360113628</v>
      </c>
      <c r="S19" s="35">
        <f>R19*'2_Factores'!R31</f>
        <v>56546117.634768203</v>
      </c>
      <c r="T19" s="35">
        <f>S19*'2_Factores'!S31</f>
        <v>57159614.918665148</v>
      </c>
      <c r="U19" s="35">
        <f>T19*'2_Factores'!T31</f>
        <v>57796595.201433964</v>
      </c>
      <c r="V19" s="35">
        <f>U19*'2_Factores'!U31</f>
        <v>58383213.999341175</v>
      </c>
      <c r="W19" s="35">
        <f>V19*'2_Factores'!V31</f>
        <v>58770172.691997141</v>
      </c>
      <c r="X19" s="35">
        <f>W19*'2_Factores'!W31</f>
        <v>59059507.876227073</v>
      </c>
      <c r="Y19" s="35">
        <f>X19*'2_Factores'!X31</f>
        <v>59441541.54141967</v>
      </c>
      <c r="Z19" s="35">
        <f>Y19*'2_Factores'!Y31</f>
        <v>59638597.542974256</v>
      </c>
      <c r="AA19" s="35">
        <f>Z19*'2_Factores'!Z31</f>
        <v>59848706.49039425</v>
      </c>
      <c r="AB19" s="18">
        <f t="shared" si="0"/>
        <v>59848706.49039425</v>
      </c>
      <c r="AC19" s="34">
        <f>'1_Triangulo'!L19</f>
        <v>46502204.25</v>
      </c>
      <c r="AD19" s="18">
        <f t="shared" si="1"/>
        <v>13346502.24039425</v>
      </c>
    </row>
    <row r="20" spans="1:30" ht="15" customHeight="1" x14ac:dyDescent="0.3">
      <c r="A20" s="15" t="s">
        <v>63</v>
      </c>
      <c r="B20" s="16" t="s">
        <v>64</v>
      </c>
      <c r="C20" s="17">
        <f>'1_Triangulo'!C20</f>
        <v>9812587</v>
      </c>
      <c r="D20" s="17">
        <f>'1_Triangulo'!D20</f>
        <v>15038280</v>
      </c>
      <c r="E20" s="17">
        <f>'1_Triangulo'!E20</f>
        <v>20982739</v>
      </c>
      <c r="F20" s="17">
        <f>'1_Triangulo'!F20</f>
        <v>23658407</v>
      </c>
      <c r="G20" s="17">
        <f>'1_Triangulo'!G20</f>
        <v>30806585</v>
      </c>
      <c r="H20" s="17">
        <f>'1_Triangulo'!H20</f>
        <v>33132506</v>
      </c>
      <c r="I20" s="17">
        <f>'1_Triangulo'!I20</f>
        <v>39260427</v>
      </c>
      <c r="J20" s="17">
        <f>'1_Triangulo'!J20</f>
        <v>44710406</v>
      </c>
      <c r="K20" s="33">
        <f>'1_Triangulo'!K20</f>
        <v>46743977</v>
      </c>
      <c r="L20" s="35">
        <f>K20*'2_Factores'!K31</f>
        <v>47378459.724305913</v>
      </c>
      <c r="M20" s="35">
        <f>L20*'2_Factores'!L31</f>
        <v>50197744.329789042</v>
      </c>
      <c r="N20" s="35">
        <f>M20*'2_Factores'!M31</f>
        <v>52337123.59922044</v>
      </c>
      <c r="O20" s="35">
        <f>N20*'2_Factores'!N31</f>
        <v>53543246.332159981</v>
      </c>
      <c r="P20" s="35">
        <f>O20*'2_Factores'!O31</f>
        <v>54741549.235336341</v>
      </c>
      <c r="Q20" s="35">
        <f>P20*'2_Factores'!P31</f>
        <v>55930493.332212016</v>
      </c>
      <c r="R20" s="35">
        <f>Q20*'2_Factores'!Q31</f>
        <v>57060696.944306232</v>
      </c>
      <c r="S20" s="35">
        <f>R20*'2_Factores'!R31</f>
        <v>57611633.687767163</v>
      </c>
      <c r="T20" s="35">
        <f>S20*'2_Factores'!S31</f>
        <v>58236691.291484572</v>
      </c>
      <c r="U20" s="35">
        <f>T20*'2_Factores'!T31</f>
        <v>58885674.391513415</v>
      </c>
      <c r="V20" s="35">
        <f>U20*'2_Factores'!U31</f>
        <v>59483347.029583417</v>
      </c>
      <c r="W20" s="35">
        <f>V20*'2_Factores'!V31</f>
        <v>59877597.305041499</v>
      </c>
      <c r="X20" s="35">
        <f>W20*'2_Factores'!W31</f>
        <v>60172384.521990739</v>
      </c>
      <c r="Y20" s="35">
        <f>X20*'2_Factores'!X31</f>
        <v>60561616.966163673</v>
      </c>
      <c r="Z20" s="35">
        <f>Y20*'2_Factores'!Y31</f>
        <v>60762386.155144356</v>
      </c>
      <c r="AA20" s="35">
        <f>Z20*'2_Factores'!Z31</f>
        <v>60976454.250702523</v>
      </c>
      <c r="AB20" s="18">
        <f t="shared" si="0"/>
        <v>60976454.250702523</v>
      </c>
      <c r="AC20" s="34">
        <f>'1_Triangulo'!K20</f>
        <v>46743977</v>
      </c>
      <c r="AD20" s="18">
        <f t="shared" si="1"/>
        <v>14232477.250702523</v>
      </c>
    </row>
    <row r="21" spans="1:30" ht="15" customHeight="1" x14ac:dyDescent="0.3">
      <c r="A21" s="20" t="s">
        <v>65</v>
      </c>
      <c r="B21" s="21" t="s">
        <v>66</v>
      </c>
      <c r="C21" s="22">
        <f>'1_Triangulo'!C21</f>
        <v>9656222</v>
      </c>
      <c r="D21" s="22">
        <f>'1_Triangulo'!D21</f>
        <v>15173530</v>
      </c>
      <c r="E21" s="22">
        <f>'1_Triangulo'!E21</f>
        <v>19994922</v>
      </c>
      <c r="F21" s="22">
        <f>'1_Triangulo'!F21</f>
        <v>24377061</v>
      </c>
      <c r="G21" s="22">
        <f>'1_Triangulo'!G21</f>
        <v>30354330</v>
      </c>
      <c r="H21" s="22">
        <f>'1_Triangulo'!H21</f>
        <v>35076444</v>
      </c>
      <c r="I21" s="22">
        <f>'1_Triangulo'!I21</f>
        <v>39440849</v>
      </c>
      <c r="J21" s="33">
        <f>'1_Triangulo'!J21</f>
        <v>45510753</v>
      </c>
      <c r="K21" s="35">
        <f>J21*'2_Factores'!J31</f>
        <v>47720185.831291966</v>
      </c>
      <c r="L21" s="35">
        <f>K21*'2_Factores'!K31</f>
        <v>48367919.196183503</v>
      </c>
      <c r="M21" s="35">
        <f>L21*'2_Factores'!L31</f>
        <v>51246082.200691134</v>
      </c>
      <c r="N21" s="35">
        <f>M21*'2_Factores'!M31</f>
        <v>53430140.615337364</v>
      </c>
      <c r="O21" s="35">
        <f>N21*'2_Factores'!N31</f>
        <v>54661452.211935587</v>
      </c>
      <c r="P21" s="35">
        <f>O21*'2_Factores'!O31</f>
        <v>55884780.66817183</v>
      </c>
      <c r="Q21" s="35">
        <f>P21*'2_Factores'!P31</f>
        <v>57098554.867271848</v>
      </c>
      <c r="R21" s="35">
        <f>Q21*'2_Factores'!Q31</f>
        <v>58252361.835736111</v>
      </c>
      <c r="S21" s="35">
        <f>R21*'2_Factores'!R31</f>
        <v>58814804.431907214</v>
      </c>
      <c r="T21" s="35">
        <f>S21*'2_Factores'!S31</f>
        <v>59452915.840456314</v>
      </c>
      <c r="U21" s="35">
        <f>T21*'2_Factores'!T31</f>
        <v>60115452.409279808</v>
      </c>
      <c r="V21" s="35">
        <f>U21*'2_Factores'!U31</f>
        <v>60725606.940097302</v>
      </c>
      <c r="W21" s="35">
        <f>V21*'2_Factores'!V31</f>
        <v>61128090.802540109</v>
      </c>
      <c r="X21" s="35">
        <f>W21*'2_Factores'!W31</f>
        <v>61429034.403755449</v>
      </c>
      <c r="Y21" s="35">
        <f>X21*'2_Factores'!X31</f>
        <v>61826395.641707033</v>
      </c>
      <c r="Z21" s="35">
        <f>Y21*'2_Factores'!Y31</f>
        <v>62031357.727140114</v>
      </c>
      <c r="AA21" s="35">
        <f>Z21*'2_Factores'!Z31</f>
        <v>62249896.45568233</v>
      </c>
      <c r="AB21" s="18">
        <f t="shared" si="0"/>
        <v>62249896.45568233</v>
      </c>
      <c r="AC21" s="34">
        <f>'1_Triangulo'!J21</f>
        <v>45510753</v>
      </c>
      <c r="AD21" s="18">
        <f t="shared" si="1"/>
        <v>16739143.45568233</v>
      </c>
    </row>
    <row r="22" spans="1:30" ht="15" customHeight="1" x14ac:dyDescent="0.3">
      <c r="A22" s="15" t="s">
        <v>67</v>
      </c>
      <c r="B22" s="16" t="s">
        <v>68</v>
      </c>
      <c r="C22" s="17">
        <f>'1_Triangulo'!C22</f>
        <v>10157249</v>
      </c>
      <c r="D22" s="17">
        <f>'1_Triangulo'!D22</f>
        <v>15227277</v>
      </c>
      <c r="E22" s="17">
        <f>'1_Triangulo'!E22</f>
        <v>20949821</v>
      </c>
      <c r="F22" s="17">
        <f>'1_Triangulo'!F22</f>
        <v>24555011</v>
      </c>
      <c r="G22" s="17">
        <f>'1_Triangulo'!G22</f>
        <v>29825871</v>
      </c>
      <c r="H22" s="17">
        <f>'1_Triangulo'!H22</f>
        <v>35812219</v>
      </c>
      <c r="I22" s="33">
        <f>'1_Triangulo'!I22</f>
        <v>40828576</v>
      </c>
      <c r="J22" s="35">
        <f>I22*'2_Factores'!I31</f>
        <v>45965417.704887874</v>
      </c>
      <c r="K22" s="35">
        <f>J22*'2_Factores'!J31</f>
        <v>48196923.366445005</v>
      </c>
      <c r="L22" s="35">
        <f>K22*'2_Factores'!K31</f>
        <v>48851127.762461744</v>
      </c>
      <c r="M22" s="35">
        <f>L22*'2_Factores'!L31</f>
        <v>51758044.392141514</v>
      </c>
      <c r="N22" s="35">
        <f>M22*'2_Factores'!M31</f>
        <v>53963922.139782593</v>
      </c>
      <c r="O22" s="35">
        <f>N22*'2_Factores'!N31</f>
        <v>55207534.871536553</v>
      </c>
      <c r="P22" s="35">
        <f>O22*'2_Factores'!O31</f>
        <v>56443084.709201828</v>
      </c>
      <c r="Q22" s="35">
        <f>P22*'2_Factores'!P31</f>
        <v>57668984.840123594</v>
      </c>
      <c r="R22" s="35">
        <f>Q22*'2_Factores'!Q31</f>
        <v>58834318.651591629</v>
      </c>
      <c r="S22" s="35">
        <f>R22*'2_Factores'!R31</f>
        <v>59402380.201090194</v>
      </c>
      <c r="T22" s="35">
        <f>S22*'2_Factores'!S31</f>
        <v>60046866.514823869</v>
      </c>
      <c r="U22" s="35">
        <f>T22*'2_Factores'!T31</f>
        <v>60716022.002774924</v>
      </c>
      <c r="V22" s="35">
        <f>U22*'2_Factores'!U31</f>
        <v>61332272.142023467</v>
      </c>
      <c r="W22" s="35">
        <f>V22*'2_Factores'!V31</f>
        <v>61738776.926874213</v>
      </c>
      <c r="X22" s="35">
        <f>W22*'2_Factores'!W31</f>
        <v>62042727.035884194</v>
      </c>
      <c r="Y22" s="35">
        <f>X22*'2_Factores'!X31</f>
        <v>62444058.019842558</v>
      </c>
      <c r="Z22" s="35">
        <f>Y22*'2_Factores'!Y31</f>
        <v>62651067.731824175</v>
      </c>
      <c r="AA22" s="35">
        <f>Z22*'2_Factores'!Z31</f>
        <v>62871789.721243642</v>
      </c>
      <c r="AB22" s="18">
        <f t="shared" si="0"/>
        <v>62871789.721243642</v>
      </c>
      <c r="AC22" s="34">
        <f>'1_Triangulo'!I22</f>
        <v>40828576</v>
      </c>
      <c r="AD22" s="18">
        <f t="shared" si="1"/>
        <v>22043213.721243642</v>
      </c>
    </row>
    <row r="23" spans="1:30" ht="15" customHeight="1" x14ac:dyDescent="0.3">
      <c r="A23" s="20" t="s">
        <v>69</v>
      </c>
      <c r="B23" s="21" t="s">
        <v>70</v>
      </c>
      <c r="C23" s="22">
        <f>'1_Triangulo'!C23</f>
        <v>10159861</v>
      </c>
      <c r="D23" s="22">
        <f>'1_Triangulo'!D23</f>
        <v>14850703</v>
      </c>
      <c r="E23" s="22">
        <f>'1_Triangulo'!E23</f>
        <v>21643786</v>
      </c>
      <c r="F23" s="22">
        <f>'1_Triangulo'!F23</f>
        <v>25037048</v>
      </c>
      <c r="G23" s="22">
        <f>'1_Triangulo'!G23</f>
        <v>30971544</v>
      </c>
      <c r="H23" s="33">
        <f>'1_Triangulo'!H23</f>
        <v>35649464</v>
      </c>
      <c r="I23" s="35">
        <f>H23*'2_Factores'!H31</f>
        <v>40609937.766198255</v>
      </c>
      <c r="J23" s="35">
        <f>I23*'2_Factores'!I31</f>
        <v>45719271.531605802</v>
      </c>
      <c r="K23" s="35">
        <f>J23*'2_Factores'!J31</f>
        <v>47938827.414249234</v>
      </c>
      <c r="L23" s="35">
        <f>K23*'2_Factores'!K31</f>
        <v>48589528.526348099</v>
      </c>
      <c r="M23" s="35">
        <f>L23*'2_Factores'!L31</f>
        <v>51480878.531374536</v>
      </c>
      <c r="N23" s="35">
        <f>M23*'2_Factores'!M31</f>
        <v>53674943.738340013</v>
      </c>
      <c r="O23" s="35">
        <f>N23*'2_Factores'!N31</f>
        <v>54911896.887080252</v>
      </c>
      <c r="P23" s="35">
        <f>O23*'2_Factores'!O31</f>
        <v>56140830.318768471</v>
      </c>
      <c r="Q23" s="35">
        <f>P23*'2_Factores'!P31</f>
        <v>57360165.718178615</v>
      </c>
      <c r="R23" s="35">
        <f>Q23*'2_Factores'!Q31</f>
        <v>58519259.132569641</v>
      </c>
      <c r="S23" s="35">
        <f>R23*'2_Factores'!R31</f>
        <v>59084278.695644945</v>
      </c>
      <c r="T23" s="35">
        <f>S23*'2_Factores'!S31</f>
        <v>59725313.766079217</v>
      </c>
      <c r="U23" s="35">
        <f>T23*'2_Factores'!T31</f>
        <v>60390885.906572253</v>
      </c>
      <c r="V23" s="35">
        <f>U23*'2_Factores'!U31</f>
        <v>61003836.008072101</v>
      </c>
      <c r="W23" s="35">
        <f>V23*'2_Factores'!V31</f>
        <v>61408163.947759502</v>
      </c>
      <c r="X23" s="35">
        <f>W23*'2_Factores'!W31</f>
        <v>61710486.394932881</v>
      </c>
      <c r="Y23" s="35">
        <f>X23*'2_Factores'!X31</f>
        <v>62109668.239584923</v>
      </c>
      <c r="Z23" s="35">
        <f>Y23*'2_Factores'!Y31</f>
        <v>62315569.408427358</v>
      </c>
      <c r="AA23" s="35">
        <f>Z23*'2_Factores'!Z31</f>
        <v>62535109.425055809</v>
      </c>
      <c r="AB23" s="18">
        <f t="shared" si="0"/>
        <v>62535109.425055809</v>
      </c>
      <c r="AC23" s="34">
        <f>'1_Triangulo'!H23</f>
        <v>35649464</v>
      </c>
      <c r="AD23" s="18">
        <f t="shared" si="1"/>
        <v>26885645.425055809</v>
      </c>
    </row>
    <row r="24" spans="1:30" ht="15" customHeight="1" x14ac:dyDescent="0.3">
      <c r="A24" s="15" t="s">
        <v>71</v>
      </c>
      <c r="B24" s="16" t="s">
        <v>72</v>
      </c>
      <c r="C24" s="17">
        <f>'1_Triangulo'!C24</f>
        <v>10216038</v>
      </c>
      <c r="D24" s="17">
        <f>'1_Triangulo'!D24</f>
        <v>15551970</v>
      </c>
      <c r="E24" s="17">
        <f>'1_Triangulo'!E24</f>
        <v>21643436</v>
      </c>
      <c r="F24" s="17">
        <f>'1_Triangulo'!F24</f>
        <v>26300255</v>
      </c>
      <c r="G24" s="33">
        <f>'1_Triangulo'!G24</f>
        <v>31915838</v>
      </c>
      <c r="H24" s="35">
        <f>G24*'2_Factores'!G31</f>
        <v>37465926.123932183</v>
      </c>
      <c r="I24" s="35">
        <f>H24*'2_Factores'!H31</f>
        <v>42679152.995003439</v>
      </c>
      <c r="J24" s="35">
        <f>I24*'2_Factores'!I31</f>
        <v>48048824.791394867</v>
      </c>
      <c r="K24" s="35">
        <f>J24*'2_Factores'!J31</f>
        <v>50381474.637885064</v>
      </c>
      <c r="L24" s="35">
        <f>K24*'2_Factores'!K31</f>
        <v>51065331.197261572</v>
      </c>
      <c r="M24" s="35">
        <f>L24*'2_Factores'!L31</f>
        <v>54104005.374431565</v>
      </c>
      <c r="N24" s="35">
        <f>M24*'2_Factores'!M31</f>
        <v>56409865.708131351</v>
      </c>
      <c r="O24" s="35">
        <f>N24*'2_Factores'!N31</f>
        <v>57709845.850594841</v>
      </c>
      <c r="P24" s="35">
        <f>O24*'2_Factores'!O31</f>
        <v>59001397.643992387</v>
      </c>
      <c r="Q24" s="35">
        <f>P24*'2_Factores'!P31</f>
        <v>60282862.352538794</v>
      </c>
      <c r="R24" s="35">
        <f>Q24*'2_Factores'!Q31</f>
        <v>61501015.540881559</v>
      </c>
      <c r="S24" s="35">
        <f>R24*'2_Factores'!R31</f>
        <v>62094824.783252098</v>
      </c>
      <c r="T24" s="35">
        <f>S24*'2_Factores'!S31</f>
        <v>62768522.783080094</v>
      </c>
      <c r="U24" s="35">
        <f>T24*'2_Factores'!T31</f>
        <v>63468008.100611359</v>
      </c>
      <c r="V24" s="35">
        <f>U24*'2_Factores'!U31</f>
        <v>64112190.106277704</v>
      </c>
      <c r="W24" s="35">
        <f>V24*'2_Factores'!V31</f>
        <v>64537119.937429443</v>
      </c>
      <c r="X24" s="35">
        <f>W24*'2_Factores'!W31</f>
        <v>64854846.747330546</v>
      </c>
      <c r="Y24" s="35">
        <f>X24*'2_Factores'!X31</f>
        <v>65274368.272303499</v>
      </c>
      <c r="Z24" s="35">
        <f>Y24*'2_Factores'!Y31</f>
        <v>65490760.809949562</v>
      </c>
      <c r="AA24" s="35">
        <f>Z24*'2_Factores'!Z31</f>
        <v>65721487.141325779</v>
      </c>
      <c r="AB24" s="18">
        <f t="shared" si="0"/>
        <v>65721487.141325779</v>
      </c>
      <c r="AC24" s="34">
        <f>'1_Triangulo'!G24</f>
        <v>31915838</v>
      </c>
      <c r="AD24" s="18">
        <f t="shared" si="1"/>
        <v>33805649.141325779</v>
      </c>
    </row>
    <row r="25" spans="1:30" ht="15" customHeight="1" x14ac:dyDescent="0.3">
      <c r="A25" s="20" t="s">
        <v>73</v>
      </c>
      <c r="B25" s="21" t="s">
        <v>74</v>
      </c>
      <c r="C25" s="22">
        <f>'1_Triangulo'!C25</f>
        <v>10453025</v>
      </c>
      <c r="D25" s="22">
        <f>'1_Triangulo'!D25</f>
        <v>15565827</v>
      </c>
      <c r="E25" s="22">
        <f>'1_Triangulo'!E25</f>
        <v>21209178</v>
      </c>
      <c r="F25" s="33">
        <f>'1_Triangulo'!F25</f>
        <v>26324052</v>
      </c>
      <c r="G25" s="35">
        <f>F25*'2_Factores'!F31</f>
        <v>31958257.928281192</v>
      </c>
      <c r="H25" s="35">
        <f>G25*'2_Factores'!G31</f>
        <v>37515722.776589885</v>
      </c>
      <c r="I25" s="35">
        <f>H25*'2_Factores'!H31</f>
        <v>42735878.643540382</v>
      </c>
      <c r="J25" s="35">
        <f>I25*'2_Factores'!I31</f>
        <v>48112687.369643524</v>
      </c>
      <c r="K25" s="35">
        <f>J25*'2_Factores'!J31</f>
        <v>50448437.584019825</v>
      </c>
      <c r="L25" s="35">
        <f>K25*'2_Factores'!K31</f>
        <v>51133203.069748305</v>
      </c>
      <c r="M25" s="35">
        <f>L25*'2_Factores'!L31</f>
        <v>54175916.004749618</v>
      </c>
      <c r="N25" s="35">
        <f>M25*'2_Factores'!M31</f>
        <v>56484841.099900506</v>
      </c>
      <c r="O25" s="35">
        <f>N25*'2_Factores'!N31</f>
        <v>57786549.069921285</v>
      </c>
      <c r="P25" s="35">
        <f>O25*'2_Factores'!O31</f>
        <v>59079817.488602094</v>
      </c>
      <c r="Q25" s="35">
        <f>P25*'2_Factores'!P31</f>
        <v>60362985.415501453</v>
      </c>
      <c r="R25" s="35">
        <f>Q25*'2_Factores'!Q31</f>
        <v>61582757.673689254</v>
      </c>
      <c r="S25" s="35">
        <f>R25*'2_Factores'!R31</f>
        <v>62177356.158863761</v>
      </c>
      <c r="T25" s="35">
        <f>S25*'2_Factores'!S31</f>
        <v>62851949.583115079</v>
      </c>
      <c r="U25" s="35">
        <f>T25*'2_Factores'!T31</f>
        <v>63552364.599468708</v>
      </c>
      <c r="V25" s="35">
        <f>U25*'2_Factores'!U31</f>
        <v>64197402.79930675</v>
      </c>
      <c r="W25" s="35">
        <f>V25*'2_Factores'!V31</f>
        <v>64622897.412525684</v>
      </c>
      <c r="X25" s="35">
        <f>W25*'2_Factores'!W31</f>
        <v>64941046.518983409</v>
      </c>
      <c r="Y25" s="35">
        <f>X25*'2_Factores'!X31</f>
        <v>65361125.637744181</v>
      </c>
      <c r="Z25" s="35">
        <f>Y25*'2_Factores'!Y31</f>
        <v>65577805.786698692</v>
      </c>
      <c r="AA25" s="35">
        <f>Z25*'2_Factores'!Z31</f>
        <v>65808838.780692682</v>
      </c>
      <c r="AB25" s="18">
        <f t="shared" si="0"/>
        <v>65808838.780692682</v>
      </c>
      <c r="AC25" s="34">
        <f>'1_Triangulo'!F25</f>
        <v>26324052</v>
      </c>
      <c r="AD25" s="18">
        <f t="shared" si="1"/>
        <v>39484786.780692682</v>
      </c>
    </row>
    <row r="26" spans="1:30" ht="15" customHeight="1" x14ac:dyDescent="0.3">
      <c r="A26" s="15" t="s">
        <v>75</v>
      </c>
      <c r="B26" s="16" t="s">
        <v>76</v>
      </c>
      <c r="C26" s="17">
        <f>'1_Triangulo'!C26</f>
        <v>10530025</v>
      </c>
      <c r="D26" s="17">
        <f>'1_Triangulo'!D26</f>
        <v>16254730</v>
      </c>
      <c r="E26" s="33">
        <f>'1_Triangulo'!E26</f>
        <v>22079496</v>
      </c>
      <c r="F26" s="35">
        <f>E26*'2_Factores'!E31</f>
        <v>26747783.589975812</v>
      </c>
      <c r="G26" s="35">
        <f>F26*'2_Factores'!F31</f>
        <v>32472681.902402185</v>
      </c>
      <c r="H26" s="35">
        <f>G26*'2_Factores'!G31</f>
        <v>38119603.85315121</v>
      </c>
      <c r="I26" s="35">
        <f>H26*'2_Factores'!H31</f>
        <v>43423787.245401554</v>
      </c>
      <c r="J26" s="35">
        <f>I26*'2_Factores'!I31</f>
        <v>48887145.098155394</v>
      </c>
      <c r="K26" s="35">
        <f>J26*'2_Factores'!J31</f>
        <v>51260493.291449375</v>
      </c>
      <c r="L26" s="35">
        <f>K26*'2_Factores'!K31</f>
        <v>51956281.273563601</v>
      </c>
      <c r="M26" s="35">
        <f>L26*'2_Factores'!L31</f>
        <v>55047971.987129852</v>
      </c>
      <c r="N26" s="35">
        <f>M26*'2_Factores'!M31</f>
        <v>57394063.264056377</v>
      </c>
      <c r="O26" s="35">
        <f>N26*'2_Factores'!N31</f>
        <v>58716724.497192614</v>
      </c>
      <c r="P26" s="35">
        <f>O26*'2_Factores'!O31</f>
        <v>60030810.32967101</v>
      </c>
      <c r="Q26" s="35">
        <f>P26*'2_Factores'!P31</f>
        <v>61334633.085312963</v>
      </c>
      <c r="R26" s="35">
        <f>Q26*'2_Factores'!Q31</f>
        <v>62574039.708239533</v>
      </c>
      <c r="S26" s="35">
        <f>R26*'2_Factores'!R31</f>
        <v>63178209.294455789</v>
      </c>
      <c r="T26" s="35">
        <f>S26*'2_Factores'!S31</f>
        <v>63863661.477998614</v>
      </c>
      <c r="U26" s="35">
        <f>T26*'2_Factores'!T31</f>
        <v>64575350.897264168</v>
      </c>
      <c r="V26" s="35">
        <f>U26*'2_Factores'!U31</f>
        <v>65230772.113440745</v>
      </c>
      <c r="W26" s="35">
        <f>V26*'2_Factores'!V31</f>
        <v>65663115.805554733</v>
      </c>
      <c r="X26" s="35">
        <f>W26*'2_Factores'!W31</f>
        <v>65986386.077505089</v>
      </c>
      <c r="Y26" s="35">
        <f>X26*'2_Factores'!X31</f>
        <v>66413227.103319839</v>
      </c>
      <c r="Z26" s="35">
        <f>Y26*'2_Factores'!Y31</f>
        <v>66633395.09768784</v>
      </c>
      <c r="AA26" s="35">
        <f>Z26*'2_Factores'!Z31</f>
        <v>66868146.971202433</v>
      </c>
      <c r="AB26" s="18">
        <f t="shared" si="0"/>
        <v>66868146.971202433</v>
      </c>
      <c r="AC26" s="34">
        <f>'1_Triangulo'!E26</f>
        <v>22079496</v>
      </c>
      <c r="AD26" s="18">
        <f t="shared" si="1"/>
        <v>44788650.971202433</v>
      </c>
    </row>
    <row r="27" spans="1:30" ht="15" customHeight="1" x14ac:dyDescent="0.3">
      <c r="A27" s="20" t="s">
        <v>77</v>
      </c>
      <c r="B27" s="21" t="s">
        <v>78</v>
      </c>
      <c r="C27" s="22">
        <f>'1_Triangulo'!C27</f>
        <v>10382200</v>
      </c>
      <c r="D27" s="33">
        <f>'1_Triangulo'!D27</f>
        <v>17132382</v>
      </c>
      <c r="E27" s="35">
        <f>D27*'2_Factores'!D31</f>
        <v>22411594.916065115</v>
      </c>
      <c r="F27" s="35">
        <f>E27*'2_Factores'!E31</f>
        <v>27150098.476935878</v>
      </c>
      <c r="G27" s="35">
        <f>F27*'2_Factores'!F31</f>
        <v>32961105.300359957</v>
      </c>
      <c r="H27" s="35">
        <f>G27*'2_Factores'!G31</f>
        <v>38692962.915353671</v>
      </c>
      <c r="I27" s="35">
        <f>H27*'2_Factores'!H31</f>
        <v>44076926.822303124</v>
      </c>
      <c r="J27" s="35">
        <f>I27*'2_Factores'!I31</f>
        <v>49622459.341588087</v>
      </c>
      <c r="K27" s="35">
        <f>J27*'2_Factores'!J31</f>
        <v>52031505.195844896</v>
      </c>
      <c r="L27" s="35">
        <f>K27*'2_Factores'!K31</f>
        <v>52737758.563340716</v>
      </c>
      <c r="M27" s="35">
        <f>L27*'2_Factores'!L31</f>
        <v>55875951.567302726</v>
      </c>
      <c r="N27" s="35">
        <f>M27*'2_Factores'!M31</f>
        <v>58257330.532410949</v>
      </c>
      <c r="O27" s="35">
        <f>N27*'2_Factores'!N31</f>
        <v>59599885.986042343</v>
      </c>
      <c r="P27" s="35">
        <f>O27*'2_Factores'!O31</f>
        <v>60933737.055942036</v>
      </c>
      <c r="Q27" s="35">
        <f>P27*'2_Factores'!P31</f>
        <v>62257170.681501023</v>
      </c>
      <c r="R27" s="35">
        <f>Q27*'2_Factores'!Q31</f>
        <v>63515219.287742697</v>
      </c>
      <c r="S27" s="35">
        <f>R27*'2_Factores'!R31</f>
        <v>64128476.221999049</v>
      </c>
      <c r="T27" s="35">
        <f>S27*'2_Factores'!S31</f>
        <v>64824238.329607584</v>
      </c>
      <c r="U27" s="35">
        <f>T27*'2_Factores'!T31</f>
        <v>65546632.3086472</v>
      </c>
      <c r="V27" s="35">
        <f>U27*'2_Factores'!U31</f>
        <v>66211911.75145442</v>
      </c>
      <c r="W27" s="35">
        <f>V27*'2_Factores'!V31</f>
        <v>66650758.348866545</v>
      </c>
      <c r="X27" s="35">
        <f>W27*'2_Factores'!W31</f>
        <v>66978890.946791679</v>
      </c>
      <c r="Y27" s="35">
        <f>X27*'2_Factores'!X31</f>
        <v>67412152.11199753</v>
      </c>
      <c r="Z27" s="35">
        <f>Y27*'2_Factores'!Y31</f>
        <v>67635631.665301561</v>
      </c>
      <c r="AA27" s="35">
        <f>Z27*'2_Factores'!Z31</f>
        <v>67873914.454682097</v>
      </c>
      <c r="AB27" s="18">
        <f t="shared" si="0"/>
        <v>67873914.454682097</v>
      </c>
      <c r="AC27" s="34">
        <f>'1_Triangulo'!D27</f>
        <v>17132382</v>
      </c>
      <c r="AD27" s="18">
        <f t="shared" si="1"/>
        <v>50741532.454682097</v>
      </c>
    </row>
    <row r="28" spans="1:30" ht="15" customHeight="1" x14ac:dyDescent="0.3">
      <c r="A28" s="15" t="s">
        <v>79</v>
      </c>
      <c r="B28" s="16" t="s">
        <v>80</v>
      </c>
      <c r="C28" s="33">
        <f>'1_Triangulo'!C28</f>
        <v>10443357</v>
      </c>
      <c r="D28" s="35">
        <f>C28*'2_Factores'!C31</f>
        <v>16407713.803051155</v>
      </c>
      <c r="E28" s="35">
        <f>D28*'2_Factores'!D31</f>
        <v>21463625.738248933</v>
      </c>
      <c r="F28" s="35">
        <f>E28*'2_Factores'!E31</f>
        <v>26001699.327870406</v>
      </c>
      <c r="G28" s="35">
        <f>F28*'2_Factores'!F31</f>
        <v>31566911.267828301</v>
      </c>
      <c r="H28" s="35">
        <f>G28*'2_Factores'!G31</f>
        <v>37056321.865062021</v>
      </c>
      <c r="I28" s="35">
        <f>H28*'2_Factores'!H31</f>
        <v>42212554.017204307</v>
      </c>
      <c r="J28" s="35">
        <f>I28*'2_Factores'!I31</f>
        <v>47523520.727025568</v>
      </c>
      <c r="K28" s="35">
        <f>J28*'2_Factores'!J31</f>
        <v>49830668.379644603</v>
      </c>
      <c r="L28" s="35">
        <f>K28*'2_Factores'!K31</f>
        <v>50507048.530770846</v>
      </c>
      <c r="M28" s="35">
        <f>L28*'2_Factores'!L31</f>
        <v>53512501.75191348</v>
      </c>
      <c r="N28" s="35">
        <f>M28*'2_Factores'!M31</f>
        <v>55793152.773826368</v>
      </c>
      <c r="O28" s="35">
        <f>N28*'2_Factores'!N31</f>
        <v>57078920.605054356</v>
      </c>
      <c r="P28" s="35">
        <f>O28*'2_Factores'!O31</f>
        <v>58356352.231947087</v>
      </c>
      <c r="Q28" s="35">
        <f>P28*'2_Factores'!P31</f>
        <v>59623807.053203478</v>
      </c>
      <c r="R28" s="35">
        <f>Q28*'2_Factores'!Q31</f>
        <v>60828642.521005958</v>
      </c>
      <c r="S28" s="35">
        <f>R28*'2_Factores'!R31</f>
        <v>61415959.816698685</v>
      </c>
      <c r="T28" s="35">
        <f>S28*'2_Factores'!S31</f>
        <v>62082292.468903638</v>
      </c>
      <c r="U28" s="35">
        <f>T28*'2_Factores'!T31</f>
        <v>62774130.513439961</v>
      </c>
      <c r="V28" s="35">
        <f>U28*'2_Factores'!U31</f>
        <v>63411269.861408867</v>
      </c>
      <c r="W28" s="35">
        <f>V28*'2_Factores'!V31</f>
        <v>63831554.056203321</v>
      </c>
      <c r="X28" s="35">
        <f>W28*'2_Factores'!W31</f>
        <v>64145807.24972932</v>
      </c>
      <c r="Y28" s="35">
        <f>X28*'2_Factores'!X31</f>
        <v>64560742.265810214</v>
      </c>
      <c r="Z28" s="35">
        <f>Y28*'2_Factores'!Y31</f>
        <v>64774769.04570844</v>
      </c>
      <c r="AA28" s="35">
        <f>Z28*'2_Factores'!Z31</f>
        <v>65002972.912067972</v>
      </c>
      <c r="AB28" s="18">
        <f t="shared" si="0"/>
        <v>65002972.912067972</v>
      </c>
      <c r="AC28" s="34">
        <f>'1_Triangulo'!C28</f>
        <v>10443357</v>
      </c>
      <c r="AD28" s="18">
        <f t="shared" si="1"/>
        <v>54559615.912067972</v>
      </c>
    </row>
    <row r="29" spans="1:30" ht="19.5" customHeight="1" x14ac:dyDescent="0.3">
      <c r="A29" s="72" t="s">
        <v>119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 t="s">
        <v>119</v>
      </c>
      <c r="AB29" s="36">
        <f>SUM(AB4:AB28)</f>
        <v>1466375010.1698208</v>
      </c>
      <c r="AC29" s="72"/>
      <c r="AD29" s="36">
        <f>SUM(AD4:AD28)</f>
        <v>368116872.91982114</v>
      </c>
    </row>
  </sheetData>
  <mergeCells count="2">
    <mergeCell ref="A1:AD1"/>
    <mergeCell ref="A2:A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showGridLines="0" topLeftCell="A21" zoomScaleNormal="100" workbookViewId="0">
      <selection activeCell="E21" sqref="E21"/>
    </sheetView>
  </sheetViews>
  <sheetFormatPr baseColWidth="10" defaultColWidth="8.6640625" defaultRowHeight="14.4" x14ac:dyDescent="0.3"/>
  <cols>
    <col min="1" max="12" width="16" customWidth="1"/>
  </cols>
  <sheetData>
    <row r="1" spans="1:11" ht="25.5" customHeight="1" x14ac:dyDescent="0.3">
      <c r="A1" s="11" t="s">
        <v>120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5.75" customHeight="1" x14ac:dyDescent="0.3">
      <c r="A2" s="4" t="s">
        <v>121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ht="21.75" customHeight="1" x14ac:dyDescent="0.3">
      <c r="A4" s="37" t="s">
        <v>122</v>
      </c>
      <c r="B4" s="38">
        <v>0.68</v>
      </c>
      <c r="C4" s="39" t="s">
        <v>123</v>
      </c>
    </row>
    <row r="7" spans="1:11" ht="43.5" customHeight="1" x14ac:dyDescent="0.3">
      <c r="A7" s="40" t="s">
        <v>2</v>
      </c>
      <c r="B7" s="40" t="s">
        <v>3</v>
      </c>
      <c r="C7" s="40" t="s">
        <v>124</v>
      </c>
      <c r="D7" s="40" t="s">
        <v>125</v>
      </c>
      <c r="E7" s="40" t="s">
        <v>126</v>
      </c>
      <c r="F7" s="40" t="s">
        <v>127</v>
      </c>
      <c r="G7" s="40" t="s">
        <v>128</v>
      </c>
      <c r="H7" s="40" t="s">
        <v>129</v>
      </c>
      <c r="I7" s="40" t="s">
        <v>130</v>
      </c>
      <c r="J7" s="40" t="s">
        <v>131</v>
      </c>
      <c r="K7" s="40" t="s">
        <v>132</v>
      </c>
    </row>
    <row r="8" spans="1:11" ht="15" customHeight="1" x14ac:dyDescent="0.3">
      <c r="A8" s="41" t="s">
        <v>31</v>
      </c>
      <c r="B8" s="42" t="s">
        <v>32</v>
      </c>
      <c r="C8" s="34">
        <f>'1_Triangulo'!AA4</f>
        <v>49970260</v>
      </c>
      <c r="D8" s="19">
        <f>'1_Triangulo'!AC4</f>
        <v>74396187</v>
      </c>
      <c r="E8" s="29">
        <f>1</f>
        <v>1</v>
      </c>
      <c r="F8" s="30">
        <f>0</f>
        <v>0</v>
      </c>
      <c r="G8" s="43">
        <f t="shared" ref="G8:G32" si="0">D8*$B$4</f>
        <v>50589407.160000004</v>
      </c>
      <c r="H8" s="18">
        <f t="shared" ref="H8:H32" si="1">G8*F8</f>
        <v>0</v>
      </c>
      <c r="I8" s="26">
        <f t="shared" ref="I8:I32" si="2">C8+H8</f>
        <v>49970260</v>
      </c>
      <c r="J8" s="44">
        <f>'3_ChainLadder'!AB4</f>
        <v>49970260</v>
      </c>
      <c r="K8" s="45">
        <f>H8-'3_ChainLadder'!AD4</f>
        <v>0</v>
      </c>
    </row>
    <row r="9" spans="1:11" ht="15" customHeight="1" x14ac:dyDescent="0.3">
      <c r="A9" s="46" t="s">
        <v>33</v>
      </c>
      <c r="B9" s="21" t="s">
        <v>34</v>
      </c>
      <c r="C9" s="34">
        <f>'1_Triangulo'!Z5</f>
        <v>50579274</v>
      </c>
      <c r="D9" s="19">
        <f>'1_Triangulo'!AC5</f>
        <v>73564016</v>
      </c>
      <c r="E9" s="29">
        <f>'2_Factores'!Z34</f>
        <v>0.9964893318545871</v>
      </c>
      <c r="F9" s="30">
        <f t="shared" ref="F9:F32" si="3">1-E9</f>
        <v>3.5106681454128985E-3</v>
      </c>
      <c r="G9" s="43">
        <f t="shared" si="0"/>
        <v>50023530.880000003</v>
      </c>
      <c r="H9" s="18">
        <f t="shared" si="1"/>
        <v>175616.01638149447</v>
      </c>
      <c r="I9" s="26">
        <f t="shared" si="2"/>
        <v>50754890.016381495</v>
      </c>
      <c r="J9" s="44">
        <f>'3_ChainLadder'!AB5</f>
        <v>50757466.621208936</v>
      </c>
      <c r="K9" s="45">
        <f>H9-'3_ChainLadder'!AD5</f>
        <v>-2576.604827441508</v>
      </c>
    </row>
    <row r="10" spans="1:11" ht="15" customHeight="1" x14ac:dyDescent="0.3">
      <c r="A10" s="41" t="s">
        <v>35</v>
      </c>
      <c r="B10" s="42" t="s">
        <v>36</v>
      </c>
      <c r="C10" s="34">
        <f>'1_Triangulo'!Y6</f>
        <v>51107802</v>
      </c>
      <c r="D10" s="19">
        <f>'1_Triangulo'!AC6</f>
        <v>74286643</v>
      </c>
      <c r="E10" s="29">
        <f>'2_Factores'!Y34</f>
        <v>0.99319676275643598</v>
      </c>
      <c r="F10" s="30">
        <f t="shared" si="3"/>
        <v>6.8032372435640198E-3</v>
      </c>
      <c r="G10" s="43">
        <f t="shared" si="0"/>
        <v>50514917.240000002</v>
      </c>
      <c r="H10" s="18">
        <f t="shared" si="1"/>
        <v>343664.9663227222</v>
      </c>
      <c r="I10" s="26">
        <f t="shared" si="2"/>
        <v>51451466.96632272</v>
      </c>
      <c r="J10" s="44">
        <f>'3_ChainLadder'!AB6</f>
        <v>51457882.180525482</v>
      </c>
      <c r="K10" s="45">
        <f>H10-'3_ChainLadder'!AD6</f>
        <v>-6415.2142027594964</v>
      </c>
    </row>
    <row r="11" spans="1:11" ht="15" customHeight="1" x14ac:dyDescent="0.3">
      <c r="A11" s="46" t="s">
        <v>37</v>
      </c>
      <c r="B11" s="21" t="s">
        <v>38</v>
      </c>
      <c r="C11" s="34">
        <f>'1_Triangulo'!X7</f>
        <v>51395178</v>
      </c>
      <c r="D11" s="19">
        <f>'1_Triangulo'!AC7</f>
        <v>76777775</v>
      </c>
      <c r="E11" s="29">
        <f>'2_Factores'!X34</f>
        <v>0.98681343907919139</v>
      </c>
      <c r="F11" s="30">
        <f t="shared" si="3"/>
        <v>1.318656092080861E-2</v>
      </c>
      <c r="G11" s="43">
        <f t="shared" si="0"/>
        <v>52208887.000000007</v>
      </c>
      <c r="H11" s="18">
        <f t="shared" si="1"/>
        <v>688455.6690331127</v>
      </c>
      <c r="I11" s="26">
        <f t="shared" si="2"/>
        <v>52083633.66903311</v>
      </c>
      <c r="J11" s="44">
        <f>'3_ChainLadder'!AB7</f>
        <v>52081959.937592171</v>
      </c>
      <c r="K11" s="45">
        <f>H11-'3_ChainLadder'!AD7</f>
        <v>1673.7314409415703</v>
      </c>
    </row>
    <row r="12" spans="1:11" ht="15" customHeight="1" x14ac:dyDescent="0.3">
      <c r="A12" s="41" t="s">
        <v>39</v>
      </c>
      <c r="B12" s="42" t="s">
        <v>40</v>
      </c>
      <c r="C12" s="34">
        <f>'1_Triangulo'!W8</f>
        <v>52457834</v>
      </c>
      <c r="D12" s="19">
        <f>'1_Triangulo'!AC8</f>
        <v>78595028</v>
      </c>
      <c r="E12" s="29">
        <f>'2_Factores'!W34</f>
        <v>0.98197899567687041</v>
      </c>
      <c r="F12" s="30">
        <f t="shared" si="3"/>
        <v>1.8021004323129586E-2</v>
      </c>
      <c r="G12" s="43">
        <f t="shared" si="0"/>
        <v>53444619.040000007</v>
      </c>
      <c r="H12" s="18">
        <f t="shared" si="1"/>
        <v>963125.71076785389</v>
      </c>
      <c r="I12" s="26">
        <f t="shared" si="2"/>
        <v>53420959.71076785</v>
      </c>
      <c r="J12" s="44">
        <f>'3_ChainLadder'!AB8</f>
        <v>53420525.521364354</v>
      </c>
      <c r="K12" s="45">
        <f>H12-'3_ChainLadder'!AD8</f>
        <v>434.18940350029152</v>
      </c>
    </row>
    <row r="13" spans="1:11" ht="15" customHeight="1" x14ac:dyDescent="0.3">
      <c r="A13" s="46" t="s">
        <v>41</v>
      </c>
      <c r="B13" s="21" t="s">
        <v>42</v>
      </c>
      <c r="C13" s="34">
        <f>'1_Triangulo'!V9</f>
        <v>52189573</v>
      </c>
      <c r="D13" s="19">
        <f>'1_Triangulo'!AC9</f>
        <v>78256129</v>
      </c>
      <c r="E13" s="29">
        <f>'2_Factores'!V34</f>
        <v>0.97551338070625992</v>
      </c>
      <c r="F13" s="30">
        <f t="shared" si="3"/>
        <v>2.4486619293740075E-2</v>
      </c>
      <c r="G13" s="43">
        <f t="shared" si="0"/>
        <v>53214167.720000006</v>
      </c>
      <c r="H13" s="18">
        <f t="shared" si="1"/>
        <v>1303035.0659928725</v>
      </c>
      <c r="I13" s="26">
        <f t="shared" si="2"/>
        <v>53492608.065992869</v>
      </c>
      <c r="J13" s="44">
        <f>'3_ChainLadder'!AB9</f>
        <v>53499597.270736948</v>
      </c>
      <c r="K13" s="45">
        <f>H13-'3_ChainLadder'!AD9</f>
        <v>-6989.2047440751921</v>
      </c>
    </row>
    <row r="14" spans="1:11" ht="15" customHeight="1" x14ac:dyDescent="0.3">
      <c r="A14" s="41" t="s">
        <v>43</v>
      </c>
      <c r="B14" s="42" t="s">
        <v>44</v>
      </c>
      <c r="C14" s="34">
        <f>'1_Triangulo'!U10</f>
        <v>52496431</v>
      </c>
      <c r="D14" s="19">
        <f>'1_Triangulo'!AC10</f>
        <v>81976635</v>
      </c>
      <c r="E14" s="29">
        <f>'2_Factores'!U34</f>
        <v>0.96571168519256734</v>
      </c>
      <c r="F14" s="30">
        <f t="shared" si="3"/>
        <v>3.4288314807432663E-2</v>
      </c>
      <c r="G14" s="43">
        <f t="shared" si="0"/>
        <v>55744111.800000004</v>
      </c>
      <c r="H14" s="18">
        <f t="shared" si="1"/>
        <v>1911371.6540591221</v>
      </c>
      <c r="I14" s="26">
        <f t="shared" si="2"/>
        <v>54407802.65405912</v>
      </c>
      <c r="J14" s="44">
        <f>'3_ChainLadder'!AB10</f>
        <v>54360355.999556921</v>
      </c>
      <c r="K14" s="45">
        <f>H14-'3_ChainLadder'!AD10</f>
        <v>47446.654502200661</v>
      </c>
    </row>
    <row r="15" spans="1:11" ht="15" customHeight="1" x14ac:dyDescent="0.3">
      <c r="A15" s="46" t="s">
        <v>45</v>
      </c>
      <c r="B15" s="21" t="s">
        <v>46</v>
      </c>
      <c r="C15" s="34">
        <f>'1_Triangulo'!T11</f>
        <v>52493077</v>
      </c>
      <c r="D15" s="19">
        <f>'1_Triangulo'!AC11</f>
        <v>81647448</v>
      </c>
      <c r="E15" s="29">
        <f>'2_Factores'!T34</f>
        <v>0.95506850975700375</v>
      </c>
      <c r="F15" s="30">
        <f t="shared" si="3"/>
        <v>4.4931490242996253E-2</v>
      </c>
      <c r="G15" s="43">
        <f t="shared" si="0"/>
        <v>55520264.640000001</v>
      </c>
      <c r="H15" s="18">
        <f t="shared" si="1"/>
        <v>2494608.2289607297</v>
      </c>
      <c r="I15" s="26">
        <f t="shared" si="2"/>
        <v>54987685.22896073</v>
      </c>
      <c r="J15" s="44">
        <f>'3_ChainLadder'!AB11</f>
        <v>54962629.867626682</v>
      </c>
      <c r="K15" s="45">
        <f>H15-'3_ChainLadder'!AD11</f>
        <v>25055.361334047746</v>
      </c>
    </row>
    <row r="16" spans="1:11" ht="15" customHeight="1" x14ac:dyDescent="0.3">
      <c r="A16" s="41" t="s">
        <v>47</v>
      </c>
      <c r="B16" s="42" t="s">
        <v>48</v>
      </c>
      <c r="C16" s="34">
        <f>'1_Triangulo'!S12</f>
        <v>52617714</v>
      </c>
      <c r="D16" s="19">
        <f>'1_Triangulo'!AC12</f>
        <v>81746441</v>
      </c>
      <c r="E16" s="29">
        <f>'2_Factores'!S34</f>
        <v>0.94481770702669898</v>
      </c>
      <c r="F16" s="30">
        <f t="shared" si="3"/>
        <v>5.5182292973301017E-2</v>
      </c>
      <c r="G16" s="43">
        <f t="shared" si="0"/>
        <v>55587579.880000003</v>
      </c>
      <c r="H16" s="18">
        <f t="shared" si="1"/>
        <v>3067450.118614933</v>
      </c>
      <c r="I16" s="26">
        <f t="shared" si="2"/>
        <v>55685164.118614934</v>
      </c>
      <c r="J16" s="44">
        <f>'3_ChainLadder'!AB12</f>
        <v>55690863.548255995</v>
      </c>
      <c r="K16" s="45">
        <f>H16-'3_ChainLadder'!AD12</f>
        <v>-5699.4296410619281</v>
      </c>
    </row>
    <row r="17" spans="1:11" ht="15" customHeight="1" x14ac:dyDescent="0.3">
      <c r="A17" s="46" t="s">
        <v>49</v>
      </c>
      <c r="B17" s="21" t="s">
        <v>50</v>
      </c>
      <c r="C17" s="34">
        <f>'1_Triangulo'!R13</f>
        <v>52625937</v>
      </c>
      <c r="D17" s="19">
        <f>'1_Triangulo'!AC13</f>
        <v>82405997</v>
      </c>
      <c r="E17" s="29">
        <f>'2_Factores'!R34</f>
        <v>0.93578246956937194</v>
      </c>
      <c r="F17" s="30">
        <f t="shared" si="3"/>
        <v>6.4217530430628056E-2</v>
      </c>
      <c r="G17" s="43">
        <f t="shared" si="0"/>
        <v>56036077.960000001</v>
      </c>
      <c r="H17" s="18">
        <f t="shared" si="1"/>
        <v>3598498.5416093464</v>
      </c>
      <c r="I17" s="26">
        <f t="shared" si="2"/>
        <v>56224435.541609347</v>
      </c>
      <c r="J17" s="44">
        <f>'3_ChainLadder'!AB13</f>
        <v>56237361.471643485</v>
      </c>
      <c r="K17" s="45">
        <f>H17-'3_ChainLadder'!AD13</f>
        <v>-12925.930034138728</v>
      </c>
    </row>
    <row r="18" spans="1:11" ht="15" customHeight="1" x14ac:dyDescent="0.3">
      <c r="A18" s="41" t="s">
        <v>51</v>
      </c>
      <c r="B18" s="42" t="s">
        <v>52</v>
      </c>
      <c r="C18" s="34">
        <f>'1_Triangulo'!Q14</f>
        <v>52557910</v>
      </c>
      <c r="D18" s="19">
        <f>'1_Triangulo'!AC14</f>
        <v>83269600</v>
      </c>
      <c r="E18" s="29">
        <f>'2_Factores'!Q34</f>
        <v>0.91724738703657305</v>
      </c>
      <c r="F18" s="30">
        <f t="shared" si="3"/>
        <v>8.2752612963426952E-2</v>
      </c>
      <c r="G18" s="43">
        <f t="shared" si="0"/>
        <v>56623328.000000007</v>
      </c>
      <c r="H18" s="18">
        <f t="shared" si="1"/>
        <v>4685728.3466851767</v>
      </c>
      <c r="I18" s="26">
        <f t="shared" si="2"/>
        <v>57243638.346685179</v>
      </c>
      <c r="J18" s="44">
        <f>'3_ChainLadder'!AB14</f>
        <v>57299601.768071741</v>
      </c>
      <c r="K18" s="45">
        <f>H18-'3_ChainLadder'!AD14</f>
        <v>-55963.42138656415</v>
      </c>
    </row>
    <row r="19" spans="1:11" ht="15" customHeight="1" x14ac:dyDescent="0.3">
      <c r="A19" s="46" t="s">
        <v>53</v>
      </c>
      <c r="B19" s="21" t="s">
        <v>54</v>
      </c>
      <c r="C19" s="34">
        <f>'1_Triangulo'!P15</f>
        <v>51927991</v>
      </c>
      <c r="D19" s="19">
        <f>'1_Triangulo'!AC15</f>
        <v>86364093</v>
      </c>
      <c r="E19" s="29">
        <f>'2_Factores'!P34</f>
        <v>0.89774897389520913</v>
      </c>
      <c r="F19" s="30">
        <f t="shared" si="3"/>
        <v>0.10225102610479087</v>
      </c>
      <c r="G19" s="43">
        <f t="shared" si="0"/>
        <v>58727583.240000002</v>
      </c>
      <c r="H19" s="18">
        <f t="shared" si="1"/>
        <v>6004955.6469445191</v>
      </c>
      <c r="I19" s="26">
        <f t="shared" si="2"/>
        <v>57932946.646944523</v>
      </c>
      <c r="J19" s="44">
        <f>'3_ChainLadder'!AB15</f>
        <v>57842439.824455164</v>
      </c>
      <c r="K19" s="45">
        <f>H19-'3_ChainLadder'!AD15</f>
        <v>90506.822489354759</v>
      </c>
    </row>
    <row r="20" spans="1:11" ht="15" customHeight="1" x14ac:dyDescent="0.3">
      <c r="A20" s="41" t="s">
        <v>55</v>
      </c>
      <c r="B20" s="42" t="s">
        <v>56</v>
      </c>
      <c r="C20" s="34">
        <f>'1_Triangulo'!O16</f>
        <v>51522184</v>
      </c>
      <c r="D20" s="19">
        <f>'1_Triangulo'!AC16</f>
        <v>86023052</v>
      </c>
      <c r="E20" s="29">
        <f>'2_Factores'!O34</f>
        <v>0.87809707845619944</v>
      </c>
      <c r="F20" s="30">
        <f t="shared" si="3"/>
        <v>0.12190292154380056</v>
      </c>
      <c r="G20" s="43">
        <f t="shared" si="0"/>
        <v>58495675.360000007</v>
      </c>
      <c r="H20" s="18">
        <f t="shared" si="1"/>
        <v>7130793.724061708</v>
      </c>
      <c r="I20" s="26">
        <f t="shared" si="2"/>
        <v>58652977.724061705</v>
      </c>
      <c r="J20" s="44">
        <f>'3_ChainLadder'!AB16</f>
        <v>58674815.420844153</v>
      </c>
      <c r="K20" s="45">
        <f>H20-'3_ChainLadder'!AD16</f>
        <v>-21837.696782444604</v>
      </c>
    </row>
    <row r="21" spans="1:11" ht="15" customHeight="1" x14ac:dyDescent="0.3">
      <c r="A21" s="46" t="s">
        <v>57</v>
      </c>
      <c r="B21" s="21" t="s">
        <v>58</v>
      </c>
      <c r="C21" s="34">
        <f>'1_Triangulo'!N17</f>
        <v>51401276</v>
      </c>
      <c r="D21" s="19">
        <f>'1_Triangulo'!AC17</f>
        <v>85192925</v>
      </c>
      <c r="E21" s="29">
        <f>'2_Factores'!N34</f>
        <v>0.85831693958520827</v>
      </c>
      <c r="F21" s="30">
        <f t="shared" si="3"/>
        <v>0.14168306041479173</v>
      </c>
      <c r="G21" s="43">
        <f t="shared" si="0"/>
        <v>57931189.000000007</v>
      </c>
      <c r="H21" s="18">
        <f t="shared" si="1"/>
        <v>8207868.1509877192</v>
      </c>
      <c r="I21" s="26">
        <f t="shared" si="2"/>
        <v>59609144.150987722</v>
      </c>
      <c r="J21" s="44">
        <f>'3_ChainLadder'!AB17</f>
        <v>59886125.54336895</v>
      </c>
      <c r="K21" s="45">
        <f>H21-'3_ChainLadder'!AD17</f>
        <v>-276981.3923812313</v>
      </c>
    </row>
    <row r="22" spans="1:11" ht="15" customHeight="1" x14ac:dyDescent="0.3">
      <c r="A22" s="41" t="s">
        <v>59</v>
      </c>
      <c r="B22" s="42" t="s">
        <v>60</v>
      </c>
      <c r="C22" s="34">
        <f>'1_Triangulo'!M18</f>
        <v>49785597</v>
      </c>
      <c r="D22" s="19">
        <f>'1_Triangulo'!AC18</f>
        <v>88141373</v>
      </c>
      <c r="E22" s="29">
        <f>'2_Factores'!M34</f>
        <v>0.82323160548828922</v>
      </c>
      <c r="F22" s="30">
        <f t="shared" si="3"/>
        <v>0.17676839451171078</v>
      </c>
      <c r="G22" s="43">
        <f t="shared" si="0"/>
        <v>59936133.640000001</v>
      </c>
      <c r="H22" s="18">
        <f t="shared" si="1"/>
        <v>10594814.11678214</v>
      </c>
      <c r="I22" s="26">
        <f t="shared" si="2"/>
        <v>60380411.116782144</v>
      </c>
      <c r="J22" s="44">
        <f>'3_ChainLadder'!AB18</f>
        <v>60475808.591520637</v>
      </c>
      <c r="K22" s="45">
        <f>H22-'3_ChainLadder'!AD18</f>
        <v>-95397.474738497287</v>
      </c>
    </row>
    <row r="23" spans="1:11" ht="15" customHeight="1" x14ac:dyDescent="0.3">
      <c r="A23" s="46" t="s">
        <v>61</v>
      </c>
      <c r="B23" s="21" t="s">
        <v>62</v>
      </c>
      <c r="C23" s="34">
        <f>'1_Triangulo'!L19</f>
        <v>46502204.25</v>
      </c>
      <c r="D23" s="19">
        <f>'1_Triangulo'!AC19</f>
        <v>91162359</v>
      </c>
      <c r="E23" s="29">
        <f>'2_Factores'!L34</f>
        <v>0.77699597830846434</v>
      </c>
      <c r="F23" s="30">
        <f t="shared" si="3"/>
        <v>0.22300402169153566</v>
      </c>
      <c r="G23" s="43">
        <f t="shared" si="0"/>
        <v>61990404.120000005</v>
      </c>
      <c r="H23" s="18">
        <f t="shared" si="1"/>
        <v>13824109.425043542</v>
      </c>
      <c r="I23" s="26">
        <f t="shared" si="2"/>
        <v>60326313.675043538</v>
      </c>
      <c r="J23" s="44">
        <f>'3_ChainLadder'!AB19</f>
        <v>59848706.49039425</v>
      </c>
      <c r="K23" s="45">
        <f>H23-'3_ChainLadder'!AD19</f>
        <v>477607.18464929238</v>
      </c>
    </row>
    <row r="24" spans="1:11" ht="15" customHeight="1" x14ac:dyDescent="0.3">
      <c r="A24" s="41" t="s">
        <v>63</v>
      </c>
      <c r="B24" s="42" t="s">
        <v>64</v>
      </c>
      <c r="C24" s="34">
        <f>'1_Triangulo'!K20</f>
        <v>46743977</v>
      </c>
      <c r="D24" s="19">
        <f>'1_Triangulo'!AC20</f>
        <v>89354737</v>
      </c>
      <c r="E24" s="29">
        <f>'2_Factores'!K34</f>
        <v>0.7665906057412557</v>
      </c>
      <c r="F24" s="30">
        <f t="shared" si="3"/>
        <v>0.2334093942587443</v>
      </c>
      <c r="G24" s="43">
        <f t="shared" si="0"/>
        <v>60761221.160000004</v>
      </c>
      <c r="H24" s="18">
        <f t="shared" si="1"/>
        <v>14182239.825377198</v>
      </c>
      <c r="I24" s="26">
        <f t="shared" si="2"/>
        <v>60926216.825377196</v>
      </c>
      <c r="J24" s="44">
        <f>'3_ChainLadder'!AB20</f>
        <v>60976454.250702523</v>
      </c>
      <c r="K24" s="45">
        <f>H24-'3_ChainLadder'!AD20</f>
        <v>-50237.425325324759</v>
      </c>
    </row>
    <row r="25" spans="1:11" ht="15" customHeight="1" x14ac:dyDescent="0.3">
      <c r="A25" s="46" t="s">
        <v>65</v>
      </c>
      <c r="B25" s="21" t="s">
        <v>66</v>
      </c>
      <c r="C25" s="34">
        <f>'1_Triangulo'!J21</f>
        <v>45510753</v>
      </c>
      <c r="D25" s="19">
        <f>'1_Triangulo'!AC21</f>
        <v>90519813</v>
      </c>
      <c r="E25" s="29">
        <f>'2_Factores'!J34</f>
        <v>0.73109764981537828</v>
      </c>
      <c r="F25" s="30">
        <f t="shared" si="3"/>
        <v>0.26890235018462172</v>
      </c>
      <c r="G25" s="43">
        <f t="shared" si="0"/>
        <v>61553472.840000004</v>
      </c>
      <c r="H25" s="18">
        <f t="shared" si="1"/>
        <v>16551873.508701283</v>
      </c>
      <c r="I25" s="26">
        <f t="shared" si="2"/>
        <v>62062626.50870128</v>
      </c>
      <c r="J25" s="44">
        <f>'3_ChainLadder'!AB21</f>
        <v>62249896.45568233</v>
      </c>
      <c r="K25" s="45">
        <f>H25-'3_ChainLadder'!AD21</f>
        <v>-187269.94698104635</v>
      </c>
    </row>
    <row r="26" spans="1:11" ht="15" customHeight="1" x14ac:dyDescent="0.3">
      <c r="A26" s="41" t="s">
        <v>67</v>
      </c>
      <c r="B26" s="42" t="s">
        <v>68</v>
      </c>
      <c r="C26" s="34">
        <f>'1_Triangulo'!I22</f>
        <v>40828576</v>
      </c>
      <c r="D26" s="19">
        <f>'1_Triangulo'!AC22</f>
        <v>93738616</v>
      </c>
      <c r="E26" s="29">
        <f>'2_Factores'!I34</f>
        <v>0.64939420654355107</v>
      </c>
      <c r="F26" s="30">
        <f t="shared" si="3"/>
        <v>0.35060579345644893</v>
      </c>
      <c r="G26" s="43">
        <f t="shared" si="0"/>
        <v>63742258.880000003</v>
      </c>
      <c r="H26" s="18">
        <f t="shared" si="1"/>
        <v>22348405.251328778</v>
      </c>
      <c r="I26" s="26">
        <f t="shared" si="2"/>
        <v>63176981.251328781</v>
      </c>
      <c r="J26" s="44">
        <f>'3_ChainLadder'!AB22</f>
        <v>62871789.721243642</v>
      </c>
      <c r="K26" s="45">
        <f>H26-'3_ChainLadder'!AD22</f>
        <v>305191.53008513525</v>
      </c>
    </row>
    <row r="27" spans="1:11" ht="15" customHeight="1" x14ac:dyDescent="0.3">
      <c r="A27" s="46" t="s">
        <v>69</v>
      </c>
      <c r="B27" s="21" t="s">
        <v>70</v>
      </c>
      <c r="C27" s="34">
        <f>'1_Triangulo'!H23</f>
        <v>35649464</v>
      </c>
      <c r="D27" s="19">
        <f>'1_Triangulo'!AC23</f>
        <v>95003331</v>
      </c>
      <c r="E27" s="29">
        <f>'2_Factores'!H34</f>
        <v>0.57007118605466789</v>
      </c>
      <c r="F27" s="30">
        <f t="shared" si="3"/>
        <v>0.42992881394533211</v>
      </c>
      <c r="G27" s="43">
        <f t="shared" si="0"/>
        <v>64602265.080000006</v>
      </c>
      <c r="H27" s="18">
        <f t="shared" si="1"/>
        <v>27774375.204026349</v>
      </c>
      <c r="I27" s="26">
        <f t="shared" si="2"/>
        <v>63423839.204026349</v>
      </c>
      <c r="J27" s="44">
        <f>'3_ChainLadder'!AB23</f>
        <v>62535109.425055809</v>
      </c>
      <c r="K27" s="45">
        <f>H27-'3_ChainLadder'!AD23</f>
        <v>888729.77897053957</v>
      </c>
    </row>
    <row r="28" spans="1:11" ht="15" customHeight="1" x14ac:dyDescent="0.3">
      <c r="A28" s="41" t="s">
        <v>71</v>
      </c>
      <c r="B28" s="42" t="s">
        <v>72</v>
      </c>
      <c r="C28" s="34">
        <f>'1_Triangulo'!G24</f>
        <v>31915838</v>
      </c>
      <c r="D28" s="19">
        <f>'1_Triangulo'!AC24</f>
        <v>96874956</v>
      </c>
      <c r="E28" s="29">
        <f>'2_Factores'!G34</f>
        <v>0.48562257776317541</v>
      </c>
      <c r="F28" s="30">
        <f t="shared" si="3"/>
        <v>0.51437742223682459</v>
      </c>
      <c r="G28" s="43">
        <f t="shared" si="0"/>
        <v>65874970.080000006</v>
      </c>
      <c r="H28" s="18">
        <f t="shared" si="1"/>
        <v>33884597.299678348</v>
      </c>
      <c r="I28" s="26">
        <f t="shared" si="2"/>
        <v>65800435.299678348</v>
      </c>
      <c r="J28" s="44">
        <f>'3_ChainLadder'!AB24</f>
        <v>65721487.141325779</v>
      </c>
      <c r="K28" s="45">
        <f>H28-'3_ChainLadder'!AD24</f>
        <v>78948.158352568746</v>
      </c>
    </row>
    <row r="29" spans="1:11" ht="15" customHeight="1" x14ac:dyDescent="0.3">
      <c r="A29" s="46" t="s">
        <v>73</v>
      </c>
      <c r="B29" s="21" t="s">
        <v>74</v>
      </c>
      <c r="C29" s="34">
        <f>'1_Triangulo'!F25</f>
        <v>26324052</v>
      </c>
      <c r="D29" s="19">
        <f>'1_Triangulo'!AC25</f>
        <v>99436938</v>
      </c>
      <c r="E29" s="29">
        <f>'2_Factores'!F34</f>
        <v>0.40000784830324482</v>
      </c>
      <c r="F29" s="30">
        <f t="shared" si="3"/>
        <v>0.59999215169675524</v>
      </c>
      <c r="G29" s="43">
        <f t="shared" si="0"/>
        <v>67617117.840000004</v>
      </c>
      <c r="H29" s="18">
        <f t="shared" si="1"/>
        <v>40569740.024354659</v>
      </c>
      <c r="I29" s="26">
        <f t="shared" si="2"/>
        <v>66893792.024354659</v>
      </c>
      <c r="J29" s="44">
        <f>'3_ChainLadder'!AB25</f>
        <v>65808838.780692682</v>
      </c>
      <c r="K29" s="45">
        <f>H29-'3_ChainLadder'!AD25</f>
        <v>1084953.2436619774</v>
      </c>
    </row>
    <row r="30" spans="1:11" ht="15" customHeight="1" x14ac:dyDescent="0.3">
      <c r="A30" s="41" t="s">
        <v>75</v>
      </c>
      <c r="B30" s="42" t="s">
        <v>76</v>
      </c>
      <c r="C30" s="34">
        <f>'1_Triangulo'!E26</f>
        <v>22079496</v>
      </c>
      <c r="D30" s="19">
        <f>'1_Triangulo'!AC26</f>
        <v>100036702</v>
      </c>
      <c r="E30" s="29">
        <f>'2_Factores'!E34</f>
        <v>0.33019452459941512</v>
      </c>
      <c r="F30" s="30">
        <f t="shared" si="3"/>
        <v>0.66980547540058488</v>
      </c>
      <c r="G30" s="43">
        <f t="shared" si="0"/>
        <v>68024957.359999999</v>
      </c>
      <c r="H30" s="18">
        <f t="shared" si="1"/>
        <v>45563488.903619312</v>
      </c>
      <c r="I30" s="26">
        <f t="shared" si="2"/>
        <v>67642984.903619319</v>
      </c>
      <c r="J30" s="44">
        <f>'3_ChainLadder'!AB26</f>
        <v>66868146.971202433</v>
      </c>
      <c r="K30" s="45">
        <f>H30-'3_ChainLadder'!AD26</f>
        <v>774837.93241687864</v>
      </c>
    </row>
    <row r="31" spans="1:11" ht="15" customHeight="1" x14ac:dyDescent="0.3">
      <c r="A31" s="46" t="s">
        <v>77</v>
      </c>
      <c r="B31" s="21" t="s">
        <v>78</v>
      </c>
      <c r="C31" s="34">
        <f>'1_Triangulo'!D27</f>
        <v>17132382</v>
      </c>
      <c r="D31" s="19">
        <f>'1_Triangulo'!AC27</f>
        <v>100703868</v>
      </c>
      <c r="E31" s="29">
        <f>'2_Factores'!D34</f>
        <v>0.25241482147665018</v>
      </c>
      <c r="F31" s="30">
        <f t="shared" si="3"/>
        <v>0.74758517852334982</v>
      </c>
      <c r="G31" s="43">
        <f t="shared" si="0"/>
        <v>68478630.24000001</v>
      </c>
      <c r="H31" s="18">
        <f t="shared" si="1"/>
        <v>51193609.013004869</v>
      </c>
      <c r="I31" s="26">
        <f t="shared" si="2"/>
        <v>68325991.013004869</v>
      </c>
      <c r="J31" s="44">
        <f>'3_ChainLadder'!AB27</f>
        <v>67873914.454682097</v>
      </c>
      <c r="K31" s="45">
        <f>H31-'3_ChainLadder'!AD27</f>
        <v>452076.55832277238</v>
      </c>
    </row>
    <row r="32" spans="1:11" ht="15" customHeight="1" x14ac:dyDescent="0.3">
      <c r="A32" s="41" t="s">
        <v>79</v>
      </c>
      <c r="B32" s="42" t="s">
        <v>80</v>
      </c>
      <c r="C32" s="34">
        <f>'1_Triangulo'!C28</f>
        <v>10443357</v>
      </c>
      <c r="D32" s="19">
        <f>'1_Triangulo'!AC28</f>
        <v>102738652</v>
      </c>
      <c r="E32" s="29">
        <f>'2_Factores'!C34</f>
        <v>0.16065968265985522</v>
      </c>
      <c r="F32" s="30">
        <f t="shared" si="3"/>
        <v>0.8393403173401448</v>
      </c>
      <c r="G32" s="43">
        <f t="shared" si="0"/>
        <v>69862283.359999999</v>
      </c>
      <c r="H32" s="18">
        <f t="shared" si="1"/>
        <v>58638231.085489519</v>
      </c>
      <c r="I32" s="26">
        <f t="shared" si="2"/>
        <v>69081588.085489511</v>
      </c>
      <c r="J32" s="44">
        <f>'3_ChainLadder'!AB28</f>
        <v>65002972.912067972</v>
      </c>
      <c r="K32" s="45">
        <f>H32-'3_ChainLadder'!AD28</f>
        <v>4078615.1734215468</v>
      </c>
    </row>
    <row r="33" spans="1:11" ht="19.5" customHeight="1" x14ac:dyDescent="0.3">
      <c r="A33" s="5" t="s">
        <v>81</v>
      </c>
      <c r="B33" s="5"/>
      <c r="C33" s="5"/>
      <c r="D33" s="5"/>
      <c r="E33" s="5"/>
      <c r="F33" s="5"/>
      <c r="G33" s="5"/>
      <c r="H33" s="47">
        <f>SUM(H8:H32)</f>
        <v>375700655.49782729</v>
      </c>
      <c r="I33" s="47">
        <f>SUM(I8:I32)</f>
        <v>1473958792.7478275</v>
      </c>
      <c r="J33" s="48">
        <f>SUM(J8:J32)</f>
        <v>1466375010.1698208</v>
      </c>
      <c r="K33" s="49">
        <f>SUM(K8:K32)</f>
        <v>7583782.5780061707</v>
      </c>
    </row>
  </sheetData>
  <mergeCells count="3">
    <mergeCell ref="A1:K1"/>
    <mergeCell ref="A2:K2"/>
    <mergeCell ref="A33:G3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3"/>
  <sheetViews>
    <sheetView showGridLines="0" topLeftCell="A16" zoomScaleNormal="100" workbookViewId="0">
      <selection activeCell="I33" sqref="I33"/>
    </sheetView>
  </sheetViews>
  <sheetFormatPr baseColWidth="10" defaultColWidth="8.6640625" defaultRowHeight="14.4" x14ac:dyDescent="0.3"/>
  <cols>
    <col min="1" max="12" width="16" customWidth="1"/>
  </cols>
  <sheetData>
    <row r="1" spans="1:11" ht="25.5" customHeight="1" x14ac:dyDescent="0.3">
      <c r="A1" s="11" t="s">
        <v>133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5.75" customHeight="1" x14ac:dyDescent="0.3">
      <c r="A2" s="3" t="s">
        <v>134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ht="15" customHeight="1" x14ac:dyDescent="0.3">
      <c r="A4" s="50" t="s">
        <v>135</v>
      </c>
      <c r="B4" s="51">
        <f>SUM(C8:C32)/SUM(G8:G32)</f>
        <v>0.67805751881060272</v>
      </c>
      <c r="C4" s="52" t="s">
        <v>136</v>
      </c>
    </row>
    <row r="7" spans="1:11" ht="43.5" customHeight="1" x14ac:dyDescent="0.3">
      <c r="A7" s="53" t="s">
        <v>2</v>
      </c>
      <c r="B7" s="53" t="s">
        <v>3</v>
      </c>
      <c r="C7" s="53" t="s">
        <v>137</v>
      </c>
      <c r="D7" s="53" t="s">
        <v>125</v>
      </c>
      <c r="E7" s="53" t="s">
        <v>138</v>
      </c>
      <c r="F7" s="53" t="s">
        <v>139</v>
      </c>
      <c r="G7" s="53" t="s">
        <v>140</v>
      </c>
      <c r="H7" s="53" t="s">
        <v>141</v>
      </c>
      <c r="I7" s="53" t="s">
        <v>142</v>
      </c>
      <c r="J7" s="53" t="s">
        <v>143</v>
      </c>
      <c r="K7" s="53" t="s">
        <v>144</v>
      </c>
    </row>
    <row r="8" spans="1:11" ht="15" customHeight="1" x14ac:dyDescent="0.3">
      <c r="A8" s="54" t="s">
        <v>31</v>
      </c>
      <c r="B8" s="55" t="s">
        <v>32</v>
      </c>
      <c r="C8" s="34">
        <f>'1_Triangulo'!AA4</f>
        <v>49970260</v>
      </c>
      <c r="D8" s="56">
        <f>'1_Triangulo'!AC4</f>
        <v>74396187</v>
      </c>
      <c r="E8" s="29">
        <f>'4_BF'!E8</f>
        <v>1</v>
      </c>
      <c r="F8" s="30">
        <f t="shared" ref="F8:F32" si="0">1-E8</f>
        <v>0</v>
      </c>
      <c r="G8" s="56">
        <f t="shared" ref="G8:G32" si="1">D8*E8</f>
        <v>74396187</v>
      </c>
      <c r="H8" s="18">
        <f t="shared" ref="H8:H32" si="2">D8*F8*$B$4</f>
        <v>0</v>
      </c>
      <c r="I8" s="26">
        <f t="shared" ref="I8:I32" si="3">C8+H8</f>
        <v>49970260</v>
      </c>
      <c r="J8" s="44">
        <f>'3_ChainLadder'!AB4</f>
        <v>49970260</v>
      </c>
      <c r="K8" s="45">
        <f>H8-'3_ChainLadder'!AD4</f>
        <v>0</v>
      </c>
    </row>
    <row r="9" spans="1:11" ht="15" customHeight="1" x14ac:dyDescent="0.3">
      <c r="A9" s="57" t="s">
        <v>33</v>
      </c>
      <c r="B9" s="21" t="s">
        <v>34</v>
      </c>
      <c r="C9" s="34">
        <f>'1_Triangulo'!Z5</f>
        <v>50579274</v>
      </c>
      <c r="D9" s="56">
        <f>'1_Triangulo'!AC5</f>
        <v>73564016</v>
      </c>
      <c r="E9" s="29">
        <f>'4_BF'!E9</f>
        <v>0.9964893318545871</v>
      </c>
      <c r="F9" s="30">
        <f t="shared" si="0"/>
        <v>3.5106681454128985E-3</v>
      </c>
      <c r="G9" s="56">
        <f t="shared" si="1"/>
        <v>73305757.152380154</v>
      </c>
      <c r="H9" s="18">
        <f t="shared" si="2"/>
        <v>175114.3534279975</v>
      </c>
      <c r="I9" s="26">
        <f t="shared" si="3"/>
        <v>50754388.353427999</v>
      </c>
      <c r="J9" s="44">
        <f>'3_ChainLadder'!AB5</f>
        <v>50757466.621208936</v>
      </c>
      <c r="K9" s="45">
        <f>H9-'3_ChainLadder'!AD5</f>
        <v>-3078.2677809384768</v>
      </c>
    </row>
    <row r="10" spans="1:11" ht="15" customHeight="1" x14ac:dyDescent="0.3">
      <c r="A10" s="54" t="s">
        <v>35</v>
      </c>
      <c r="B10" s="55" t="s">
        <v>36</v>
      </c>
      <c r="C10" s="34">
        <f>'1_Triangulo'!Y6</f>
        <v>51107802</v>
      </c>
      <c r="D10" s="56">
        <f>'1_Triangulo'!AC6</f>
        <v>74286643</v>
      </c>
      <c r="E10" s="29">
        <f>'4_BF'!E10</f>
        <v>0.99319676275643598</v>
      </c>
      <c r="F10" s="30">
        <f t="shared" si="0"/>
        <v>6.8032372435640198E-3</v>
      </c>
      <c r="G10" s="56">
        <f t="shared" si="1"/>
        <v>73781253.343643054</v>
      </c>
      <c r="H10" s="18">
        <f t="shared" si="2"/>
        <v>342683.25642193289</v>
      </c>
      <c r="I10" s="26">
        <f t="shared" si="3"/>
        <v>51450485.256421931</v>
      </c>
      <c r="J10" s="44">
        <f>'3_ChainLadder'!AB6</f>
        <v>51457882.180525482</v>
      </c>
      <c r="K10" s="45">
        <f>H10-'3_ChainLadder'!AD6</f>
        <v>-7396.9241035488085</v>
      </c>
    </row>
    <row r="11" spans="1:11" ht="15" customHeight="1" x14ac:dyDescent="0.3">
      <c r="A11" s="57" t="s">
        <v>37</v>
      </c>
      <c r="B11" s="21" t="s">
        <v>38</v>
      </c>
      <c r="C11" s="34">
        <f>'1_Triangulo'!X7</f>
        <v>51395178</v>
      </c>
      <c r="D11" s="56">
        <f>'1_Triangulo'!AC7</f>
        <v>76777775</v>
      </c>
      <c r="E11" s="29">
        <f>'4_BF'!E11</f>
        <v>0.98681343907919139</v>
      </c>
      <c r="F11" s="30">
        <f t="shared" si="0"/>
        <v>1.318656092080861E-2</v>
      </c>
      <c r="G11" s="56">
        <f t="shared" si="1"/>
        <v>75765340.192598358</v>
      </c>
      <c r="H11" s="18">
        <f t="shared" si="2"/>
        <v>686489.03346424387</v>
      </c>
      <c r="I11" s="26">
        <f t="shared" si="3"/>
        <v>52081667.033464245</v>
      </c>
      <c r="J11" s="44">
        <f>'3_ChainLadder'!AB7</f>
        <v>52081959.937592171</v>
      </c>
      <c r="K11" s="45">
        <f>H11-'3_ChainLadder'!AD7</f>
        <v>-292.9041279272642</v>
      </c>
    </row>
    <row r="12" spans="1:11" ht="15" customHeight="1" x14ac:dyDescent="0.3">
      <c r="A12" s="54" t="s">
        <v>39</v>
      </c>
      <c r="B12" s="55" t="s">
        <v>40</v>
      </c>
      <c r="C12" s="34">
        <f>'1_Triangulo'!W8</f>
        <v>52457834</v>
      </c>
      <c r="D12" s="56">
        <f>'1_Triangulo'!AC8</f>
        <v>78595028</v>
      </c>
      <c r="E12" s="29">
        <f>'4_BF'!E12</f>
        <v>0.98197899567687041</v>
      </c>
      <c r="F12" s="30">
        <f t="shared" si="0"/>
        <v>1.8021004323129586E-2</v>
      </c>
      <c r="G12" s="56">
        <f t="shared" si="1"/>
        <v>77178666.660635516</v>
      </c>
      <c r="H12" s="18">
        <f t="shared" si="2"/>
        <v>960374.45550874877</v>
      </c>
      <c r="I12" s="26">
        <f t="shared" si="3"/>
        <v>53418208.455508746</v>
      </c>
      <c r="J12" s="44">
        <f>'3_ChainLadder'!AB8</f>
        <v>53420525.521364354</v>
      </c>
      <c r="K12" s="45">
        <f>H12-'3_ChainLadder'!AD8</f>
        <v>-2317.0658556048293</v>
      </c>
    </row>
    <row r="13" spans="1:11" ht="15" customHeight="1" x14ac:dyDescent="0.3">
      <c r="A13" s="57" t="s">
        <v>41</v>
      </c>
      <c r="B13" s="21" t="s">
        <v>42</v>
      </c>
      <c r="C13" s="34">
        <f>'1_Triangulo'!V9</f>
        <v>52189573</v>
      </c>
      <c r="D13" s="56">
        <f>'1_Triangulo'!AC9</f>
        <v>78256129</v>
      </c>
      <c r="E13" s="29">
        <f>'4_BF'!E13</f>
        <v>0.97551338070625992</v>
      </c>
      <c r="F13" s="30">
        <f t="shared" si="0"/>
        <v>2.4486619293740075E-2</v>
      </c>
      <c r="G13" s="56">
        <f t="shared" si="1"/>
        <v>76339900.961775184</v>
      </c>
      <c r="H13" s="18">
        <f t="shared" si="2"/>
        <v>1299312.8290740249</v>
      </c>
      <c r="I13" s="26">
        <f t="shared" si="3"/>
        <v>53488885.829074025</v>
      </c>
      <c r="J13" s="44">
        <f>'3_ChainLadder'!AB9</f>
        <v>53499597.270736948</v>
      </c>
      <c r="K13" s="45">
        <f>H13-'3_ChainLadder'!AD9</f>
        <v>-10711.441662922734</v>
      </c>
    </row>
    <row r="14" spans="1:11" ht="15" customHeight="1" x14ac:dyDescent="0.3">
      <c r="A14" s="54" t="s">
        <v>43</v>
      </c>
      <c r="B14" s="55" t="s">
        <v>44</v>
      </c>
      <c r="C14" s="34">
        <f>'1_Triangulo'!U10</f>
        <v>52496431</v>
      </c>
      <c r="D14" s="56">
        <f>'1_Triangulo'!AC10</f>
        <v>81976635</v>
      </c>
      <c r="E14" s="29">
        <f>'4_BF'!E14</f>
        <v>0.96571168519256734</v>
      </c>
      <c r="F14" s="30">
        <f t="shared" si="0"/>
        <v>3.4288314807432663E-2</v>
      </c>
      <c r="G14" s="56">
        <f t="shared" si="1"/>
        <v>79165794.332266003</v>
      </c>
      <c r="H14" s="18">
        <f t="shared" si="2"/>
        <v>1905911.6489356556</v>
      </c>
      <c r="I14" s="26">
        <f t="shared" si="3"/>
        <v>54402342.648935653</v>
      </c>
      <c r="J14" s="44">
        <f>'3_ChainLadder'!AB10</f>
        <v>54360355.999556921</v>
      </c>
      <c r="K14" s="45">
        <f>H14-'3_ChainLadder'!AD10</f>
        <v>41986.649378734175</v>
      </c>
    </row>
    <row r="15" spans="1:11" ht="15" customHeight="1" x14ac:dyDescent="0.3">
      <c r="A15" s="57" t="s">
        <v>45</v>
      </c>
      <c r="B15" s="21" t="s">
        <v>46</v>
      </c>
      <c r="C15" s="34">
        <f>'1_Triangulo'!T11</f>
        <v>52493077</v>
      </c>
      <c r="D15" s="56">
        <f>'1_Triangulo'!AC11</f>
        <v>81647448</v>
      </c>
      <c r="E15" s="29">
        <f>'4_BF'!E15</f>
        <v>0.95506850975700375</v>
      </c>
      <c r="F15" s="30">
        <f t="shared" si="0"/>
        <v>4.4931490242996253E-2</v>
      </c>
      <c r="G15" s="56">
        <f t="shared" si="1"/>
        <v>77978906.486822456</v>
      </c>
      <c r="H15" s="18">
        <f t="shared" si="2"/>
        <v>2487482.1560788592</v>
      </c>
      <c r="I15" s="26">
        <f t="shared" si="3"/>
        <v>54980559.15607886</v>
      </c>
      <c r="J15" s="44">
        <f>'3_ChainLadder'!AB11</f>
        <v>54962629.867626682</v>
      </c>
      <c r="K15" s="45">
        <f>H15-'3_ChainLadder'!AD11</f>
        <v>17929.288452177308</v>
      </c>
    </row>
    <row r="16" spans="1:11" ht="15" customHeight="1" x14ac:dyDescent="0.3">
      <c r="A16" s="54" t="s">
        <v>47</v>
      </c>
      <c r="B16" s="55" t="s">
        <v>48</v>
      </c>
      <c r="C16" s="34">
        <f>'1_Triangulo'!S12</f>
        <v>52617714</v>
      </c>
      <c r="D16" s="56">
        <f>'1_Triangulo'!AC12</f>
        <v>81746441</v>
      </c>
      <c r="E16" s="29">
        <f>'4_BF'!E16</f>
        <v>0.94481770702669898</v>
      </c>
      <c r="F16" s="30">
        <f t="shared" si="0"/>
        <v>5.5182292973301017E-2</v>
      </c>
      <c r="G16" s="56">
        <f t="shared" si="1"/>
        <v>77235484.943213329</v>
      </c>
      <c r="H16" s="18">
        <f t="shared" si="2"/>
        <v>3058687.6713284273</v>
      </c>
      <c r="I16" s="26">
        <f t="shared" si="3"/>
        <v>55676401.671328425</v>
      </c>
      <c r="J16" s="44">
        <f>'3_ChainLadder'!AB12</f>
        <v>55690863.548255995</v>
      </c>
      <c r="K16" s="45">
        <f>H16-'3_ChainLadder'!AD12</f>
        <v>-14461.876927567646</v>
      </c>
    </row>
    <row r="17" spans="1:11" ht="15" customHeight="1" x14ac:dyDescent="0.3">
      <c r="A17" s="57" t="s">
        <v>49</v>
      </c>
      <c r="B17" s="21" t="s">
        <v>50</v>
      </c>
      <c r="C17" s="34">
        <f>'1_Triangulo'!R13</f>
        <v>52625937</v>
      </c>
      <c r="D17" s="56">
        <f>'1_Triangulo'!AC13</f>
        <v>82405997</v>
      </c>
      <c r="E17" s="29">
        <f>'4_BF'!E17</f>
        <v>0.93578246956937194</v>
      </c>
      <c r="F17" s="30">
        <f t="shared" si="0"/>
        <v>6.4217530430628056E-2</v>
      </c>
      <c r="G17" s="56">
        <f t="shared" si="1"/>
        <v>77114087.379986256</v>
      </c>
      <c r="H17" s="18">
        <f t="shared" si="2"/>
        <v>3588219.1067164792</v>
      </c>
      <c r="I17" s="26">
        <f t="shared" si="3"/>
        <v>56214156.106716476</v>
      </c>
      <c r="J17" s="44">
        <f>'3_ChainLadder'!AB13</f>
        <v>56237361.471643485</v>
      </c>
      <c r="K17" s="45">
        <f>H17-'3_ChainLadder'!AD13</f>
        <v>-23205.364927005954</v>
      </c>
    </row>
    <row r="18" spans="1:11" ht="15" customHeight="1" x14ac:dyDescent="0.3">
      <c r="A18" s="54" t="s">
        <v>51</v>
      </c>
      <c r="B18" s="55" t="s">
        <v>52</v>
      </c>
      <c r="C18" s="34">
        <f>'1_Triangulo'!Q14</f>
        <v>52557910</v>
      </c>
      <c r="D18" s="56">
        <f>'1_Triangulo'!AC14</f>
        <v>83269600</v>
      </c>
      <c r="E18" s="29">
        <f>'4_BF'!E18</f>
        <v>0.91724738703657305</v>
      </c>
      <c r="F18" s="30">
        <f t="shared" si="0"/>
        <v>8.2752612963426952E-2</v>
      </c>
      <c r="G18" s="56">
        <f t="shared" si="1"/>
        <v>76378823.019580618</v>
      </c>
      <c r="H18" s="18">
        <f t="shared" si="2"/>
        <v>4672343.1420203801</v>
      </c>
      <c r="I18" s="26">
        <f t="shared" si="3"/>
        <v>57230253.142020382</v>
      </c>
      <c r="J18" s="44">
        <f>'3_ChainLadder'!AB14</f>
        <v>57299601.768071741</v>
      </c>
      <c r="K18" s="45">
        <f>H18-'3_ChainLadder'!AD14</f>
        <v>-69348.626051360741</v>
      </c>
    </row>
    <row r="19" spans="1:11" ht="15" customHeight="1" x14ac:dyDescent="0.3">
      <c r="A19" s="57" t="s">
        <v>53</v>
      </c>
      <c r="B19" s="21" t="s">
        <v>54</v>
      </c>
      <c r="C19" s="34">
        <f>'1_Triangulo'!P15</f>
        <v>51927991</v>
      </c>
      <c r="D19" s="56">
        <f>'1_Triangulo'!AC15</f>
        <v>86364093</v>
      </c>
      <c r="E19" s="29">
        <f>'4_BF'!E19</f>
        <v>0.89774897389520913</v>
      </c>
      <c r="F19" s="30">
        <f t="shared" si="0"/>
        <v>0.10225102610479087</v>
      </c>
      <c r="G19" s="56">
        <f t="shared" si="1"/>
        <v>77533275.872140408</v>
      </c>
      <c r="H19" s="18">
        <f t="shared" si="2"/>
        <v>5987801.9507866446</v>
      </c>
      <c r="I19" s="26">
        <f t="shared" si="3"/>
        <v>57915792.950786643</v>
      </c>
      <c r="J19" s="44">
        <f>'3_ChainLadder'!AB15</f>
        <v>57842439.824455164</v>
      </c>
      <c r="K19" s="45">
        <f>H19-'3_ChainLadder'!AD15</f>
        <v>73353.12633148022</v>
      </c>
    </row>
    <row r="20" spans="1:11" ht="15" customHeight="1" x14ac:dyDescent="0.3">
      <c r="A20" s="54" t="s">
        <v>55</v>
      </c>
      <c r="B20" s="55" t="s">
        <v>56</v>
      </c>
      <c r="C20" s="34">
        <f>'1_Triangulo'!O16</f>
        <v>51522184</v>
      </c>
      <c r="D20" s="56">
        <f>'1_Triangulo'!AC16</f>
        <v>86023052</v>
      </c>
      <c r="E20" s="29">
        <f>'4_BF'!E20</f>
        <v>0.87809707845619944</v>
      </c>
      <c r="F20" s="30">
        <f t="shared" si="0"/>
        <v>0.12190292154380056</v>
      </c>
      <c r="G20" s="56">
        <f t="shared" si="1"/>
        <v>75536590.641085729</v>
      </c>
      <c r="H20" s="18">
        <f t="shared" si="2"/>
        <v>7110423.9701286741</v>
      </c>
      <c r="I20" s="26">
        <f t="shared" si="3"/>
        <v>58632607.97012867</v>
      </c>
      <c r="J20" s="44">
        <f>'3_ChainLadder'!AB16</f>
        <v>58674815.420844153</v>
      </c>
      <c r="K20" s="45">
        <f>H20-'3_ChainLadder'!AD16</f>
        <v>-42207.45071547851</v>
      </c>
    </row>
    <row r="21" spans="1:11" ht="15" customHeight="1" x14ac:dyDescent="0.3">
      <c r="A21" s="57" t="s">
        <v>57</v>
      </c>
      <c r="B21" s="21" t="s">
        <v>58</v>
      </c>
      <c r="C21" s="34">
        <f>'1_Triangulo'!N17</f>
        <v>51401276</v>
      </c>
      <c r="D21" s="56">
        <f>'1_Triangulo'!AC17</f>
        <v>85192925</v>
      </c>
      <c r="E21" s="29">
        <f>'4_BF'!E21</f>
        <v>0.85831693958520827</v>
      </c>
      <c r="F21" s="30">
        <f t="shared" si="0"/>
        <v>0.14168306041479173</v>
      </c>
      <c r="G21" s="56">
        <f t="shared" si="1"/>
        <v>73122530.660312176</v>
      </c>
      <c r="H21" s="18">
        <f t="shared" si="2"/>
        <v>8184421.6370342672</v>
      </c>
      <c r="I21" s="26">
        <f t="shared" si="3"/>
        <v>59585697.637034267</v>
      </c>
      <c r="J21" s="44">
        <f>'3_ChainLadder'!AB17</f>
        <v>59886125.54336895</v>
      </c>
      <c r="K21" s="45">
        <f>H21-'3_ChainLadder'!AD17</f>
        <v>-300427.9063346833</v>
      </c>
    </row>
    <row r="22" spans="1:11" ht="15" customHeight="1" x14ac:dyDescent="0.3">
      <c r="A22" s="54" t="s">
        <v>59</v>
      </c>
      <c r="B22" s="55" t="s">
        <v>60</v>
      </c>
      <c r="C22" s="34">
        <f>'1_Triangulo'!M18</f>
        <v>49785597</v>
      </c>
      <c r="D22" s="56">
        <f>'1_Triangulo'!AC18</f>
        <v>88141373</v>
      </c>
      <c r="E22" s="29">
        <f>'4_BF'!E22</f>
        <v>0.82323160548828922</v>
      </c>
      <c r="F22" s="30">
        <f t="shared" si="0"/>
        <v>0.17676839451171078</v>
      </c>
      <c r="G22" s="56">
        <f t="shared" si="1"/>
        <v>72560764.004732147</v>
      </c>
      <c r="H22" s="18">
        <f t="shared" si="2"/>
        <v>10564549.076889478</v>
      </c>
      <c r="I22" s="26">
        <f t="shared" si="3"/>
        <v>60350146.076889478</v>
      </c>
      <c r="J22" s="44">
        <f>'3_ChainLadder'!AB18</f>
        <v>60475808.591520637</v>
      </c>
      <c r="K22" s="45">
        <f>H22-'3_ChainLadder'!AD18</f>
        <v>-125662.5146311596</v>
      </c>
    </row>
    <row r="23" spans="1:11" ht="15" customHeight="1" x14ac:dyDescent="0.3">
      <c r="A23" s="57" t="s">
        <v>61</v>
      </c>
      <c r="B23" s="21" t="s">
        <v>62</v>
      </c>
      <c r="C23" s="34">
        <f>'1_Triangulo'!L19</f>
        <v>46502204.25</v>
      </c>
      <c r="D23" s="56">
        <f>'1_Triangulo'!AC19</f>
        <v>91162359</v>
      </c>
      <c r="E23" s="29">
        <f>'4_BF'!E23</f>
        <v>0.77699597830846434</v>
      </c>
      <c r="F23" s="30">
        <f t="shared" si="0"/>
        <v>0.22300402169153566</v>
      </c>
      <c r="G23" s="56">
        <f t="shared" si="1"/>
        <v>70832786.316112444</v>
      </c>
      <c r="H23" s="18">
        <f t="shared" si="2"/>
        <v>13784619.612516604</v>
      </c>
      <c r="I23" s="26">
        <f t="shared" si="3"/>
        <v>60286823.862516604</v>
      </c>
      <c r="J23" s="44">
        <f>'3_ChainLadder'!AB19</f>
        <v>59848706.49039425</v>
      </c>
      <c r="K23" s="45">
        <f>H23-'3_ChainLadder'!AD19</f>
        <v>438117.37212235481</v>
      </c>
    </row>
    <row r="24" spans="1:11" ht="15" customHeight="1" x14ac:dyDescent="0.3">
      <c r="A24" s="54" t="s">
        <v>63</v>
      </c>
      <c r="B24" s="55" t="s">
        <v>64</v>
      </c>
      <c r="C24" s="34">
        <f>'1_Triangulo'!K20</f>
        <v>46743977</v>
      </c>
      <c r="D24" s="56">
        <f>'1_Triangulo'!AC20</f>
        <v>89354737</v>
      </c>
      <c r="E24" s="29">
        <f>'4_BF'!E24</f>
        <v>0.7665906057412557</v>
      </c>
      <c r="F24" s="30">
        <f t="shared" si="0"/>
        <v>0.2334093942587443</v>
      </c>
      <c r="G24" s="56">
        <f t="shared" si="1"/>
        <v>68498501.962680593</v>
      </c>
      <c r="H24" s="18">
        <f t="shared" si="2"/>
        <v>14141726.981135555</v>
      </c>
      <c r="I24" s="26">
        <f t="shared" si="3"/>
        <v>60885703.981135555</v>
      </c>
      <c r="J24" s="44">
        <f>'3_ChainLadder'!AB20</f>
        <v>60976454.250702523</v>
      </c>
      <c r="K24" s="45">
        <f>H24-'3_ChainLadder'!AD20</f>
        <v>-90750.269566968083</v>
      </c>
    </row>
    <row r="25" spans="1:11" ht="15" customHeight="1" x14ac:dyDescent="0.3">
      <c r="A25" s="57" t="s">
        <v>65</v>
      </c>
      <c r="B25" s="21" t="s">
        <v>66</v>
      </c>
      <c r="C25" s="34">
        <f>'1_Triangulo'!J21</f>
        <v>45510753</v>
      </c>
      <c r="D25" s="56">
        <f>'1_Triangulo'!AC21</f>
        <v>90519813</v>
      </c>
      <c r="E25" s="29">
        <f>'4_BF'!E25</f>
        <v>0.73109764981537828</v>
      </c>
      <c r="F25" s="30">
        <f t="shared" si="0"/>
        <v>0.26890235018462172</v>
      </c>
      <c r="G25" s="56">
        <f t="shared" si="1"/>
        <v>66178822.546027526</v>
      </c>
      <c r="H25" s="18">
        <f t="shared" si="2"/>
        <v>16504591.592613142</v>
      </c>
      <c r="I25" s="26">
        <f t="shared" si="3"/>
        <v>62015344.592613146</v>
      </c>
      <c r="J25" s="44">
        <f>'3_ChainLadder'!AB21</f>
        <v>62249896.45568233</v>
      </c>
      <c r="K25" s="45">
        <f>H25-'3_ChainLadder'!AD21</f>
        <v>-234551.86306918785</v>
      </c>
    </row>
    <row r="26" spans="1:11" ht="15" customHeight="1" x14ac:dyDescent="0.3">
      <c r="A26" s="54" t="s">
        <v>67</v>
      </c>
      <c r="B26" s="55" t="s">
        <v>68</v>
      </c>
      <c r="C26" s="34">
        <f>'1_Triangulo'!I22</f>
        <v>40828576</v>
      </c>
      <c r="D26" s="56">
        <f>'1_Triangulo'!AC22</f>
        <v>93738616</v>
      </c>
      <c r="E26" s="29">
        <f>'4_BF'!E26</f>
        <v>0.64939420654355107</v>
      </c>
      <c r="F26" s="30">
        <f t="shared" si="0"/>
        <v>0.35060579345644893</v>
      </c>
      <c r="G26" s="56">
        <f t="shared" si="1"/>
        <v>60873314.159810618</v>
      </c>
      <c r="H26" s="18">
        <f t="shared" si="2"/>
        <v>22284565.020720348</v>
      </c>
      <c r="I26" s="26">
        <f t="shared" si="3"/>
        <v>63113141.020720348</v>
      </c>
      <c r="J26" s="44">
        <f>'3_ChainLadder'!AB22</f>
        <v>62871789.721243642</v>
      </c>
      <c r="K26" s="45">
        <f>H26-'3_ChainLadder'!AD22</f>
        <v>241351.29947670549</v>
      </c>
    </row>
    <row r="27" spans="1:11" ht="15" customHeight="1" x14ac:dyDescent="0.3">
      <c r="A27" s="57" t="s">
        <v>69</v>
      </c>
      <c r="B27" s="21" t="s">
        <v>70</v>
      </c>
      <c r="C27" s="34">
        <f>'1_Triangulo'!H23</f>
        <v>35649464</v>
      </c>
      <c r="D27" s="56">
        <f>'1_Triangulo'!AC23</f>
        <v>95003331</v>
      </c>
      <c r="E27" s="29">
        <f>'4_BF'!E27</f>
        <v>0.57007118605466789</v>
      </c>
      <c r="F27" s="30">
        <f t="shared" si="0"/>
        <v>0.42992881394533211</v>
      </c>
      <c r="G27" s="56">
        <f t="shared" si="1"/>
        <v>54158661.582314201</v>
      </c>
      <c r="H27" s="18">
        <f t="shared" si="2"/>
        <v>27695035.201995339</v>
      </c>
      <c r="I27" s="26">
        <f t="shared" si="3"/>
        <v>63344499.201995343</v>
      </c>
      <c r="J27" s="44">
        <f>'3_ChainLadder'!AB23</f>
        <v>62535109.425055809</v>
      </c>
      <c r="K27" s="45">
        <f>H27-'3_ChainLadder'!AD23</f>
        <v>809389.77693952993</v>
      </c>
    </row>
    <row r="28" spans="1:11" ht="15" customHeight="1" x14ac:dyDescent="0.3">
      <c r="A28" s="54" t="s">
        <v>71</v>
      </c>
      <c r="B28" s="55" t="s">
        <v>72</v>
      </c>
      <c r="C28" s="34">
        <f>'1_Triangulo'!G24</f>
        <v>31915838</v>
      </c>
      <c r="D28" s="56">
        <f>'1_Triangulo'!AC24</f>
        <v>96874956</v>
      </c>
      <c r="E28" s="29">
        <f>'4_BF'!E28</f>
        <v>0.48562257776317541</v>
      </c>
      <c r="F28" s="30">
        <f t="shared" si="0"/>
        <v>0.51437742223682459</v>
      </c>
      <c r="G28" s="56">
        <f t="shared" si="1"/>
        <v>47044665.853414193</v>
      </c>
      <c r="H28" s="18">
        <f t="shared" si="2"/>
        <v>33787802.898406394</v>
      </c>
      <c r="I28" s="26">
        <f t="shared" si="3"/>
        <v>65703640.898406394</v>
      </c>
      <c r="J28" s="44">
        <f>'3_ChainLadder'!AB24</f>
        <v>65721487.141325779</v>
      </c>
      <c r="K28" s="45">
        <f>H28-'3_ChainLadder'!AD24</f>
        <v>-17846.242919385433</v>
      </c>
    </row>
    <row r="29" spans="1:11" ht="15" customHeight="1" x14ac:dyDescent="0.3">
      <c r="A29" s="57" t="s">
        <v>73</v>
      </c>
      <c r="B29" s="21" t="s">
        <v>74</v>
      </c>
      <c r="C29" s="34">
        <f>'1_Triangulo'!F25</f>
        <v>26324052</v>
      </c>
      <c r="D29" s="56">
        <f>'1_Triangulo'!AC25</f>
        <v>99436938</v>
      </c>
      <c r="E29" s="29">
        <f>'4_BF'!E29</f>
        <v>0.40000784830324482</v>
      </c>
      <c r="F29" s="30">
        <f t="shared" si="0"/>
        <v>0.59999215169675524</v>
      </c>
      <c r="G29" s="56">
        <f t="shared" si="1"/>
        <v>39775555.611243159</v>
      </c>
      <c r="H29" s="18">
        <f t="shared" si="2"/>
        <v>40453848.911331058</v>
      </c>
      <c r="I29" s="26">
        <f t="shared" si="3"/>
        <v>66777900.911331058</v>
      </c>
      <c r="J29" s="44">
        <f>'3_ChainLadder'!AB25</f>
        <v>65808838.780692682</v>
      </c>
      <c r="K29" s="45">
        <f>H29-'3_ChainLadder'!AD25</f>
        <v>969062.13063837588</v>
      </c>
    </row>
    <row r="30" spans="1:11" ht="15" customHeight="1" x14ac:dyDescent="0.3">
      <c r="A30" s="54" t="s">
        <v>75</v>
      </c>
      <c r="B30" s="55" t="s">
        <v>76</v>
      </c>
      <c r="C30" s="34">
        <f>'1_Triangulo'!E26</f>
        <v>22079496</v>
      </c>
      <c r="D30" s="56">
        <f>'1_Triangulo'!AC26</f>
        <v>100036702</v>
      </c>
      <c r="E30" s="29">
        <f>'4_BF'!E30</f>
        <v>0.33019452459941512</v>
      </c>
      <c r="F30" s="30">
        <f t="shared" si="0"/>
        <v>0.66980547540058488</v>
      </c>
      <c r="G30" s="56">
        <f t="shared" si="1"/>
        <v>33031571.259383358</v>
      </c>
      <c r="H30" s="18">
        <f t="shared" si="2"/>
        <v>45433332.69756256</v>
      </c>
      <c r="I30" s="26">
        <f t="shared" si="3"/>
        <v>67512828.69756256</v>
      </c>
      <c r="J30" s="44">
        <f>'3_ChainLadder'!AB26</f>
        <v>66868146.971202433</v>
      </c>
      <c r="K30" s="45">
        <f>H30-'3_ChainLadder'!AD26</f>
        <v>644681.72636012733</v>
      </c>
    </row>
    <row r="31" spans="1:11" ht="15" customHeight="1" x14ac:dyDescent="0.3">
      <c r="A31" s="57" t="s">
        <v>77</v>
      </c>
      <c r="B31" s="21" t="s">
        <v>78</v>
      </c>
      <c r="C31" s="34">
        <f>'1_Triangulo'!D27</f>
        <v>17132382</v>
      </c>
      <c r="D31" s="56">
        <f>'1_Triangulo'!AC27</f>
        <v>100703868</v>
      </c>
      <c r="E31" s="29">
        <f>'4_BF'!E31</f>
        <v>0.25241482147665018</v>
      </c>
      <c r="F31" s="30">
        <f t="shared" si="0"/>
        <v>0.74758517852334982</v>
      </c>
      <c r="G31" s="56">
        <f t="shared" si="1"/>
        <v>25419148.863228146</v>
      </c>
      <c r="H31" s="18">
        <f t="shared" si="2"/>
        <v>51047369.862232625</v>
      </c>
      <c r="I31" s="26">
        <f t="shared" si="3"/>
        <v>68179751.862232625</v>
      </c>
      <c r="J31" s="44">
        <f>'3_ChainLadder'!AB27</f>
        <v>67873914.454682097</v>
      </c>
      <c r="K31" s="45">
        <f>H31-'3_ChainLadder'!AD27</f>
        <v>305837.40755052865</v>
      </c>
    </row>
    <row r="32" spans="1:11" ht="15" customHeight="1" x14ac:dyDescent="0.3">
      <c r="A32" s="54" t="s">
        <v>79</v>
      </c>
      <c r="B32" s="55" t="s">
        <v>80</v>
      </c>
      <c r="C32" s="34">
        <f>'1_Triangulo'!C28</f>
        <v>10443357</v>
      </c>
      <c r="D32" s="56">
        <f>'1_Triangulo'!AC28</f>
        <v>102738652</v>
      </c>
      <c r="E32" s="29">
        <f>'4_BF'!E32</f>
        <v>0.16065968265985522</v>
      </c>
      <c r="F32" s="30">
        <f t="shared" si="0"/>
        <v>0.8393403173401448</v>
      </c>
      <c r="G32" s="56">
        <f t="shared" si="1"/>
        <v>16505959.227221301</v>
      </c>
      <c r="H32" s="18">
        <f t="shared" si="2"/>
        <v>58470725.70186732</v>
      </c>
      <c r="I32" s="26">
        <f t="shared" si="3"/>
        <v>68914082.701867312</v>
      </c>
      <c r="J32" s="44">
        <f>'3_ChainLadder'!AB28</f>
        <v>65002972.912067972</v>
      </c>
      <c r="K32" s="45">
        <f>H32-'3_ChainLadder'!AD28</f>
        <v>3911109.7897993475</v>
      </c>
    </row>
    <row r="33" spans="1:11" ht="19.5" customHeight="1" x14ac:dyDescent="0.3">
      <c r="A33" s="5" t="s">
        <v>81</v>
      </c>
      <c r="B33" s="5"/>
      <c r="C33" s="5"/>
      <c r="D33" s="5"/>
      <c r="E33" s="5"/>
      <c r="F33" s="5"/>
      <c r="G33" s="58">
        <f>SUM(G8:G32)</f>
        <v>1619712350.0326071</v>
      </c>
      <c r="H33" s="47">
        <f>SUM(H8:H32)</f>
        <v>374627432.76819676</v>
      </c>
      <c r="I33" s="47">
        <f>SUM(I8:I32)</f>
        <v>1472885570.0181971</v>
      </c>
      <c r="J33" s="48">
        <f>SUM(J8:J32)</f>
        <v>1466375010.1698208</v>
      </c>
      <c r="K33" s="49">
        <f>SUM(K8:K32)</f>
        <v>6510559.8483756222</v>
      </c>
    </row>
  </sheetData>
  <mergeCells count="3">
    <mergeCell ref="A1:K1"/>
    <mergeCell ref="A2:K2"/>
    <mergeCell ref="A33:F3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3"/>
  <sheetViews>
    <sheetView showGridLines="0" tabSelected="1" topLeftCell="A11" zoomScaleNormal="100" workbookViewId="0">
      <selection activeCell="F32" sqref="F32:G32"/>
    </sheetView>
  </sheetViews>
  <sheetFormatPr baseColWidth="10" defaultColWidth="8.6640625" defaultRowHeight="14.4" x14ac:dyDescent="0.3"/>
  <cols>
    <col min="1" max="11" width="15" customWidth="1"/>
  </cols>
  <sheetData>
    <row r="1" spans="1:11" ht="27.75" customHeight="1" x14ac:dyDescent="0.3">
      <c r="A1" s="2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ht="21.75" customHeight="1" x14ac:dyDescent="0.3">
      <c r="A3" s="37" t="s">
        <v>146</v>
      </c>
      <c r="B3" s="59">
        <f>'4_BF'!B4</f>
        <v>0.68</v>
      </c>
      <c r="C3" s="60" t="s">
        <v>147</v>
      </c>
      <c r="D3" s="61">
        <f>'5_CapeCod'!B4</f>
        <v>0.67805751881060272</v>
      </c>
      <c r="E3" s="62" t="s">
        <v>148</v>
      </c>
      <c r="F3" s="63">
        <f>D3-B3</f>
        <v>-1.9424811893973271E-3</v>
      </c>
    </row>
    <row r="7" spans="1:11" ht="36" customHeight="1" x14ac:dyDescent="0.3">
      <c r="A7" s="14" t="s">
        <v>2</v>
      </c>
      <c r="B7" s="14" t="s">
        <v>149</v>
      </c>
      <c r="C7" s="14" t="s">
        <v>150</v>
      </c>
      <c r="D7" s="64" t="s">
        <v>151</v>
      </c>
      <c r="E7" s="53" t="s">
        <v>152</v>
      </c>
      <c r="F7" s="65" t="s">
        <v>153</v>
      </c>
      <c r="G7" s="65" t="s">
        <v>154</v>
      </c>
      <c r="H7" s="65" t="s">
        <v>155</v>
      </c>
      <c r="I7" s="65" t="s">
        <v>156</v>
      </c>
    </row>
    <row r="8" spans="1:11" ht="15" customHeight="1" x14ac:dyDescent="0.3">
      <c r="A8" s="15" t="s">
        <v>31</v>
      </c>
      <c r="B8" s="16" t="s">
        <v>32</v>
      </c>
      <c r="C8" s="34">
        <f>'3_ChainLadder'!AD4</f>
        <v>0</v>
      </c>
      <c r="D8" s="43">
        <f>'4_BF'!H8</f>
        <v>0</v>
      </c>
      <c r="E8" s="56">
        <f>'5_CapeCod'!H8</f>
        <v>0</v>
      </c>
      <c r="F8" s="45">
        <f t="shared" ref="F8:F32" si="0">D8-C8</f>
        <v>0</v>
      </c>
      <c r="G8" s="45">
        <f t="shared" ref="G8:G32" si="1">E8-C8</f>
        <v>0</v>
      </c>
      <c r="H8" s="66" t="str">
        <f t="shared" ref="H8:H32" si="2">IFERROR(F8/C8,"—")</f>
        <v>—</v>
      </c>
      <c r="I8" s="66" t="str">
        <f t="shared" ref="I8:I32" si="3">IFERROR(G8/C8,"—")</f>
        <v>—</v>
      </c>
    </row>
    <row r="9" spans="1:11" ht="15" customHeight="1" x14ac:dyDescent="0.3">
      <c r="A9" s="20" t="s">
        <v>33</v>
      </c>
      <c r="B9" s="21" t="s">
        <v>34</v>
      </c>
      <c r="C9" s="34">
        <f>'3_ChainLadder'!AD5</f>
        <v>178192.62120893598</v>
      </c>
      <c r="D9" s="43">
        <f>'4_BF'!H9</f>
        <v>175616.01638149447</v>
      </c>
      <c r="E9" s="56">
        <f>'5_CapeCod'!H9</f>
        <v>175114.3534279975</v>
      </c>
      <c r="F9" s="45">
        <f t="shared" si="0"/>
        <v>-2576.604827441508</v>
      </c>
      <c r="G9" s="45">
        <f t="shared" si="1"/>
        <v>-3078.2677809384768</v>
      </c>
      <c r="H9" s="66">
        <f t="shared" si="2"/>
        <v>-1.4459660618720933E-2</v>
      </c>
      <c r="I9" s="66">
        <f t="shared" si="3"/>
        <v>-1.7274945281427333E-2</v>
      </c>
    </row>
    <row r="10" spans="1:11" ht="15" customHeight="1" x14ac:dyDescent="0.3">
      <c r="A10" s="15" t="s">
        <v>35</v>
      </c>
      <c r="B10" s="16" t="s">
        <v>36</v>
      </c>
      <c r="C10" s="34">
        <f>'3_ChainLadder'!AD6</f>
        <v>350080.1805254817</v>
      </c>
      <c r="D10" s="43">
        <f>'4_BF'!H10</f>
        <v>343664.9663227222</v>
      </c>
      <c r="E10" s="56">
        <f>'5_CapeCod'!H10</f>
        <v>342683.25642193289</v>
      </c>
      <c r="F10" s="45">
        <f t="shared" si="0"/>
        <v>-6415.2142027594964</v>
      </c>
      <c r="G10" s="45">
        <f t="shared" si="1"/>
        <v>-7396.9241035488085</v>
      </c>
      <c r="H10" s="66">
        <f t="shared" si="2"/>
        <v>-1.8324985416569576E-2</v>
      </c>
      <c r="I10" s="66">
        <f t="shared" si="3"/>
        <v>-2.1129228431171928E-2</v>
      </c>
    </row>
    <row r="11" spans="1:11" ht="15" customHeight="1" x14ac:dyDescent="0.3">
      <c r="A11" s="20" t="s">
        <v>37</v>
      </c>
      <c r="B11" s="21" t="s">
        <v>38</v>
      </c>
      <c r="C11" s="34">
        <f>'3_ChainLadder'!AD7</f>
        <v>686781.93759217113</v>
      </c>
      <c r="D11" s="43">
        <f>'4_BF'!H11</f>
        <v>688455.6690331127</v>
      </c>
      <c r="E11" s="56">
        <f>'5_CapeCod'!H11</f>
        <v>686489.03346424387</v>
      </c>
      <c r="F11" s="45">
        <f t="shared" si="0"/>
        <v>1673.7314409415703</v>
      </c>
      <c r="G11" s="45">
        <f>E11-C11</f>
        <v>-292.9041279272642</v>
      </c>
      <c r="H11" s="66">
        <f t="shared" si="2"/>
        <v>2.4370638616525108E-3</v>
      </c>
      <c r="I11" s="66">
        <f t="shared" si="3"/>
        <v>-4.2648781497395499E-4</v>
      </c>
    </row>
    <row r="12" spans="1:11" ht="15" customHeight="1" x14ac:dyDescent="0.3">
      <c r="A12" s="15" t="s">
        <v>39</v>
      </c>
      <c r="B12" s="16" t="s">
        <v>40</v>
      </c>
      <c r="C12" s="34">
        <f>'3_ChainLadder'!AD8</f>
        <v>962691.5213643536</v>
      </c>
      <c r="D12" s="43">
        <f>'4_BF'!H12</f>
        <v>963125.71076785389</v>
      </c>
      <c r="E12" s="56">
        <f>'5_CapeCod'!H12</f>
        <v>960374.45550874877</v>
      </c>
      <c r="F12" s="45">
        <f t="shared" si="0"/>
        <v>434.18940350029152</v>
      </c>
      <c r="G12" s="45">
        <f t="shared" si="1"/>
        <v>-2317.0658556048293</v>
      </c>
      <c r="H12" s="66">
        <f t="shared" si="2"/>
        <v>4.510161291178155E-4</v>
      </c>
      <c r="I12" s="66">
        <f t="shared" si="3"/>
        <v>-2.4068622234472556E-3</v>
      </c>
    </row>
    <row r="13" spans="1:11" ht="15" customHeight="1" x14ac:dyDescent="0.3">
      <c r="A13" s="20" t="s">
        <v>41</v>
      </c>
      <c r="B13" s="21" t="s">
        <v>42</v>
      </c>
      <c r="C13" s="34">
        <f>'3_ChainLadder'!AD9</f>
        <v>1310024.2707369477</v>
      </c>
      <c r="D13" s="43">
        <f>'4_BF'!H13</f>
        <v>1303035.0659928725</v>
      </c>
      <c r="E13" s="56">
        <f>'5_CapeCod'!H13</f>
        <v>1299312.8290740249</v>
      </c>
      <c r="F13" s="45">
        <f t="shared" si="0"/>
        <v>-6989.2047440751921</v>
      </c>
      <c r="G13" s="45">
        <f t="shared" si="1"/>
        <v>-10711.441662922734</v>
      </c>
      <c r="H13" s="66">
        <f t="shared" si="2"/>
        <v>-5.3351719507787818E-3</v>
      </c>
      <c r="I13" s="66">
        <f t="shared" si="3"/>
        <v>-8.1765215364270061E-3</v>
      </c>
    </row>
    <row r="14" spans="1:11" ht="15" customHeight="1" x14ac:dyDescent="0.3">
      <c r="A14" s="15" t="s">
        <v>43</v>
      </c>
      <c r="B14" s="16" t="s">
        <v>44</v>
      </c>
      <c r="C14" s="34">
        <f>'3_ChainLadder'!AD10</f>
        <v>1863924.9995569214</v>
      </c>
      <c r="D14" s="43">
        <f>'4_BF'!H14</f>
        <v>1911371.6540591221</v>
      </c>
      <c r="E14" s="56">
        <f>'5_CapeCod'!H14</f>
        <v>1905911.6489356556</v>
      </c>
      <c r="F14" s="45">
        <f t="shared" si="0"/>
        <v>47446.654502200661</v>
      </c>
      <c r="G14" s="45">
        <f t="shared" si="1"/>
        <v>41986.649378734175</v>
      </c>
      <c r="H14" s="66">
        <f t="shared" si="2"/>
        <v>2.5455238013052741E-2</v>
      </c>
      <c r="I14" s="66">
        <f t="shared" si="3"/>
        <v>2.2525932850686017E-2</v>
      </c>
    </row>
    <row r="15" spans="1:11" ht="15" customHeight="1" x14ac:dyDescent="0.3">
      <c r="A15" s="20" t="s">
        <v>45</v>
      </c>
      <c r="B15" s="21" t="s">
        <v>46</v>
      </c>
      <c r="C15" s="34">
        <f>'3_ChainLadder'!AD11</f>
        <v>2469552.8676266819</v>
      </c>
      <c r="D15" s="43">
        <f>'4_BF'!H15</f>
        <v>2494608.2289607297</v>
      </c>
      <c r="E15" s="56">
        <f>'5_CapeCod'!H15</f>
        <v>2487482.1560788592</v>
      </c>
      <c r="F15" s="45">
        <f t="shared" si="0"/>
        <v>25055.361334047746</v>
      </c>
      <c r="G15" s="45">
        <f t="shared" si="1"/>
        <v>17929.288452177308</v>
      </c>
      <c r="H15" s="66">
        <f t="shared" si="2"/>
        <v>1.0145707614725712E-2</v>
      </c>
      <c r="I15" s="66">
        <f t="shared" si="3"/>
        <v>7.260135503560982E-3</v>
      </c>
    </row>
    <row r="16" spans="1:11" ht="15" customHeight="1" x14ac:dyDescent="0.3">
      <c r="A16" s="15" t="s">
        <v>47</v>
      </c>
      <c r="B16" s="16" t="s">
        <v>48</v>
      </c>
      <c r="C16" s="34">
        <f>'3_ChainLadder'!AD12</f>
        <v>3073149.5482559949</v>
      </c>
      <c r="D16" s="43">
        <f>'4_BF'!H16</f>
        <v>3067450.118614933</v>
      </c>
      <c r="E16" s="56">
        <f>'5_CapeCod'!H16</f>
        <v>3058687.6713284273</v>
      </c>
      <c r="F16" s="45">
        <f t="shared" si="0"/>
        <v>-5699.4296410619281</v>
      </c>
      <c r="G16" s="45">
        <f t="shared" si="1"/>
        <v>-14461.876927567646</v>
      </c>
      <c r="H16" s="66">
        <f t="shared" si="2"/>
        <v>-1.854589095508333E-3</v>
      </c>
      <c r="I16" s="66">
        <f t="shared" si="3"/>
        <v>-4.7058812792806414E-3</v>
      </c>
    </row>
    <row r="17" spans="1:9" ht="15" customHeight="1" x14ac:dyDescent="0.3">
      <c r="A17" s="20" t="s">
        <v>49</v>
      </c>
      <c r="B17" s="21" t="s">
        <v>50</v>
      </c>
      <c r="C17" s="34">
        <f>'3_ChainLadder'!AD13</f>
        <v>3611424.4716434851</v>
      </c>
      <c r="D17" s="43">
        <f>'4_BF'!H17</f>
        <v>3598498.5416093464</v>
      </c>
      <c r="E17" s="56">
        <f>'5_CapeCod'!H17</f>
        <v>3588219.1067164792</v>
      </c>
      <c r="F17" s="45">
        <f t="shared" si="0"/>
        <v>-12925.930034138728</v>
      </c>
      <c r="G17" s="45">
        <f t="shared" si="1"/>
        <v>-23205.364927005954</v>
      </c>
      <c r="H17" s="66">
        <f t="shared" si="2"/>
        <v>-3.5791777276893743E-3</v>
      </c>
      <c r="I17" s="66">
        <f t="shared" si="3"/>
        <v>-6.4255434688478118E-3</v>
      </c>
    </row>
    <row r="18" spans="1:9" ht="15" customHeight="1" x14ac:dyDescent="0.3">
      <c r="A18" s="15" t="s">
        <v>51</v>
      </c>
      <c r="B18" s="16" t="s">
        <v>52</v>
      </c>
      <c r="C18" s="34">
        <f>'3_ChainLadder'!AD14</f>
        <v>4741691.7680717409</v>
      </c>
      <c r="D18" s="43">
        <f>'4_BF'!H18</f>
        <v>4685728.3466851767</v>
      </c>
      <c r="E18" s="56">
        <f>'5_CapeCod'!H18</f>
        <v>4672343.1420203801</v>
      </c>
      <c r="F18" s="45">
        <f t="shared" si="0"/>
        <v>-55963.42138656415</v>
      </c>
      <c r="G18" s="45">
        <f t="shared" si="1"/>
        <v>-69348.626051360741</v>
      </c>
      <c r="H18" s="66">
        <f t="shared" si="2"/>
        <v>-1.1802416547485175E-2</v>
      </c>
      <c r="I18" s="66">
        <f t="shared" si="3"/>
        <v>-1.4625291866991619E-2</v>
      </c>
    </row>
    <row r="19" spans="1:9" ht="15" customHeight="1" x14ac:dyDescent="0.3">
      <c r="A19" s="20" t="s">
        <v>53</v>
      </c>
      <c r="B19" s="21" t="s">
        <v>54</v>
      </c>
      <c r="C19" s="34">
        <f>'3_ChainLadder'!AD15</f>
        <v>5914448.8244551644</v>
      </c>
      <c r="D19" s="43">
        <f>'4_BF'!H19</f>
        <v>6004955.6469445191</v>
      </c>
      <c r="E19" s="56">
        <f>'5_CapeCod'!H19</f>
        <v>5987801.9507866446</v>
      </c>
      <c r="F19" s="45">
        <f t="shared" si="0"/>
        <v>90506.822489354759</v>
      </c>
      <c r="G19" s="45">
        <f t="shared" si="1"/>
        <v>73353.12633148022</v>
      </c>
      <c r="H19" s="66">
        <f t="shared" si="2"/>
        <v>1.5302663895767531E-2</v>
      </c>
      <c r="I19" s="66">
        <f t="shared" si="3"/>
        <v>1.2402360474940363E-2</v>
      </c>
    </row>
    <row r="20" spans="1:9" ht="15" customHeight="1" x14ac:dyDescent="0.3">
      <c r="A20" s="15" t="s">
        <v>55</v>
      </c>
      <c r="B20" s="16" t="s">
        <v>56</v>
      </c>
      <c r="C20" s="34">
        <f>'3_ChainLadder'!AD16</f>
        <v>7152631.4208441526</v>
      </c>
      <c r="D20" s="43">
        <f>'4_BF'!H20</f>
        <v>7130793.724061708</v>
      </c>
      <c r="E20" s="56">
        <f>'5_CapeCod'!H20</f>
        <v>7110423.9701286741</v>
      </c>
      <c r="F20" s="45">
        <f t="shared" si="0"/>
        <v>-21837.696782444604</v>
      </c>
      <c r="G20" s="45">
        <f t="shared" si="1"/>
        <v>-42207.45071547851</v>
      </c>
      <c r="H20" s="66">
        <f t="shared" si="2"/>
        <v>-3.0530996912276689E-3</v>
      </c>
      <c r="I20" s="66">
        <f t="shared" si="3"/>
        <v>-5.9009682216362817E-3</v>
      </c>
    </row>
    <row r="21" spans="1:9" ht="15" customHeight="1" x14ac:dyDescent="0.3">
      <c r="A21" s="20" t="s">
        <v>57</v>
      </c>
      <c r="B21" s="21" t="s">
        <v>58</v>
      </c>
      <c r="C21" s="34">
        <f>'3_ChainLadder'!AD17</f>
        <v>8484849.5433689505</v>
      </c>
      <c r="D21" s="43">
        <f>'4_BF'!H21</f>
        <v>8207868.1509877192</v>
      </c>
      <c r="E21" s="56">
        <f>'5_CapeCod'!H21</f>
        <v>8184421.6370342672</v>
      </c>
      <c r="F21" s="45">
        <f t="shared" si="0"/>
        <v>-276981.3923812313</v>
      </c>
      <c r="G21" s="45">
        <f t="shared" si="1"/>
        <v>-300427.9063346833</v>
      </c>
      <c r="H21" s="66">
        <f t="shared" si="2"/>
        <v>-3.2644231458140209E-2</v>
      </c>
      <c r="I21" s="66">
        <f t="shared" si="3"/>
        <v>-3.5407570257916084E-2</v>
      </c>
    </row>
    <row r="22" spans="1:9" ht="15" customHeight="1" x14ac:dyDescent="0.3">
      <c r="A22" s="15" t="s">
        <v>59</v>
      </c>
      <c r="B22" s="16" t="s">
        <v>60</v>
      </c>
      <c r="C22" s="34">
        <f>'3_ChainLadder'!AD18</f>
        <v>10690211.591520637</v>
      </c>
      <c r="D22" s="43">
        <f>'4_BF'!H22</f>
        <v>10594814.11678214</v>
      </c>
      <c r="E22" s="56">
        <f>'5_CapeCod'!H22</f>
        <v>10564549.076889478</v>
      </c>
      <c r="F22" s="45">
        <f t="shared" si="0"/>
        <v>-95397.474738497287</v>
      </c>
      <c r="G22" s="45">
        <f t="shared" si="1"/>
        <v>-125662.5146311596</v>
      </c>
      <c r="H22" s="66">
        <f t="shared" si="2"/>
        <v>-8.9238153914713483E-3</v>
      </c>
      <c r="I22" s="66">
        <f t="shared" si="3"/>
        <v>-1.1754913694209175E-2</v>
      </c>
    </row>
    <row r="23" spans="1:9" ht="15" customHeight="1" x14ac:dyDescent="0.3">
      <c r="A23" s="20" t="s">
        <v>61</v>
      </c>
      <c r="B23" s="21" t="s">
        <v>62</v>
      </c>
      <c r="C23" s="34">
        <f>'3_ChainLadder'!AD19</f>
        <v>13346502.24039425</v>
      </c>
      <c r="D23" s="43">
        <f>'4_BF'!H23</f>
        <v>13824109.425043542</v>
      </c>
      <c r="E23" s="56">
        <f>'5_CapeCod'!H23</f>
        <v>13784619.612516604</v>
      </c>
      <c r="F23" s="45">
        <f t="shared" si="0"/>
        <v>477607.18464929238</v>
      </c>
      <c r="G23" s="45">
        <f t="shared" si="1"/>
        <v>438117.37212235481</v>
      </c>
      <c r="H23" s="66">
        <f t="shared" si="2"/>
        <v>3.578519495570729E-2</v>
      </c>
      <c r="I23" s="66">
        <f t="shared" si="3"/>
        <v>3.2826381341798883E-2</v>
      </c>
    </row>
    <row r="24" spans="1:9" ht="15" customHeight="1" x14ac:dyDescent="0.3">
      <c r="A24" s="15" t="s">
        <v>63</v>
      </c>
      <c r="B24" s="16" t="s">
        <v>64</v>
      </c>
      <c r="C24" s="34">
        <f>'3_ChainLadder'!AD20</f>
        <v>14232477.250702523</v>
      </c>
      <c r="D24" s="43">
        <f>'4_BF'!H24</f>
        <v>14182239.825377198</v>
      </c>
      <c r="E24" s="56">
        <f>'5_CapeCod'!H24</f>
        <v>14141726.981135555</v>
      </c>
      <c r="F24" s="45">
        <f t="shared" si="0"/>
        <v>-50237.425325324759</v>
      </c>
      <c r="G24" s="45">
        <f t="shared" si="1"/>
        <v>-90750.269566968083</v>
      </c>
      <c r="H24" s="66">
        <f t="shared" si="2"/>
        <v>-3.5297738011732999E-3</v>
      </c>
      <c r="I24" s="66">
        <f t="shared" si="3"/>
        <v>-6.3762806690935408E-3</v>
      </c>
    </row>
    <row r="25" spans="1:9" ht="15" customHeight="1" x14ac:dyDescent="0.3">
      <c r="A25" s="20" t="s">
        <v>65</v>
      </c>
      <c r="B25" s="21" t="s">
        <v>66</v>
      </c>
      <c r="C25" s="34">
        <f>'3_ChainLadder'!AD21</f>
        <v>16739143.45568233</v>
      </c>
      <c r="D25" s="43">
        <f>'4_BF'!H25</f>
        <v>16551873.508701283</v>
      </c>
      <c r="E25" s="56">
        <f>'5_CapeCod'!H25</f>
        <v>16504591.592613142</v>
      </c>
      <c r="F25" s="45">
        <f t="shared" si="0"/>
        <v>-187269.94698104635</v>
      </c>
      <c r="G25" s="45">
        <f t="shared" si="1"/>
        <v>-234551.86306918785</v>
      </c>
      <c r="H25" s="66">
        <f t="shared" si="2"/>
        <v>-1.1187546571713921E-2</v>
      </c>
      <c r="I25" s="66">
        <f t="shared" si="3"/>
        <v>-1.4012178322634903E-2</v>
      </c>
    </row>
    <row r="26" spans="1:9" ht="15" customHeight="1" x14ac:dyDescent="0.3">
      <c r="A26" s="15" t="s">
        <v>67</v>
      </c>
      <c r="B26" s="16" t="s">
        <v>68</v>
      </c>
      <c r="C26" s="34">
        <f>'3_ChainLadder'!AD22</f>
        <v>22043213.721243642</v>
      </c>
      <c r="D26" s="43">
        <f>'4_BF'!H26</f>
        <v>22348405.251328778</v>
      </c>
      <c r="E26" s="56">
        <f>'5_CapeCod'!H26</f>
        <v>22284565.020720348</v>
      </c>
      <c r="F26" s="45">
        <f t="shared" si="0"/>
        <v>305191.53008513525</v>
      </c>
      <c r="G26" s="45">
        <f t="shared" si="1"/>
        <v>241351.29947670549</v>
      </c>
      <c r="H26" s="66">
        <f t="shared" si="2"/>
        <v>1.3845146807745819E-2</v>
      </c>
      <c r="I26" s="66">
        <f t="shared" si="3"/>
        <v>1.094900691563448E-2</v>
      </c>
    </row>
    <row r="27" spans="1:9" ht="15" customHeight="1" x14ac:dyDescent="0.3">
      <c r="A27" s="20" t="s">
        <v>69</v>
      </c>
      <c r="B27" s="21" t="s">
        <v>70</v>
      </c>
      <c r="C27" s="34">
        <f>'3_ChainLadder'!AD23</f>
        <v>26885645.425055809</v>
      </c>
      <c r="D27" s="43">
        <f>'4_BF'!H27</f>
        <v>27774375.204026349</v>
      </c>
      <c r="E27" s="56">
        <f>'5_CapeCod'!H27</f>
        <v>27695035.201995339</v>
      </c>
      <c r="F27" s="45">
        <f t="shared" si="0"/>
        <v>888729.77897053957</v>
      </c>
      <c r="G27" s="45">
        <f t="shared" si="1"/>
        <v>809389.77693952993</v>
      </c>
      <c r="H27" s="66">
        <f t="shared" si="2"/>
        <v>3.3055921288848683E-2</v>
      </c>
      <c r="I27" s="66">
        <f t="shared" si="3"/>
        <v>3.0104904090761653E-2</v>
      </c>
    </row>
    <row r="28" spans="1:9" ht="15" customHeight="1" x14ac:dyDescent="0.3">
      <c r="A28" s="15" t="s">
        <v>71</v>
      </c>
      <c r="B28" s="16" t="s">
        <v>72</v>
      </c>
      <c r="C28" s="34">
        <f>'3_ChainLadder'!AD24</f>
        <v>33805649.141325779</v>
      </c>
      <c r="D28" s="43">
        <f>'4_BF'!H28</f>
        <v>33884597.299678348</v>
      </c>
      <c r="E28" s="56">
        <f>'5_CapeCod'!H28</f>
        <v>33787802.898406394</v>
      </c>
      <c r="F28" s="45">
        <f t="shared" si="0"/>
        <v>78948.158352568746</v>
      </c>
      <c r="G28" s="45">
        <f t="shared" si="1"/>
        <v>-17846.242919385433</v>
      </c>
      <c r="H28" s="66">
        <f t="shared" si="2"/>
        <v>2.3353540120623927E-3</v>
      </c>
      <c r="I28" s="66">
        <f t="shared" si="3"/>
        <v>-5.2790712122635327E-4</v>
      </c>
    </row>
    <row r="29" spans="1:9" ht="15" customHeight="1" x14ac:dyDescent="0.3">
      <c r="A29" s="20" t="s">
        <v>73</v>
      </c>
      <c r="B29" s="21" t="s">
        <v>74</v>
      </c>
      <c r="C29" s="34">
        <f>'3_ChainLadder'!AD25</f>
        <v>39484786.780692682</v>
      </c>
      <c r="D29" s="43">
        <f>'4_BF'!H29</f>
        <v>40569740.024354659</v>
      </c>
      <c r="E29" s="56">
        <f>'5_CapeCod'!H29</f>
        <v>40453848.911331058</v>
      </c>
      <c r="F29" s="45">
        <f t="shared" si="0"/>
        <v>1084953.2436619774</v>
      </c>
      <c r="G29" s="45">
        <f t="shared" si="1"/>
        <v>969062.13063837588</v>
      </c>
      <c r="H29" s="66">
        <f t="shared" si="2"/>
        <v>2.7477753639345955E-2</v>
      </c>
      <c r="I29" s="66">
        <f t="shared" si="3"/>
        <v>2.454267097909793E-2</v>
      </c>
    </row>
    <row r="30" spans="1:9" ht="15" customHeight="1" x14ac:dyDescent="0.3">
      <c r="A30" s="15" t="s">
        <v>75</v>
      </c>
      <c r="B30" s="16" t="s">
        <v>76</v>
      </c>
      <c r="C30" s="34">
        <f>'3_ChainLadder'!AD26</f>
        <v>44788650.971202433</v>
      </c>
      <c r="D30" s="43">
        <f>'4_BF'!H30</f>
        <v>45563488.903619312</v>
      </c>
      <c r="E30" s="56">
        <f>'5_CapeCod'!H30</f>
        <v>45433332.69756256</v>
      </c>
      <c r="F30" s="45">
        <f t="shared" si="0"/>
        <v>774837.93241687864</v>
      </c>
      <c r="G30" s="45">
        <f t="shared" si="1"/>
        <v>644681.72636012733</v>
      </c>
      <c r="H30" s="66">
        <f t="shared" si="2"/>
        <v>1.7299872079538026E-2</v>
      </c>
      <c r="I30" s="66">
        <f t="shared" si="3"/>
        <v>1.4393863453816361E-2</v>
      </c>
    </row>
    <row r="31" spans="1:9" ht="15" customHeight="1" x14ac:dyDescent="0.3">
      <c r="A31" s="20" t="s">
        <v>77</v>
      </c>
      <c r="B31" s="21" t="s">
        <v>78</v>
      </c>
      <c r="C31" s="34">
        <f>'3_ChainLadder'!AD27</f>
        <v>50741532.454682097</v>
      </c>
      <c r="D31" s="43">
        <f>'4_BF'!H31</f>
        <v>51193609.013004869</v>
      </c>
      <c r="E31" s="56">
        <f>'5_CapeCod'!H31</f>
        <v>51047369.862232625</v>
      </c>
      <c r="F31" s="45">
        <f t="shared" si="0"/>
        <v>452076.55832277238</v>
      </c>
      <c r="G31" s="45">
        <f t="shared" si="1"/>
        <v>305837.40755052865</v>
      </c>
      <c r="H31" s="66">
        <f t="shared" si="2"/>
        <v>8.909398996305988E-3</v>
      </c>
      <c r="I31" s="66">
        <f t="shared" si="3"/>
        <v>6.027358511958146E-3</v>
      </c>
    </row>
    <row r="32" spans="1:9" ht="15" customHeight="1" x14ac:dyDescent="0.3">
      <c r="A32" s="15" t="s">
        <v>79</v>
      </c>
      <c r="B32" s="16" t="s">
        <v>80</v>
      </c>
      <c r="C32" s="34">
        <f>'3_ChainLadder'!AD28</f>
        <v>54559615.912067972</v>
      </c>
      <c r="D32" s="43">
        <f>'4_BF'!H32</f>
        <v>58638231.085489519</v>
      </c>
      <c r="E32" s="56">
        <f>'5_CapeCod'!H32</f>
        <v>58470725.70186732</v>
      </c>
      <c r="F32" s="45">
        <f t="shared" si="0"/>
        <v>4078615.1734215468</v>
      </c>
      <c r="G32" s="45">
        <f t="shared" si="1"/>
        <v>3911109.7897993475</v>
      </c>
      <c r="H32" s="66">
        <f t="shared" si="2"/>
        <v>7.4755203189020306E-2</v>
      </c>
      <c r="I32" s="66">
        <f t="shared" si="3"/>
        <v>7.1685068239900382E-2</v>
      </c>
    </row>
    <row r="33" spans="1:7" ht="21.75" customHeight="1" x14ac:dyDescent="0.3">
      <c r="A33" s="1" t="s">
        <v>157</v>
      </c>
      <c r="B33" s="1"/>
      <c r="C33" s="67">
        <f>SUM(C8:C32)</f>
        <v>368116872.91982114</v>
      </c>
      <c r="D33" s="68">
        <f>SUM(D8:D32)</f>
        <v>375700655.49782729</v>
      </c>
      <c r="E33" s="69">
        <f>SUM(E8:E32)</f>
        <v>374627432.76819676</v>
      </c>
      <c r="F33" s="70">
        <f>SUM(F8:F32)</f>
        <v>7583782.5780061707</v>
      </c>
      <c r="G33" s="70">
        <f>SUM(G8:G32)</f>
        <v>6510559.8483756222</v>
      </c>
    </row>
  </sheetData>
  <mergeCells count="2">
    <mergeCell ref="A1:K1"/>
    <mergeCell ref="A33:B3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1_Triangulo</vt:lpstr>
      <vt:lpstr>2_Factores</vt:lpstr>
      <vt:lpstr>3_ChainLadder</vt:lpstr>
      <vt:lpstr>4_BF</vt:lpstr>
      <vt:lpstr>5_CapeCod</vt:lpstr>
      <vt:lpstr>6_Resumen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Karla Eugenia Medina Diaz</cp:lastModifiedBy>
  <cp:revision>0</cp:revision>
  <dcterms:created xsi:type="dcterms:W3CDTF">2026-09-04T22:47:11Z</dcterms:created>
  <dcterms:modified xsi:type="dcterms:W3CDTF">2026-09-04T23:09:10Z</dcterms:modified>
  <dc:language>en-US</dc:language>
</cp:coreProperties>
</file>