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rec\Desktop\Diplomado\ml-insurance-team-lab\M4\Funciones_Triangulos\"/>
    </mc:Choice>
  </mc:AlternateContent>
  <xr:revisionPtr revIDLastSave="0" documentId="13_ncr:1_{D048212F-2A0C-4F3A-80D6-F198CFDCC2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Plan de trabajo" sheetId="2" r:id="rId2"/>
    <sheet name="Entregables" sheetId="7" r:id="rId3"/>
    <sheet name="Lista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F5" i="8" s="1"/>
  <c r="M6" i="2"/>
  <c r="M7" i="2"/>
  <c r="F11" i="8" s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C16" i="1"/>
  <c r="B16" i="1"/>
  <c r="C15" i="1"/>
  <c r="B15" i="1"/>
  <c r="C14" i="1"/>
  <c r="B14" i="1"/>
  <c r="D8" i="1"/>
  <c r="B8" i="1"/>
  <c r="B7" i="1"/>
  <c r="D6" i="1"/>
  <c r="B6" i="1"/>
  <c r="D5" i="1"/>
  <c r="B5" i="1"/>
  <c r="F10" i="8" l="1"/>
  <c r="F9" i="8"/>
  <c r="F8" i="8"/>
  <c r="F7" i="8"/>
  <c r="F6" i="8"/>
</calcChain>
</file>

<file path=xl/sharedStrings.xml><?xml version="1.0" encoding="utf-8"?>
<sst xmlns="http://schemas.openxmlformats.org/spreadsheetml/2006/main" count="250" uniqueCount="153">
  <si>
    <t>Gestor de proyecto: Loss Incurred</t>
  </si>
  <si>
    <t>Seguimiento del proyecto actuarial de tres escenarios. Celdas en amarillo son editables.</t>
  </si>
  <si>
    <t>Indicador</t>
  </si>
  <si>
    <t>Valor</t>
  </si>
  <si>
    <t>Guía de uso</t>
  </si>
  <si>
    <t>Avance global</t>
  </si>
  <si>
    <t>Pasos completados</t>
  </si>
  <si>
    <t>1. Actualice el Plan de trabajo con estado, fechas y porcentaje.
2. Mantenga dev_M y reglas en Escenarios y Backtesting.
3. Registre variantes en Métodos y resultados en Métricas.
4. Complete la evidencia de cada entregable.
Nota: “Todos” en el Plan representa trabajo transversal y se incorpora al avance global.</t>
  </si>
  <si>
    <t>Pasos en progreso</t>
  </si>
  <si>
    <t>Pasos bloqueados</t>
  </si>
  <si>
    <t>Pasos en revisión</t>
  </si>
  <si>
    <t>Total de pasos</t>
  </si>
  <si>
    <t>Próxima fecha objetivo</t>
  </si>
  <si>
    <t>Entregables completados</t>
  </si>
  <si>
    <t>Fecha de actualización</t>
  </si>
  <si>
    <t>Avance por escenario</t>
  </si>
  <si>
    <t>Escenario</t>
  </si>
  <si>
    <t>Avance</t>
  </si>
  <si>
    <t>Estado dominante</t>
  </si>
  <si>
    <t>Creciente</t>
  </si>
  <si>
    <t>Pendiente</t>
  </si>
  <si>
    <t>Decreciente</t>
  </si>
  <si>
    <t>Mixto</t>
  </si>
  <si>
    <t>Leyenda</t>
  </si>
  <si>
    <t>Amarillo</t>
  </si>
  <si>
    <t>Campo editable</t>
  </si>
  <si>
    <t>Verde</t>
  </si>
  <si>
    <t>Completado</t>
  </si>
  <si>
    <t>Azul</t>
  </si>
  <si>
    <t>Información calculada</t>
  </si>
  <si>
    <t>Rojo</t>
  </si>
  <si>
    <t>Bloqueado</t>
  </si>
  <si>
    <t>Plan de trabajo</t>
  </si>
  <si>
    <t>Actualice Estado, fechas y % avance. El Resumen se recalcula automáticamente.</t>
  </si>
  <si>
    <t>ID</t>
  </si>
  <si>
    <t>Fase</t>
  </si>
  <si>
    <t>Actividad</t>
  </si>
  <si>
    <t>Estado</t>
  </si>
  <si>
    <t>Prioridad</t>
  </si>
  <si>
    <t>Fecha inicio</t>
  </si>
  <si>
    <t>Fecha objetivo</t>
  </si>
  <si>
    <t>Fecha final</t>
  </si>
  <si>
    <t>% avance</t>
  </si>
  <si>
    <t>Dependencia</t>
  </si>
  <si>
    <t>Entregable</t>
  </si>
  <si>
    <t>Notas</t>
  </si>
  <si>
    <t>1</t>
  </si>
  <si>
    <t>Diseño</t>
  </si>
  <si>
    <t>Crear tres escenarios mensuales acumulados</t>
  </si>
  <si>
    <t>Todos</t>
  </si>
  <si>
    <t>No iniciado</t>
  </si>
  <si>
    <t>Alta</t>
  </si>
  <si>
    <t>Definición de escenarios</t>
  </si>
  <si>
    <t>2</t>
  </si>
  <si>
    <t>Elegir y documentar horizonte de madurez dev_M</t>
  </si>
  <si>
    <t>dev_M documentado</t>
  </si>
  <si>
    <t>3</t>
  </si>
  <si>
    <t>Datos</t>
  </si>
  <si>
    <t>Simular bases mensuales con tendencia, estacionalidad y variación</t>
  </si>
  <si>
    <t>1,2</t>
  </si>
  <si>
    <t>Bases mensuales</t>
  </si>
  <si>
    <t>4</t>
  </si>
  <si>
    <t>Validación</t>
  </si>
  <si>
    <t>Validar estructura, importes, períodos y dirección de factores</t>
  </si>
  <si>
    <t>Checklist de validación</t>
  </si>
  <si>
    <t>5</t>
  </si>
  <si>
    <t>Triángulos</t>
  </si>
  <si>
    <t>Transformar bases a triángulos acumulados e incrementales</t>
  </si>
  <si>
    <t>3,4</t>
  </si>
  <si>
    <t>6</t>
  </si>
  <si>
    <t>Exploración</t>
  </si>
  <si>
    <t>Presentar diagonal, tendencias, estacionalidad, triángulos y factores</t>
  </si>
  <si>
    <t>Media</t>
  </si>
  <si>
    <t>Paquete descriptivo</t>
  </si>
  <si>
    <t>7</t>
  </si>
  <si>
    <t>Interpretación</t>
  </si>
  <si>
    <t>Explicar patrones de desarrollo observados</t>
  </si>
  <si>
    <t>Narrativa por escenario</t>
  </si>
  <si>
    <t>8</t>
  </si>
  <si>
    <t>Backtesting</t>
  </si>
  <si>
    <t>Definir backtesting cronológico y períodos inmaduros</t>
  </si>
  <si>
    <t>2,5</t>
  </si>
  <si>
    <t>Diseño de backtesting</t>
  </si>
  <si>
    <t>9</t>
  </si>
  <si>
    <t>Métodos</t>
  </si>
  <si>
    <t>Definir alternativas internas del Método de Desarrollo</t>
  </si>
  <si>
    <t>Catálogo Development Method</t>
  </si>
  <si>
    <t>10</t>
  </si>
  <si>
    <t>Definir Gamma/log GLM, Random Forest y XGBoost observables</t>
  </si>
  <si>
    <t>Catálogo modelos</t>
  </si>
  <si>
    <t>11</t>
  </si>
  <si>
    <t>Ejecutar backtesting sin leakage y bloquear predicciones inmaduras</t>
  </si>
  <si>
    <t>9,10</t>
  </si>
  <si>
    <t>Resultados de backtesting</t>
  </si>
  <si>
    <t>12</t>
  </si>
  <si>
    <t>Evaluación</t>
  </si>
  <si>
    <t>Revelar target en evaluation date y comparar mismas claves</t>
  </si>
  <si>
    <t>Base de evaluación</t>
  </si>
  <si>
    <t>13</t>
  </si>
  <si>
    <t>Comparar WAPE, sesgo, RMSE, reserva, estabilidad y criterios</t>
  </si>
  <si>
    <t>Matriz de métricas</t>
  </si>
  <si>
    <t>14</t>
  </si>
  <si>
    <t>Selección</t>
  </si>
  <si>
    <t>Elegir método por escenario</t>
  </si>
  <si>
    <t>Decisión metodológica</t>
  </si>
  <si>
    <t>15</t>
  </si>
  <si>
    <t>Aplicación</t>
  </si>
  <si>
    <t>Aplicar método seleccionado al triángulo completo actual</t>
  </si>
  <si>
    <t>Reserva actual</t>
  </si>
  <si>
    <t>16</t>
  </si>
  <si>
    <t>Reporte</t>
  </si>
  <si>
    <t>Emitir reporte final con reserva, diagnósticos y comparación</t>
  </si>
  <si>
    <t>Reporte final</t>
  </si>
  <si>
    <t>Entregables y checklist</t>
  </si>
  <si>
    <t>Control de evidencia y aprobación de los productos del proyecto.</t>
  </si>
  <si>
    <t>Paso(s)</t>
  </si>
  <si>
    <t>Responsable</t>
  </si>
  <si>
    <t>Evidencia / enlace</t>
  </si>
  <si>
    <t>E01</t>
  </si>
  <si>
    <t>Definición de escenarios y dev_M</t>
  </si>
  <si>
    <t>1-2</t>
  </si>
  <si>
    <t>E02</t>
  </si>
  <si>
    <t>Bases mensuales simuladas y validación</t>
  </si>
  <si>
    <t>3-4</t>
  </si>
  <si>
    <t>E03</t>
  </si>
  <si>
    <t>Triángulos, diagonal, gráficos y factores</t>
  </si>
  <si>
    <t>5-7</t>
  </si>
  <si>
    <t>E04</t>
  </si>
  <si>
    <t>Diseño y ejecución de backtesting</t>
  </si>
  <si>
    <t>8, 11-12</t>
  </si>
  <si>
    <t>E05</t>
  </si>
  <si>
    <t>Catálogo de alternativas de métodos</t>
  </si>
  <si>
    <t>9-10</t>
  </si>
  <si>
    <t>E06</t>
  </si>
  <si>
    <t>Comparación de métricas y selección</t>
  </si>
  <si>
    <t>13-14</t>
  </si>
  <si>
    <t>E07</t>
  </si>
  <si>
    <t>Reserva actual y reporte final</t>
  </si>
  <si>
    <t>15-16</t>
  </si>
  <si>
    <t>Listas de validación</t>
  </si>
  <si>
    <t>Listas editables que alimentan los menús desplegables.</t>
  </si>
  <si>
    <t>En progreso</t>
  </si>
  <si>
    <t>Baja</t>
  </si>
  <si>
    <t>En revisión</t>
  </si>
  <si>
    <t>Nombre</t>
  </si>
  <si>
    <t>Alondra Abril Alarcón Álvarez</t>
  </si>
  <si>
    <t>Angelica Guadalupe Cravioto Perez</t>
  </si>
  <si>
    <t>Arturo Cortés Islas</t>
  </si>
  <si>
    <t>Dereck Favila Limón</t>
  </si>
  <si>
    <t>Ismael Ruiz Carbajal</t>
  </si>
  <si>
    <t>José Julián Alcalá Alcántara</t>
  </si>
  <si>
    <t>Melissa González Cortés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</si>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</sst>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17365D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17365D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4F8F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5" fontId="4" fillId="3" borderId="3" xfId="0" applyNumberFormat="1" applyFont="1" applyFill="1" applyBorder="1" applyAlignment="1">
      <alignment vertical="center"/>
    </xf>
    <xf numFmtId="15" fontId="4" fillId="3" borderId="6" xfId="0" applyNumberFormat="1" applyFont="1" applyFill="1" applyBorder="1" applyAlignment="1">
      <alignment vertical="center"/>
    </xf>
    <xf numFmtId="15" fontId="4" fillId="3" borderId="9" xfId="0" applyNumberFormat="1" applyFont="1" applyFill="1" applyBorder="1" applyAlignment="1">
      <alignment vertical="center"/>
    </xf>
    <xf numFmtId="9" fontId="4" fillId="3" borderId="3" xfId="0" applyNumberFormat="1" applyFont="1" applyFill="1" applyBorder="1" applyAlignment="1">
      <alignment vertical="center"/>
    </xf>
    <xf numFmtId="9" fontId="4" fillId="3" borderId="6" xfId="0" applyNumberFormat="1" applyFont="1" applyFill="1" applyBorder="1" applyAlignment="1">
      <alignment vertical="center"/>
    </xf>
    <xf numFmtId="9" fontId="4" fillId="3" borderId="9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vertical="center"/>
    </xf>
    <xf numFmtId="9" fontId="4" fillId="0" borderId="6" xfId="0" applyNumberFormat="1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6" fillId="5" borderId="0" xfId="0" applyFont="1" applyFill="1"/>
    <xf numFmtId="0" fontId="4" fillId="6" borderId="11" xfId="0" applyFont="1" applyFill="1" applyBorder="1" applyAlignment="1">
      <alignment vertical="top" wrapText="1"/>
    </xf>
    <xf numFmtId="0" fontId="4" fillId="6" borderId="12" xfId="0" applyFont="1" applyFill="1" applyBorder="1" applyAlignment="1">
      <alignment vertical="top" wrapText="1"/>
    </xf>
    <xf numFmtId="0" fontId="4" fillId="6" borderId="13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6" borderId="15" xfId="0" applyFont="1" applyFill="1" applyBorder="1" applyAlignment="1">
      <alignment vertical="top" wrapText="1"/>
    </xf>
    <xf numFmtId="0" fontId="4" fillId="6" borderId="16" xfId="0" applyFont="1" applyFill="1" applyBorder="1" applyAlignment="1">
      <alignment vertical="top" wrapText="1"/>
    </xf>
    <xf numFmtId="0" fontId="4" fillId="6" borderId="17" xfId="0" applyFont="1" applyFill="1" applyBorder="1" applyAlignment="1">
      <alignment vertical="top" wrapText="1"/>
    </xf>
    <xf numFmtId="0" fontId="4" fillId="6" borderId="18" xfId="0" applyFont="1" applyFill="1" applyBorder="1" applyAlignment="1">
      <alignment vertical="top" wrapText="1"/>
    </xf>
    <xf numFmtId="0" fontId="3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rabajo" displayName="PlanTrabajo" ref="A4:N20" totalsRowShown="0">
  <tableColumns count="14">
    <tableColumn id="1" xr3:uid="{00000000-0010-0000-0000-000001000000}" name="ID"/>
    <tableColumn id="2" xr3:uid="{00000000-0010-0000-0000-000002000000}" name="Fase"/>
    <tableColumn id="3" xr3:uid="{00000000-0010-0000-0000-000003000000}" name="Actividad"/>
    <tableColumn id="4" xr3:uid="{00000000-0010-0000-0000-000004000000}" name="Escenario"/>
    <tableColumn id="5" xr3:uid="{00000000-0010-0000-0000-000005000000}" name="Estado"/>
    <tableColumn id="6" xr3:uid="{00000000-0010-0000-0000-000006000000}" name="Prioridad"/>
    <tableColumn id="7" xr3:uid="{00000000-0010-0000-0000-000007000000}" name="Fecha inicio"/>
    <tableColumn id="8" xr3:uid="{00000000-0010-0000-0000-000008000000}" name="Fecha objetivo"/>
    <tableColumn id="9" xr3:uid="{00000000-0010-0000-0000-000009000000}" name="Fecha final"/>
    <tableColumn id="10" xr3:uid="{00000000-0010-0000-0000-00000A000000}" name="% avance"/>
    <tableColumn id="11" xr3:uid="{00000000-0010-0000-0000-00000B000000}" name="Dependencia"/>
    <tableColumn id="12" xr3:uid="{00000000-0010-0000-0000-00000C000000}" name="Entregable"/>
    <tableColumn id="13" xr3:uid="{00000000-0010-0000-0000-00000D000000}" name="Notas" dataDxfId="0">
      <calculatedColumnFormula>VLOOKUP(PlanTrabajo[[#This Row],[Columna1]],Listas!$D$5:$E$11,2,)</calculatedColumnFormula>
    </tableColumn>
    <tableColumn id="14" xr3:uid="{1503A9DD-06A4-4C08-AEFD-C80C1DD55CCC}" name="Columna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tregablesTabla" displayName="EntregablesTabla" ref="A4:H11" totalsRowShown="0">
  <tableColumns count="8">
    <tableColumn id="1" xr3:uid="{00000000-0010-0000-0500-000001000000}" name="ID"/>
    <tableColumn id="2" xr3:uid="{00000000-0010-0000-0500-000002000000}" name="Entregable"/>
    <tableColumn id="3" xr3:uid="{00000000-0010-0000-0500-000003000000}" name="Paso(s)"/>
    <tableColumn id="4" xr3:uid="{00000000-0010-0000-0500-000004000000}" name="Escenario"/>
    <tableColumn id="5" xr3:uid="{00000000-0010-0000-0500-000005000000}" name="Responsable"/>
    <tableColumn id="6" xr3:uid="{00000000-0010-0000-0500-000006000000}" name="Fecha objetivo"/>
    <tableColumn id="7" xr3:uid="{00000000-0010-0000-0500-000007000000}" name="Estado"/>
    <tableColumn id="8" xr3:uid="{00000000-0010-0000-0500-000008000000}" name="Evidencia / en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21"/>
  <sheetViews>
    <sheetView showGridLines="0" workbookViewId="0">
      <selection activeCell="B16" sqref="B16"/>
    </sheetView>
  </sheetViews>
  <sheetFormatPr baseColWidth="10" defaultColWidth="9" defaultRowHeight="14.25"/>
  <cols>
    <col min="1" max="1" width="22" customWidth="1"/>
    <col min="2" max="2" width="18" customWidth="1"/>
    <col min="3" max="3" width="22" customWidth="1"/>
    <col min="4" max="4" width="18" customWidth="1"/>
    <col min="5" max="5" width="4" customWidth="1"/>
    <col min="6" max="6" width="23" customWidth="1"/>
    <col min="7" max="10" width="16" customWidth="1"/>
  </cols>
  <sheetData>
    <row r="1" spans="1:14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2</v>
      </c>
      <c r="B4" s="3" t="s">
        <v>3</v>
      </c>
      <c r="C4" s="3" t="s">
        <v>2</v>
      </c>
      <c r="D4" s="3" t="s">
        <v>3</v>
      </c>
      <c r="F4" s="38" t="s">
        <v>4</v>
      </c>
      <c r="G4" s="38"/>
      <c r="H4" s="38"/>
      <c r="I4" s="38"/>
      <c r="J4" s="38"/>
    </row>
    <row r="5" spans="1:14" ht="24" customHeight="1">
      <c r="A5" s="23" t="s">
        <v>5</v>
      </c>
      <c r="B5" s="26">
        <f>AVERAGE('Plan de trabajo'!$J$5:$J$20)</f>
        <v>0</v>
      </c>
      <c r="C5" s="25" t="s">
        <v>6</v>
      </c>
      <c r="D5" s="24">
        <f>COUNTIF('Plan de trabajo'!$E$5:$E$20,"Completado")</f>
        <v>1</v>
      </c>
      <c r="F5" s="39" t="s">
        <v>7</v>
      </c>
      <c r="G5" s="40"/>
      <c r="H5" s="40"/>
      <c r="I5" s="40"/>
      <c r="J5" s="41"/>
    </row>
    <row r="6" spans="1:14" ht="24" customHeight="1">
      <c r="A6" s="23" t="s">
        <v>8</v>
      </c>
      <c r="B6" s="24">
        <f>COUNTIF('Plan de trabajo'!$E$5:$E$20,"En progreso")</f>
        <v>0</v>
      </c>
      <c r="C6" s="25" t="s">
        <v>9</v>
      </c>
      <c r="D6" s="24">
        <f>COUNTIF('Plan de trabajo'!$E$5:$E$20,"Bloqueado")</f>
        <v>0</v>
      </c>
      <c r="F6" s="42"/>
      <c r="G6" s="43"/>
      <c r="H6" s="43"/>
      <c r="I6" s="43"/>
      <c r="J6" s="44"/>
    </row>
    <row r="7" spans="1:14" ht="24" customHeight="1">
      <c r="A7" s="23" t="s">
        <v>10</v>
      </c>
      <c r="B7" s="24">
        <f>COUNTIF('Plan de trabajo'!$E$5:$E$20,"En revisión")</f>
        <v>0</v>
      </c>
      <c r="C7" s="25" t="s">
        <v>11</v>
      </c>
      <c r="D7" s="24">
        <v>16</v>
      </c>
      <c r="F7" s="42"/>
      <c r="G7" s="43"/>
      <c r="H7" s="43"/>
      <c r="I7" s="43"/>
      <c r="J7" s="44"/>
    </row>
    <row r="8" spans="1:14" ht="24" customHeight="1">
      <c r="A8" s="23" t="s">
        <v>12</v>
      </c>
      <c r="B8" s="27">
        <f>MIN('Plan de trabajo'!$H$5:$H$20)</f>
        <v>46297</v>
      </c>
      <c r="C8" s="25" t="s">
        <v>13</v>
      </c>
      <c r="D8" s="24">
        <f>COUNTIF(Entregables!$G$5:$G$11,"Completado")</f>
        <v>0</v>
      </c>
      <c r="F8" s="42"/>
      <c r="G8" s="43"/>
      <c r="H8" s="43"/>
      <c r="I8" s="43"/>
      <c r="J8" s="44"/>
    </row>
    <row r="9" spans="1:14" ht="24" customHeight="1">
      <c r="A9" s="23" t="s">
        <v>14</v>
      </c>
      <c r="B9" s="27">
        <v>46288</v>
      </c>
      <c r="C9" s="25"/>
      <c r="D9" s="24"/>
      <c r="F9" s="42"/>
      <c r="G9" s="43"/>
      <c r="H9" s="43"/>
      <c r="I9" s="43"/>
      <c r="J9" s="44"/>
    </row>
    <row r="10" spans="1:14">
      <c r="F10" s="45"/>
      <c r="G10" s="46"/>
      <c r="H10" s="46"/>
      <c r="I10" s="46"/>
      <c r="J10" s="47"/>
    </row>
    <row r="12" spans="1:14" ht="15">
      <c r="A12" s="37" t="s">
        <v>15</v>
      </c>
      <c r="B12" s="37"/>
      <c r="C12" s="37"/>
      <c r="D12" s="37"/>
    </row>
    <row r="13" spans="1:14" ht="30" customHeight="1">
      <c r="A13" s="3" t="s">
        <v>16</v>
      </c>
      <c r="B13" s="3" t="s">
        <v>17</v>
      </c>
      <c r="C13" s="3" t="s">
        <v>6</v>
      </c>
      <c r="D13" s="3" t="s">
        <v>18</v>
      </c>
    </row>
    <row r="14" spans="1:14" ht="24" customHeight="1">
      <c r="A14" s="4" t="s">
        <v>19</v>
      </c>
      <c r="B14" s="28">
        <f>IF(COUNTIF('Plan de trabajo'!$D$5:$D$20,A14)=0,0,AVERAGEIF('Plan de trabajo'!$D$5:$D$20,A14,'Plan de trabajo'!$J$5:$J$20))</f>
        <v>0</v>
      </c>
      <c r="C14" s="5">
        <f>COUNTIFS('Plan de trabajo'!$D$5:$D$20,A14,'Plan de trabajo'!$E$5:$E$20,"Completado")</f>
        <v>0</v>
      </c>
      <c r="D14" s="6" t="s">
        <v>20</v>
      </c>
    </row>
    <row r="15" spans="1:14" ht="24" customHeight="1">
      <c r="A15" s="7" t="s">
        <v>21</v>
      </c>
      <c r="B15" s="29">
        <f>IF(COUNTIF('Plan de trabajo'!$D$5:$D$20,A15)=0,0,AVERAGEIF('Plan de trabajo'!$D$5:$D$20,A15,'Plan de trabajo'!$J$5:$J$20))</f>
        <v>0</v>
      </c>
      <c r="C15" s="8">
        <f>COUNTIFS('Plan de trabajo'!$D$5:$D$20,A15,'Plan de trabajo'!$E$5:$E$20,"Completado")</f>
        <v>0</v>
      </c>
      <c r="D15" s="9" t="s">
        <v>20</v>
      </c>
    </row>
    <row r="16" spans="1:14" ht="24" customHeight="1">
      <c r="A16" s="10" t="s">
        <v>22</v>
      </c>
      <c r="B16" s="30">
        <f>IF(COUNTIF('Plan de trabajo'!$D$5:$D$20,A16)=0,0,AVERAGEIF('Plan de trabajo'!$D$5:$D$20,A16,'Plan de trabajo'!$J$5:$J$20))</f>
        <v>0</v>
      </c>
      <c r="C16" s="11">
        <f>COUNTIFS('Plan de trabajo'!$D$5:$D$20,A16,'Plan de trabajo'!$E$5:$E$20,"Completado")</f>
        <v>0</v>
      </c>
      <c r="D16" s="12" t="s">
        <v>20</v>
      </c>
    </row>
    <row r="19" spans="1:4" ht="15">
      <c r="A19" s="38" t="s">
        <v>23</v>
      </c>
      <c r="B19" s="38"/>
      <c r="C19" s="38"/>
      <c r="D19" s="38"/>
    </row>
    <row r="20" spans="1:4">
      <c r="A20" s="22" t="s">
        <v>24</v>
      </c>
      <c r="B20" s="13" t="s">
        <v>25</v>
      </c>
      <c r="C20" s="31" t="s">
        <v>26</v>
      </c>
      <c r="D20" s="32" t="s">
        <v>27</v>
      </c>
    </row>
    <row r="21" spans="1:4">
      <c r="A21" s="33" t="s">
        <v>28</v>
      </c>
      <c r="B21" s="34" t="s">
        <v>29</v>
      </c>
      <c r="C21" s="35" t="s">
        <v>30</v>
      </c>
      <c r="D21" s="36" t="s">
        <v>31</v>
      </c>
    </row>
  </sheetData>
  <mergeCells count="4">
    <mergeCell ref="A12:D12"/>
    <mergeCell ref="F4:J4"/>
    <mergeCell ref="F5:J10"/>
    <mergeCell ref="A19:D19"/>
  </mergeCells>
  <conditionalFormatting sqref="B14:B1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B14:B16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0"/>
  <sheetViews>
    <sheetView showGridLines="0" tabSelected="1" workbookViewId="0">
      <pane xSplit="3" ySplit="4" topLeftCell="F5" activePane="bottomRight" state="frozen"/>
      <selection pane="topRight"/>
      <selection pane="bottomLeft"/>
      <selection pane="bottomRight" activeCell="A12" sqref="A12:C14"/>
    </sheetView>
  </sheetViews>
  <sheetFormatPr baseColWidth="10" defaultColWidth="9" defaultRowHeight="14.25"/>
  <cols>
    <col min="1" max="1" width="7" customWidth="1"/>
    <col min="2" max="2" width="15" customWidth="1"/>
    <col min="3" max="3" width="59.75" customWidth="1"/>
    <col min="4" max="4" width="15" customWidth="1"/>
    <col min="5" max="5" width="16" customWidth="1"/>
    <col min="6" max="6" width="11" customWidth="1"/>
    <col min="7" max="7" width="13" customWidth="1"/>
    <col min="8" max="8" width="14" customWidth="1"/>
    <col min="9" max="9" width="13" customWidth="1"/>
    <col min="10" max="10" width="11" customWidth="1"/>
    <col min="11" max="11" width="16" customWidth="1"/>
    <col min="12" max="12" width="27" customWidth="1"/>
    <col min="13" max="13" width="30" customWidth="1"/>
  </cols>
  <sheetData>
    <row r="1" spans="1:14" ht="27.95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34</v>
      </c>
      <c r="B4" s="3" t="s">
        <v>35</v>
      </c>
      <c r="C4" s="3" t="s">
        <v>36</v>
      </c>
      <c r="D4" s="3" t="s">
        <v>16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t="s">
        <v>152</v>
      </c>
    </row>
    <row r="5" spans="1:14">
      <c r="A5" s="4" t="s">
        <v>46</v>
      </c>
      <c r="B5" s="5" t="s">
        <v>47</v>
      </c>
      <c r="C5" s="5" t="s">
        <v>48</v>
      </c>
      <c r="D5" s="13" t="s">
        <v>49</v>
      </c>
      <c r="E5" s="13" t="s">
        <v>27</v>
      </c>
      <c r="F5" s="13" t="s">
        <v>51</v>
      </c>
      <c r="G5" s="16"/>
      <c r="H5" s="16">
        <v>46297</v>
      </c>
      <c r="I5" s="16"/>
      <c r="J5" s="19">
        <v>0</v>
      </c>
      <c r="K5" s="5"/>
      <c r="L5" s="5" t="s">
        <v>52</v>
      </c>
      <c r="M5" s="6" t="str">
        <f>VLOOKUP(PlanTrabajo[[#This Row],[Columna1]],Listas!$D$5:$E$11,2,)</f>
        <v>Angelica Guadalupe Cravioto Perez</v>
      </c>
      <c r="N5">
        <v>2</v>
      </c>
    </row>
    <row r="6" spans="1:14">
      <c r="A6" s="7" t="s">
        <v>53</v>
      </c>
      <c r="B6" s="8" t="s">
        <v>47</v>
      </c>
      <c r="C6" s="8" t="s">
        <v>54</v>
      </c>
      <c r="D6" s="14" t="s">
        <v>49</v>
      </c>
      <c r="E6" s="14" t="s">
        <v>50</v>
      </c>
      <c r="F6" s="14" t="s">
        <v>51</v>
      </c>
      <c r="G6" s="17"/>
      <c r="H6" s="17">
        <v>46299</v>
      </c>
      <c r="I6" s="17"/>
      <c r="J6" s="20">
        <v>0</v>
      </c>
      <c r="K6" s="8" t="s">
        <v>46</v>
      </c>
      <c r="L6" s="8" t="s">
        <v>55</v>
      </c>
      <c r="M6" s="9" t="str">
        <f>VLOOKUP(PlanTrabajo[[#This Row],[Columna1]],Listas!$D$5:$E$11,2,)</f>
        <v>Angelica Guadalupe Cravioto Perez</v>
      </c>
      <c r="N6">
        <v>2</v>
      </c>
    </row>
    <row r="7" spans="1:14">
      <c r="A7" s="7" t="s">
        <v>56</v>
      </c>
      <c r="B7" s="8" t="s">
        <v>57</v>
      </c>
      <c r="C7" s="8" t="s">
        <v>58</v>
      </c>
      <c r="D7" s="14" t="s">
        <v>49</v>
      </c>
      <c r="E7" s="14" t="s">
        <v>50</v>
      </c>
      <c r="F7" s="14" t="s">
        <v>51</v>
      </c>
      <c r="G7" s="17"/>
      <c r="H7" s="17">
        <v>46305</v>
      </c>
      <c r="I7" s="17"/>
      <c r="J7" s="20">
        <v>0</v>
      </c>
      <c r="K7" s="8" t="s">
        <v>59</v>
      </c>
      <c r="L7" s="8" t="s">
        <v>60</v>
      </c>
      <c r="M7" s="9" t="str">
        <f>VLOOKUP(PlanTrabajo[[#This Row],[Columna1]],Listas!$D$5:$E$11,2,)</f>
        <v>José Julián Alcalá Alcántara</v>
      </c>
      <c r="N7">
        <v>6</v>
      </c>
    </row>
    <row r="8" spans="1:14">
      <c r="A8" s="7" t="s">
        <v>61</v>
      </c>
      <c r="B8" s="8" t="s">
        <v>62</v>
      </c>
      <c r="C8" s="8" t="s">
        <v>63</v>
      </c>
      <c r="D8" s="14" t="s">
        <v>49</v>
      </c>
      <c r="E8" s="14" t="s">
        <v>50</v>
      </c>
      <c r="F8" s="14" t="s">
        <v>51</v>
      </c>
      <c r="G8" s="17"/>
      <c r="H8" s="17">
        <v>46309</v>
      </c>
      <c r="I8" s="17"/>
      <c r="J8" s="20">
        <v>0</v>
      </c>
      <c r="K8" s="8" t="s">
        <v>56</v>
      </c>
      <c r="L8" s="8" t="s">
        <v>64</v>
      </c>
      <c r="M8" s="9" t="str">
        <f>VLOOKUP(PlanTrabajo[[#This Row],[Columna1]],Listas!$D$5:$E$11,2,)</f>
        <v>Arturo Cortés Islas</v>
      </c>
      <c r="N8">
        <v>3</v>
      </c>
    </row>
    <row r="9" spans="1:14">
      <c r="A9" s="7" t="s">
        <v>65</v>
      </c>
      <c r="B9" s="8" t="s">
        <v>66</v>
      </c>
      <c r="C9" s="8" t="s">
        <v>67</v>
      </c>
      <c r="D9" s="14" t="s">
        <v>49</v>
      </c>
      <c r="E9" s="14" t="s">
        <v>50</v>
      </c>
      <c r="F9" s="14" t="s">
        <v>51</v>
      </c>
      <c r="G9" s="17"/>
      <c r="H9" s="17">
        <v>46313</v>
      </c>
      <c r="I9" s="17"/>
      <c r="J9" s="20">
        <v>0</v>
      </c>
      <c r="K9" s="8" t="s">
        <v>68</v>
      </c>
      <c r="L9" s="8" t="s">
        <v>66</v>
      </c>
      <c r="M9" s="9" t="str">
        <f>VLOOKUP(PlanTrabajo[[#This Row],[Columna1]],Listas!$D$5:$E$11,2,)</f>
        <v>Arturo Cortés Islas</v>
      </c>
      <c r="N9">
        <v>3</v>
      </c>
    </row>
    <row r="10" spans="1:14">
      <c r="A10" s="7" t="s">
        <v>69</v>
      </c>
      <c r="B10" s="8" t="s">
        <v>70</v>
      </c>
      <c r="C10" s="8" t="s">
        <v>71</v>
      </c>
      <c r="D10" s="14" t="s">
        <v>49</v>
      </c>
      <c r="E10" s="14" t="s">
        <v>50</v>
      </c>
      <c r="F10" s="14" t="s">
        <v>72</v>
      </c>
      <c r="G10" s="17"/>
      <c r="H10" s="17">
        <v>46317</v>
      </c>
      <c r="I10" s="17"/>
      <c r="J10" s="20">
        <v>0</v>
      </c>
      <c r="K10" s="8" t="s">
        <v>65</v>
      </c>
      <c r="L10" s="8" t="s">
        <v>73</v>
      </c>
      <c r="M10" s="9" t="str">
        <f>VLOOKUP(PlanTrabajo[[#This Row],[Columna1]],Listas!$D$5:$E$11,2,)</f>
        <v>Ismael Ruiz Carbajal</v>
      </c>
      <c r="N10">
        <v>5</v>
      </c>
    </row>
    <row r="11" spans="1:14">
      <c r="A11" s="7" t="s">
        <v>74</v>
      </c>
      <c r="B11" s="8" t="s">
        <v>75</v>
      </c>
      <c r="C11" s="8" t="s">
        <v>76</v>
      </c>
      <c r="D11" s="14" t="s">
        <v>49</v>
      </c>
      <c r="E11" s="14" t="s">
        <v>50</v>
      </c>
      <c r="F11" s="14" t="s">
        <v>72</v>
      </c>
      <c r="G11" s="17"/>
      <c r="H11" s="17">
        <v>46319</v>
      </c>
      <c r="I11" s="17"/>
      <c r="J11" s="20">
        <v>0</v>
      </c>
      <c r="K11" s="8" t="s">
        <v>69</v>
      </c>
      <c r="L11" s="8" t="s">
        <v>77</v>
      </c>
      <c r="M11" s="9" t="str">
        <f>VLOOKUP(PlanTrabajo[[#This Row],[Columna1]],Listas!$D$5:$E$11,2,)</f>
        <v>Alondra Abril Alarcón Álvarez</v>
      </c>
      <c r="N11">
        <v>1</v>
      </c>
    </row>
    <row r="12" spans="1:14">
      <c r="A12" s="7" t="s">
        <v>78</v>
      </c>
      <c r="B12" s="8" t="s">
        <v>79</v>
      </c>
      <c r="C12" s="8" t="s">
        <v>80</v>
      </c>
      <c r="D12" s="14" t="s">
        <v>49</v>
      </c>
      <c r="E12" s="14" t="s">
        <v>50</v>
      </c>
      <c r="F12" s="14" t="s">
        <v>51</v>
      </c>
      <c r="G12" s="17"/>
      <c r="H12" s="17">
        <v>46323</v>
      </c>
      <c r="I12" s="17"/>
      <c r="J12" s="20">
        <v>0</v>
      </c>
      <c r="K12" s="8" t="s">
        <v>81</v>
      </c>
      <c r="L12" s="8" t="s">
        <v>82</v>
      </c>
      <c r="M12" s="9" t="str">
        <f>VLOOKUP(PlanTrabajo[[#This Row],[Columna1]],Listas!$D$5:$E$11,2,)</f>
        <v>José Julián Alcalá Alcántara</v>
      </c>
      <c r="N12">
        <v>6</v>
      </c>
    </row>
    <row r="13" spans="1:14">
      <c r="A13" s="7" t="s">
        <v>83</v>
      </c>
      <c r="B13" s="8" t="s">
        <v>84</v>
      </c>
      <c r="C13" s="8" t="s">
        <v>85</v>
      </c>
      <c r="D13" s="14" t="s">
        <v>49</v>
      </c>
      <c r="E13" s="14" t="s">
        <v>50</v>
      </c>
      <c r="F13" s="14" t="s">
        <v>51</v>
      </c>
      <c r="G13" s="17"/>
      <c r="H13" s="17">
        <v>46327</v>
      </c>
      <c r="I13" s="17"/>
      <c r="J13" s="20">
        <v>0</v>
      </c>
      <c r="K13" s="8" t="s">
        <v>78</v>
      </c>
      <c r="L13" s="8" t="s">
        <v>86</v>
      </c>
      <c r="M13" s="9" t="str">
        <f>VLOOKUP(PlanTrabajo[[#This Row],[Columna1]],Listas!$D$5:$E$11,2,)</f>
        <v>Dereck Favila Limón</v>
      </c>
      <c r="N13">
        <v>4</v>
      </c>
    </row>
    <row r="14" spans="1:14">
      <c r="A14" s="7" t="s">
        <v>87</v>
      </c>
      <c r="B14" s="8" t="s">
        <v>84</v>
      </c>
      <c r="C14" s="8" t="s">
        <v>88</v>
      </c>
      <c r="D14" s="14" t="s">
        <v>49</v>
      </c>
      <c r="E14" s="14" t="s">
        <v>50</v>
      </c>
      <c r="F14" s="14" t="s">
        <v>51</v>
      </c>
      <c r="G14" s="17"/>
      <c r="H14" s="17">
        <v>46331</v>
      </c>
      <c r="I14" s="17"/>
      <c r="J14" s="20">
        <v>0</v>
      </c>
      <c r="K14" s="8" t="s">
        <v>78</v>
      </c>
      <c r="L14" s="8" t="s">
        <v>89</v>
      </c>
      <c r="M14" s="9" t="str">
        <f>VLOOKUP(PlanTrabajo[[#This Row],[Columna1]],Listas!$D$5:$E$11,2,)</f>
        <v>Arturo Cortés Islas</v>
      </c>
      <c r="N14">
        <v>3</v>
      </c>
    </row>
    <row r="15" spans="1:14">
      <c r="A15" s="7" t="s">
        <v>90</v>
      </c>
      <c r="B15" s="8" t="s">
        <v>79</v>
      </c>
      <c r="C15" s="8" t="s">
        <v>91</v>
      </c>
      <c r="D15" s="14" t="s">
        <v>49</v>
      </c>
      <c r="E15" s="14" t="s">
        <v>50</v>
      </c>
      <c r="F15" s="14" t="s">
        <v>51</v>
      </c>
      <c r="G15" s="17"/>
      <c r="H15" s="17">
        <v>46340</v>
      </c>
      <c r="I15" s="17"/>
      <c r="J15" s="20">
        <v>0</v>
      </c>
      <c r="K15" s="8" t="s">
        <v>92</v>
      </c>
      <c r="L15" s="8" t="s">
        <v>93</v>
      </c>
      <c r="M15" s="9" t="str">
        <f>VLOOKUP(PlanTrabajo[[#This Row],[Columna1]],Listas!$D$5:$E$11,2,)</f>
        <v>José Julián Alcalá Alcántara</v>
      </c>
      <c r="N15">
        <v>6</v>
      </c>
    </row>
    <row r="16" spans="1:14">
      <c r="A16" s="7" t="s">
        <v>94</v>
      </c>
      <c r="B16" s="8" t="s">
        <v>95</v>
      </c>
      <c r="C16" s="8" t="s">
        <v>96</v>
      </c>
      <c r="D16" s="14" t="s">
        <v>49</v>
      </c>
      <c r="E16" s="14" t="s">
        <v>50</v>
      </c>
      <c r="F16" s="14" t="s">
        <v>51</v>
      </c>
      <c r="G16" s="17"/>
      <c r="H16" s="17">
        <v>46343</v>
      </c>
      <c r="I16" s="17"/>
      <c r="J16" s="20">
        <v>0</v>
      </c>
      <c r="K16" s="8" t="s">
        <v>90</v>
      </c>
      <c r="L16" s="8" t="s">
        <v>97</v>
      </c>
      <c r="M16" s="9" t="str">
        <f>VLOOKUP(PlanTrabajo[[#This Row],[Columna1]],Listas!$D$5:$E$11,2,)</f>
        <v>Dereck Favila Limón</v>
      </c>
      <c r="N16">
        <v>4</v>
      </c>
    </row>
    <row r="17" spans="1:14">
      <c r="A17" s="7" t="s">
        <v>98</v>
      </c>
      <c r="B17" s="8" t="s">
        <v>95</v>
      </c>
      <c r="C17" s="8" t="s">
        <v>99</v>
      </c>
      <c r="D17" s="14" t="s">
        <v>49</v>
      </c>
      <c r="E17" s="14" t="s">
        <v>50</v>
      </c>
      <c r="F17" s="14" t="s">
        <v>51</v>
      </c>
      <c r="G17" s="17"/>
      <c r="H17" s="17">
        <v>46347</v>
      </c>
      <c r="I17" s="17"/>
      <c r="J17" s="20">
        <v>0</v>
      </c>
      <c r="K17" s="8" t="s">
        <v>94</v>
      </c>
      <c r="L17" s="8" t="s">
        <v>100</v>
      </c>
      <c r="M17" s="9" t="str">
        <f>VLOOKUP(PlanTrabajo[[#This Row],[Columna1]],Listas!$D$5:$E$11,2,)</f>
        <v>Alondra Abril Alarcón Álvarez</v>
      </c>
      <c r="N17">
        <v>1</v>
      </c>
    </row>
    <row r="18" spans="1:14">
      <c r="A18" s="7" t="s">
        <v>101</v>
      </c>
      <c r="B18" s="8" t="s">
        <v>102</v>
      </c>
      <c r="C18" s="8" t="s">
        <v>103</v>
      </c>
      <c r="D18" s="14" t="s">
        <v>49</v>
      </c>
      <c r="E18" s="14" t="s">
        <v>50</v>
      </c>
      <c r="F18" s="14" t="s">
        <v>51</v>
      </c>
      <c r="G18" s="17"/>
      <c r="H18" s="17">
        <v>46350</v>
      </c>
      <c r="I18" s="17"/>
      <c r="J18" s="20">
        <v>0</v>
      </c>
      <c r="K18" s="8" t="s">
        <v>98</v>
      </c>
      <c r="L18" s="8" t="s">
        <v>104</v>
      </c>
      <c r="M18" s="9" t="str">
        <f>VLOOKUP(PlanTrabajo[[#This Row],[Columna1]],Listas!$D$5:$E$11,2,)</f>
        <v>Melissa González Cortés</v>
      </c>
      <c r="N18">
        <v>7</v>
      </c>
    </row>
    <row r="19" spans="1:14">
      <c r="A19" s="7" t="s">
        <v>105</v>
      </c>
      <c r="B19" s="8" t="s">
        <v>106</v>
      </c>
      <c r="C19" s="8" t="s">
        <v>107</v>
      </c>
      <c r="D19" s="14" t="s">
        <v>49</v>
      </c>
      <c r="E19" s="14" t="s">
        <v>50</v>
      </c>
      <c r="F19" s="14" t="s">
        <v>51</v>
      </c>
      <c r="G19" s="17"/>
      <c r="H19" s="17">
        <v>46354</v>
      </c>
      <c r="I19" s="17"/>
      <c r="J19" s="20">
        <v>0</v>
      </c>
      <c r="K19" s="8" t="s">
        <v>101</v>
      </c>
      <c r="L19" s="8" t="s">
        <v>108</v>
      </c>
      <c r="M19" s="9" t="str">
        <f>VLOOKUP(PlanTrabajo[[#This Row],[Columna1]],Listas!$D$5:$E$11,2,)</f>
        <v>Ismael Ruiz Carbajal</v>
      </c>
      <c r="N19">
        <v>5</v>
      </c>
    </row>
    <row r="20" spans="1:14">
      <c r="A20" s="10" t="s">
        <v>109</v>
      </c>
      <c r="B20" s="11" t="s">
        <v>110</v>
      </c>
      <c r="C20" s="11" t="s">
        <v>111</v>
      </c>
      <c r="D20" s="15" t="s">
        <v>49</v>
      </c>
      <c r="E20" s="15" t="s">
        <v>50</v>
      </c>
      <c r="F20" s="15" t="s">
        <v>51</v>
      </c>
      <c r="G20" s="18"/>
      <c r="H20" s="18">
        <v>46361</v>
      </c>
      <c r="I20" s="18"/>
      <c r="J20" s="21">
        <v>0</v>
      </c>
      <c r="K20" s="11" t="s">
        <v>105</v>
      </c>
      <c r="L20" s="11" t="s">
        <v>112</v>
      </c>
      <c r="M20" s="12" t="str">
        <f>VLOOKUP(PlanTrabajo[[#This Row],[Columna1]],Listas!$D$5:$E$11,2,)</f>
        <v>Dereck Favila Limón</v>
      </c>
      <c r="N20">
        <v>4</v>
      </c>
    </row>
  </sheetData>
  <conditionalFormatting sqref="E5:E20">
    <cfRule type="containsText" dxfId="5" priority="1" operator="containsText" text="Completado"/>
    <cfRule type="containsText" dxfId="4" priority="2" operator="containsText" text="Bloqueado"/>
    <cfRule type="containsText" dxfId="3" priority="3" operator="containsText" text="En progreso"/>
  </conditionalFormatting>
  <conditionalFormatting sqref="J5:J20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{B52EB25D-340C-D9E7-CEB4-A864BFB9DC84}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2EB25D-340C-D9E7-CEB4-A864BFB9DC84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Listas!$C$5:$C$8</xm:f>
          </x14:formula1>
          <xm:sqref>D5:D20</xm:sqref>
        </x14:dataValidation>
        <x14:dataValidation type="list" xr:uid="{00000000-0002-0000-0100-000001000000}">
          <x14:formula1>
            <xm:f>Listas!$A$5:$A$9</xm:f>
          </x14:formula1>
          <xm:sqref>E5:E20</xm:sqref>
        </x14:dataValidation>
        <x14:dataValidation type="list" xr:uid="{00000000-0002-0000-0100-000002000000}">
          <x14:formula1>
            <xm:f>Listas!$B$5:$B$7</xm:f>
          </x14:formula1>
          <xm:sqref>F5:F20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N11"/>
  <sheetViews>
    <sheetView showGridLines="0" workbookViewId="0">
      <pane ySplit="4" topLeftCell="A5" activePane="bottomLeft" state="frozen"/>
      <selection pane="bottomLeft" activeCell="H4" sqref="H4:H11"/>
    </sheetView>
  </sheetViews>
  <sheetFormatPr baseColWidth="10" defaultColWidth="9" defaultRowHeight="14.25"/>
  <cols>
    <col min="1" max="1" width="10" customWidth="1"/>
    <col min="2" max="2" width="38" customWidth="1"/>
    <col min="3" max="3" width="14" customWidth="1"/>
    <col min="4" max="4" width="15" customWidth="1"/>
    <col min="5" max="5" width="18" customWidth="1"/>
    <col min="6" max="6" width="15" customWidth="1"/>
    <col min="7" max="7" width="16" customWidth="1"/>
    <col min="8" max="8" width="35" customWidth="1"/>
  </cols>
  <sheetData>
    <row r="1" spans="1:14" ht="27.95" customHeight="1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34</v>
      </c>
      <c r="B4" s="3" t="s">
        <v>44</v>
      </c>
      <c r="C4" s="3" t="s">
        <v>115</v>
      </c>
      <c r="D4" s="3" t="s">
        <v>16</v>
      </c>
      <c r="E4" s="3" t="s">
        <v>116</v>
      </c>
      <c r="F4" s="3" t="s">
        <v>40</v>
      </c>
      <c r="G4" s="3" t="s">
        <v>37</v>
      </c>
      <c r="H4" s="3" t="s">
        <v>117</v>
      </c>
    </row>
    <row r="5" spans="1:14">
      <c r="A5" s="4" t="s">
        <v>118</v>
      </c>
      <c r="B5" s="5" t="s">
        <v>119</v>
      </c>
      <c r="C5" s="5" t="s">
        <v>120</v>
      </c>
      <c r="D5" s="13" t="s">
        <v>49</v>
      </c>
      <c r="E5" s="13"/>
      <c r="F5" s="16">
        <v>46299</v>
      </c>
      <c r="G5" s="13" t="s">
        <v>50</v>
      </c>
      <c r="H5" s="6"/>
    </row>
    <row r="6" spans="1:14">
      <c r="A6" s="7" t="s">
        <v>121</v>
      </c>
      <c r="B6" s="8" t="s">
        <v>122</v>
      </c>
      <c r="C6" s="8" t="s">
        <v>123</v>
      </c>
      <c r="D6" s="14" t="s">
        <v>49</v>
      </c>
      <c r="E6" s="14"/>
      <c r="F6" s="17">
        <v>46309</v>
      </c>
      <c r="G6" s="14" t="s">
        <v>50</v>
      </c>
      <c r="H6" s="9"/>
    </row>
    <row r="7" spans="1:14">
      <c r="A7" s="7" t="s">
        <v>124</v>
      </c>
      <c r="B7" s="8" t="s">
        <v>125</v>
      </c>
      <c r="C7" s="8" t="s">
        <v>126</v>
      </c>
      <c r="D7" s="14" t="s">
        <v>49</v>
      </c>
      <c r="E7" s="14"/>
      <c r="F7" s="17">
        <v>46319</v>
      </c>
      <c r="G7" s="14" t="s">
        <v>50</v>
      </c>
      <c r="H7" s="9"/>
    </row>
    <row r="8" spans="1:14">
      <c r="A8" s="7" t="s">
        <v>127</v>
      </c>
      <c r="B8" s="8" t="s">
        <v>128</v>
      </c>
      <c r="C8" s="8" t="s">
        <v>129</v>
      </c>
      <c r="D8" s="14" t="s">
        <v>49</v>
      </c>
      <c r="E8" s="14"/>
      <c r="F8" s="17">
        <v>46343</v>
      </c>
      <c r="G8" s="14" t="s">
        <v>50</v>
      </c>
      <c r="H8" s="9"/>
    </row>
    <row r="9" spans="1:14">
      <c r="A9" s="7" t="s">
        <v>130</v>
      </c>
      <c r="B9" s="8" t="s">
        <v>131</v>
      </c>
      <c r="C9" s="8" t="s">
        <v>132</v>
      </c>
      <c r="D9" s="14" t="s">
        <v>49</v>
      </c>
      <c r="E9" s="14"/>
      <c r="F9" s="17">
        <v>46331</v>
      </c>
      <c r="G9" s="14" t="s">
        <v>50</v>
      </c>
      <c r="H9" s="9"/>
    </row>
    <row r="10" spans="1:14">
      <c r="A10" s="7" t="s">
        <v>133</v>
      </c>
      <c r="B10" s="8" t="s">
        <v>134</v>
      </c>
      <c r="C10" s="8" t="s">
        <v>135</v>
      </c>
      <c r="D10" s="14" t="s">
        <v>49</v>
      </c>
      <c r="E10" s="14"/>
      <c r="F10" s="17">
        <v>46350</v>
      </c>
      <c r="G10" s="14" t="s">
        <v>50</v>
      </c>
      <c r="H10" s="9"/>
    </row>
    <row r="11" spans="1:14">
      <c r="A11" s="10" t="s">
        <v>136</v>
      </c>
      <c r="B11" s="11" t="s">
        <v>137</v>
      </c>
      <c r="C11" s="11" t="s">
        <v>138</v>
      </c>
      <c r="D11" s="15" t="s">
        <v>49</v>
      </c>
      <c r="E11" s="15"/>
      <c r="F11" s="18">
        <v>46361</v>
      </c>
      <c r="G11" s="15" t="s">
        <v>50</v>
      </c>
      <c r="H11" s="12"/>
    </row>
  </sheetData>
  <conditionalFormatting sqref="G5:G11">
    <cfRule type="containsText" dxfId="2" priority="1" operator="containsText" text="Completad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Listas!$C$5:$C$8</xm:f>
          </x14:formula1>
          <xm:sqref>D5:D11</xm:sqref>
        </x14:dataValidation>
        <x14:dataValidation type="list" xr:uid="{00000000-0002-0000-0600-000001000000}">
          <x14:formula1>
            <xm:f>Listas!$A$5:$A$9</xm:f>
          </x14:formula1>
          <xm:sqref>G5:G11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N11"/>
  <sheetViews>
    <sheetView showGridLines="0" workbookViewId="0">
      <selection activeCell="E5" sqref="E5:E11"/>
    </sheetView>
  </sheetViews>
  <sheetFormatPr baseColWidth="10" defaultColWidth="9" defaultRowHeight="14.25"/>
  <cols>
    <col min="1" max="1" width="18" customWidth="1"/>
    <col min="2" max="2" width="14" customWidth="1"/>
    <col min="3" max="3" width="16" customWidth="1"/>
    <col min="5" max="5" width="26.75" bestFit="1" customWidth="1"/>
  </cols>
  <sheetData>
    <row r="1" spans="1:14" ht="27.95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3" t="s">
        <v>37</v>
      </c>
      <c r="B4" s="3" t="s">
        <v>38</v>
      </c>
      <c r="C4" s="3" t="s">
        <v>16</v>
      </c>
      <c r="D4" s="48" t="s">
        <v>34</v>
      </c>
      <c r="E4" s="48" t="s">
        <v>144</v>
      </c>
    </row>
    <row r="5" spans="1:14">
      <c r="A5" s="4" t="s">
        <v>50</v>
      </c>
      <c r="B5" s="5" t="s">
        <v>51</v>
      </c>
      <c r="C5" s="6" t="s">
        <v>19</v>
      </c>
      <c r="D5" s="6">
        <v>1</v>
      </c>
      <c r="E5" s="6" t="s">
        <v>145</v>
      </c>
      <c r="F5">
        <f>COUNTIF(PlanTrabajo[Notas],Listas!E5)</f>
        <v>2</v>
      </c>
    </row>
    <row r="6" spans="1:14">
      <c r="A6" s="7" t="s">
        <v>141</v>
      </c>
      <c r="B6" s="8" t="s">
        <v>72</v>
      </c>
      <c r="C6" s="9" t="s">
        <v>21</v>
      </c>
      <c r="D6" s="9">
        <v>2</v>
      </c>
      <c r="E6" s="9" t="s">
        <v>146</v>
      </c>
      <c r="F6">
        <f>COUNTIF(PlanTrabajo[Notas],Listas!E6)</f>
        <v>2</v>
      </c>
    </row>
    <row r="7" spans="1:14">
      <c r="A7" s="7" t="s">
        <v>31</v>
      </c>
      <c r="B7" s="8" t="s">
        <v>142</v>
      </c>
      <c r="C7" s="9" t="s">
        <v>22</v>
      </c>
      <c r="D7" s="9">
        <v>3</v>
      </c>
      <c r="E7" s="9" t="s">
        <v>147</v>
      </c>
      <c r="F7">
        <f>COUNTIF(PlanTrabajo[Notas],Listas!E7)</f>
        <v>3</v>
      </c>
    </row>
    <row r="8" spans="1:14">
      <c r="A8" s="7" t="s">
        <v>143</v>
      </c>
      <c r="B8" s="8"/>
      <c r="C8" s="9"/>
      <c r="D8" s="9">
        <v>4</v>
      </c>
      <c r="E8" s="9" t="s">
        <v>148</v>
      </c>
      <c r="F8">
        <f>COUNTIF(PlanTrabajo[Notas],Listas!E8)</f>
        <v>3</v>
      </c>
    </row>
    <row r="9" spans="1:14">
      <c r="A9" s="10" t="s">
        <v>27</v>
      </c>
      <c r="B9" s="11"/>
      <c r="C9" s="12"/>
      <c r="D9" s="6">
        <v>5</v>
      </c>
      <c r="E9" s="6" t="s">
        <v>149</v>
      </c>
      <c r="F9">
        <f>COUNTIF(PlanTrabajo[Notas],Listas!E9)</f>
        <v>2</v>
      </c>
    </row>
    <row r="10" spans="1:14">
      <c r="D10" s="9">
        <v>6</v>
      </c>
      <c r="E10" s="9" t="s">
        <v>150</v>
      </c>
      <c r="F10">
        <f>COUNTIF(PlanTrabajo[Notas],Listas!E10)</f>
        <v>3</v>
      </c>
    </row>
    <row r="11" spans="1:14">
      <c r="D11" s="9">
        <v>7</v>
      </c>
      <c r="E11" s="9" t="s">
        <v>151</v>
      </c>
      <c r="F11">
        <f>COUNTIF(PlanTrabajo[Notas],Listas!E11)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Plan de trabajo</vt:lpstr>
      <vt:lpstr>Entregables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Favila Limon</cp:lastModifiedBy>
  <dcterms:modified xsi:type="dcterms:W3CDTF">2026-09-24T04:33:45Z</dcterms:modified>
</cp:coreProperties>
</file>